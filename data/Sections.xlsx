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am\Documents\Computational Bible\eusebian-canons\data\"/>
    </mc:Choice>
  </mc:AlternateContent>
  <xr:revisionPtr revIDLastSave="0" documentId="13_ncr:1_{FE41F4D2-AAE2-4A02-B648-80E9C2DB361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MAT" sheetId="1" r:id="rId1"/>
    <sheet name="MRK" sheetId="2" r:id="rId2"/>
    <sheet name="LUK" sheetId="3" r:id="rId3"/>
    <sheet name="JH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42" i="2" l="1"/>
  <c r="T242" i="2"/>
  <c r="S242" i="2"/>
  <c r="R242" i="2"/>
  <c r="Q242" i="2"/>
  <c r="P242" i="2"/>
  <c r="O242" i="2"/>
  <c r="U241" i="2"/>
  <c r="T241" i="2"/>
  <c r="S241" i="2"/>
  <c r="R241" i="2"/>
  <c r="Q241" i="2"/>
  <c r="P241" i="2"/>
  <c r="O241" i="2"/>
  <c r="U240" i="2"/>
  <c r="T240" i="2"/>
  <c r="S240" i="2"/>
  <c r="R240" i="2"/>
  <c r="Q240" i="2"/>
  <c r="P240" i="2"/>
  <c r="O240" i="2"/>
  <c r="U239" i="2"/>
  <c r="T239" i="2"/>
  <c r="S239" i="2"/>
  <c r="R239" i="2"/>
  <c r="Q239" i="2"/>
  <c r="P239" i="2"/>
  <c r="O239" i="2"/>
  <c r="U238" i="2"/>
  <c r="T238" i="2"/>
  <c r="S238" i="2"/>
  <c r="R238" i="2"/>
  <c r="Q238" i="2"/>
  <c r="P238" i="2"/>
  <c r="O238" i="2"/>
  <c r="U237" i="2"/>
  <c r="T237" i="2"/>
  <c r="S237" i="2"/>
  <c r="R237" i="2"/>
  <c r="Q237" i="2"/>
  <c r="P237" i="2"/>
  <c r="O237" i="2"/>
  <c r="U236" i="2"/>
  <c r="T236" i="2"/>
  <c r="S236" i="2"/>
  <c r="R236" i="2"/>
  <c r="Q236" i="2"/>
  <c r="P236" i="2"/>
  <c r="O236" i="2"/>
  <c r="U235" i="2"/>
  <c r="T235" i="2"/>
  <c r="S235" i="2"/>
  <c r="R235" i="2"/>
  <c r="Q235" i="2"/>
  <c r="P235" i="2"/>
  <c r="O235" i="2"/>
  <c r="U234" i="2"/>
  <c r="T234" i="2"/>
  <c r="S234" i="2"/>
  <c r="R234" i="2"/>
  <c r="Q234" i="2"/>
  <c r="P234" i="2"/>
  <c r="O234" i="2"/>
  <c r="U233" i="2"/>
  <c r="T233" i="2"/>
  <c r="S233" i="2"/>
  <c r="R233" i="2"/>
  <c r="Q233" i="2"/>
  <c r="P233" i="2"/>
  <c r="O233" i="2"/>
  <c r="U232" i="2"/>
  <c r="T232" i="2"/>
  <c r="S232" i="2"/>
  <c r="R232" i="2"/>
  <c r="Q232" i="2"/>
  <c r="P232" i="2"/>
  <c r="O232" i="2"/>
  <c r="U231" i="2"/>
  <c r="T231" i="2"/>
  <c r="S231" i="2"/>
  <c r="R231" i="2"/>
  <c r="Q231" i="2"/>
  <c r="P231" i="2"/>
  <c r="O231" i="2"/>
  <c r="U230" i="2"/>
  <c r="T230" i="2"/>
  <c r="S230" i="2"/>
  <c r="R230" i="2"/>
  <c r="Q230" i="2"/>
  <c r="P230" i="2"/>
  <c r="O230" i="2"/>
  <c r="U229" i="2"/>
  <c r="T229" i="2"/>
  <c r="S229" i="2"/>
  <c r="R229" i="2"/>
  <c r="Q229" i="2"/>
  <c r="P229" i="2"/>
  <c r="O229" i="2"/>
  <c r="U228" i="2"/>
  <c r="T228" i="2"/>
  <c r="S228" i="2"/>
  <c r="R228" i="2"/>
  <c r="Q228" i="2"/>
  <c r="P228" i="2"/>
  <c r="O228" i="2"/>
  <c r="U227" i="2"/>
  <c r="T227" i="2"/>
  <c r="S227" i="2"/>
  <c r="R227" i="2"/>
  <c r="Q227" i="2"/>
  <c r="P227" i="2"/>
  <c r="O227" i="2"/>
  <c r="U226" i="2"/>
  <c r="T226" i="2"/>
  <c r="S226" i="2"/>
  <c r="R226" i="2"/>
  <c r="Q226" i="2"/>
  <c r="P226" i="2"/>
  <c r="O226" i="2"/>
  <c r="U225" i="2"/>
  <c r="T225" i="2"/>
  <c r="S225" i="2"/>
  <c r="R225" i="2"/>
  <c r="Q225" i="2"/>
  <c r="P225" i="2"/>
  <c r="O225" i="2"/>
  <c r="U224" i="2"/>
  <c r="T224" i="2"/>
  <c r="S224" i="2"/>
  <c r="R224" i="2"/>
  <c r="Q224" i="2"/>
  <c r="P224" i="2"/>
  <c r="O224" i="2"/>
  <c r="U223" i="2"/>
  <c r="T223" i="2"/>
  <c r="S223" i="2"/>
  <c r="R223" i="2"/>
  <c r="Q223" i="2"/>
  <c r="P223" i="2"/>
  <c r="O223" i="2"/>
  <c r="U222" i="2"/>
  <c r="T222" i="2"/>
  <c r="S222" i="2"/>
  <c r="R222" i="2"/>
  <c r="Q222" i="2"/>
  <c r="P222" i="2"/>
  <c r="O222" i="2"/>
  <c r="U221" i="2"/>
  <c r="T221" i="2"/>
  <c r="S221" i="2"/>
  <c r="R221" i="2"/>
  <c r="Q221" i="2"/>
  <c r="P221" i="2"/>
  <c r="O221" i="2"/>
  <c r="U220" i="2"/>
  <c r="T220" i="2"/>
  <c r="S220" i="2"/>
  <c r="R220" i="2"/>
  <c r="Q220" i="2"/>
  <c r="P220" i="2"/>
  <c r="O220" i="2"/>
  <c r="U219" i="2"/>
  <c r="T219" i="2"/>
  <c r="S219" i="2"/>
  <c r="R219" i="2"/>
  <c r="Q219" i="2"/>
  <c r="P219" i="2"/>
  <c r="O219" i="2"/>
  <c r="U218" i="2"/>
  <c r="T218" i="2"/>
  <c r="S218" i="2"/>
  <c r="R218" i="2"/>
  <c r="Q218" i="2"/>
  <c r="P218" i="2"/>
  <c r="O218" i="2"/>
  <c r="U217" i="2"/>
  <c r="T217" i="2"/>
  <c r="S217" i="2"/>
  <c r="R217" i="2"/>
  <c r="Q217" i="2"/>
  <c r="P217" i="2"/>
  <c r="O217" i="2"/>
  <c r="U216" i="2"/>
  <c r="T216" i="2"/>
  <c r="S216" i="2"/>
  <c r="R216" i="2"/>
  <c r="Q216" i="2"/>
  <c r="P216" i="2"/>
  <c r="O216" i="2"/>
  <c r="U215" i="2"/>
  <c r="T215" i="2"/>
  <c r="S215" i="2"/>
  <c r="R215" i="2"/>
  <c r="Q215" i="2"/>
  <c r="P215" i="2"/>
  <c r="O215" i="2"/>
  <c r="U214" i="2"/>
  <c r="T214" i="2"/>
  <c r="S214" i="2"/>
  <c r="R214" i="2"/>
  <c r="Q214" i="2"/>
  <c r="P214" i="2"/>
  <c r="O214" i="2"/>
  <c r="U213" i="2"/>
  <c r="T213" i="2"/>
  <c r="S213" i="2"/>
  <c r="R213" i="2"/>
  <c r="Q213" i="2"/>
  <c r="P213" i="2"/>
  <c r="O213" i="2"/>
  <c r="U212" i="2"/>
  <c r="T212" i="2"/>
  <c r="S212" i="2"/>
  <c r="R212" i="2"/>
  <c r="Q212" i="2"/>
  <c r="P212" i="2"/>
  <c r="O212" i="2"/>
  <c r="U211" i="2"/>
  <c r="T211" i="2"/>
  <c r="S211" i="2"/>
  <c r="R211" i="2"/>
  <c r="Q211" i="2"/>
  <c r="P211" i="2"/>
  <c r="O211" i="2"/>
  <c r="U210" i="2"/>
  <c r="T210" i="2"/>
  <c r="S210" i="2"/>
  <c r="R210" i="2"/>
  <c r="Q210" i="2"/>
  <c r="P210" i="2"/>
  <c r="O210" i="2"/>
  <c r="U209" i="2"/>
  <c r="T209" i="2"/>
  <c r="S209" i="2"/>
  <c r="R209" i="2"/>
  <c r="Q209" i="2"/>
  <c r="P209" i="2"/>
  <c r="O209" i="2"/>
  <c r="U208" i="2"/>
  <c r="T208" i="2"/>
  <c r="S208" i="2"/>
  <c r="R208" i="2"/>
  <c r="Q208" i="2"/>
  <c r="P208" i="2"/>
  <c r="O208" i="2"/>
  <c r="U207" i="2"/>
  <c r="T207" i="2"/>
  <c r="S207" i="2"/>
  <c r="R207" i="2"/>
  <c r="Q207" i="2"/>
  <c r="P207" i="2"/>
  <c r="O207" i="2"/>
  <c r="U206" i="2"/>
  <c r="T206" i="2"/>
  <c r="S206" i="2"/>
  <c r="R206" i="2"/>
  <c r="Q206" i="2"/>
  <c r="P206" i="2"/>
  <c r="O206" i="2"/>
  <c r="U205" i="2"/>
  <c r="T205" i="2"/>
  <c r="S205" i="2"/>
  <c r="R205" i="2"/>
  <c r="Q205" i="2"/>
  <c r="P205" i="2"/>
  <c r="O205" i="2"/>
  <c r="U204" i="2"/>
  <c r="T204" i="2"/>
  <c r="S204" i="2"/>
  <c r="R204" i="2"/>
  <c r="Q204" i="2"/>
  <c r="P204" i="2"/>
  <c r="O204" i="2"/>
  <c r="U203" i="2"/>
  <c r="T203" i="2"/>
  <c r="S203" i="2"/>
  <c r="R203" i="2"/>
  <c r="Q203" i="2"/>
  <c r="P203" i="2"/>
  <c r="O203" i="2"/>
  <c r="U202" i="2"/>
  <c r="T202" i="2"/>
  <c r="S202" i="2"/>
  <c r="R202" i="2"/>
  <c r="Q202" i="2"/>
  <c r="P202" i="2"/>
  <c r="O202" i="2"/>
  <c r="U201" i="2"/>
  <c r="T201" i="2"/>
  <c r="S201" i="2"/>
  <c r="R201" i="2"/>
  <c r="Q201" i="2"/>
  <c r="P201" i="2"/>
  <c r="O201" i="2"/>
  <c r="U200" i="2"/>
  <c r="T200" i="2"/>
  <c r="S200" i="2"/>
  <c r="R200" i="2"/>
  <c r="Q200" i="2"/>
  <c r="P200" i="2"/>
  <c r="O200" i="2"/>
  <c r="U199" i="2"/>
  <c r="T199" i="2"/>
  <c r="S199" i="2"/>
  <c r="R199" i="2"/>
  <c r="Q199" i="2"/>
  <c r="P199" i="2"/>
  <c r="O199" i="2"/>
  <c r="U198" i="2"/>
  <c r="T198" i="2"/>
  <c r="S198" i="2"/>
  <c r="R198" i="2"/>
  <c r="Q198" i="2"/>
  <c r="P198" i="2"/>
  <c r="O198" i="2"/>
  <c r="U197" i="2"/>
  <c r="T197" i="2"/>
  <c r="S197" i="2"/>
  <c r="R197" i="2"/>
  <c r="Q197" i="2"/>
  <c r="P197" i="2"/>
  <c r="O197" i="2"/>
  <c r="U196" i="2"/>
  <c r="T196" i="2"/>
  <c r="S196" i="2"/>
  <c r="R196" i="2"/>
  <c r="Q196" i="2"/>
  <c r="P196" i="2"/>
  <c r="O196" i="2"/>
  <c r="U195" i="2"/>
  <c r="T195" i="2"/>
  <c r="S195" i="2"/>
  <c r="R195" i="2"/>
  <c r="Q195" i="2"/>
  <c r="P195" i="2"/>
  <c r="O195" i="2"/>
  <c r="U194" i="2"/>
  <c r="T194" i="2"/>
  <c r="S194" i="2"/>
  <c r="R194" i="2"/>
  <c r="Q194" i="2"/>
  <c r="P194" i="2"/>
  <c r="O194" i="2"/>
  <c r="U193" i="2"/>
  <c r="T193" i="2"/>
  <c r="S193" i="2"/>
  <c r="R193" i="2"/>
  <c r="Q193" i="2"/>
  <c r="P193" i="2"/>
  <c r="O193" i="2"/>
  <c r="U192" i="2"/>
  <c r="T192" i="2"/>
  <c r="S192" i="2"/>
  <c r="R192" i="2"/>
  <c r="Q192" i="2"/>
  <c r="P192" i="2"/>
  <c r="O192" i="2"/>
  <c r="U191" i="2"/>
  <c r="T191" i="2"/>
  <c r="S191" i="2"/>
  <c r="R191" i="2"/>
  <c r="Q191" i="2"/>
  <c r="P191" i="2"/>
  <c r="O191" i="2"/>
  <c r="U190" i="2"/>
  <c r="T190" i="2"/>
  <c r="S190" i="2"/>
  <c r="R190" i="2"/>
  <c r="Q190" i="2"/>
  <c r="P190" i="2"/>
  <c r="O190" i="2"/>
  <c r="U189" i="2"/>
  <c r="T189" i="2"/>
  <c r="S189" i="2"/>
  <c r="R189" i="2"/>
  <c r="Q189" i="2"/>
  <c r="P189" i="2"/>
  <c r="O189" i="2"/>
  <c r="U188" i="2"/>
  <c r="T188" i="2"/>
  <c r="S188" i="2"/>
  <c r="R188" i="2"/>
  <c r="Q188" i="2"/>
  <c r="P188" i="2"/>
  <c r="O188" i="2"/>
  <c r="U187" i="2"/>
  <c r="T187" i="2"/>
  <c r="S187" i="2"/>
  <c r="R187" i="2"/>
  <c r="Q187" i="2"/>
  <c r="P187" i="2"/>
  <c r="O187" i="2"/>
  <c r="U186" i="2"/>
  <c r="T186" i="2"/>
  <c r="S186" i="2"/>
  <c r="R186" i="2"/>
  <c r="Q186" i="2"/>
  <c r="P186" i="2"/>
  <c r="O186" i="2"/>
  <c r="U185" i="2"/>
  <c r="T185" i="2"/>
  <c r="S185" i="2"/>
  <c r="R185" i="2"/>
  <c r="Q185" i="2"/>
  <c r="P185" i="2"/>
  <c r="O185" i="2"/>
  <c r="U184" i="2"/>
  <c r="T184" i="2"/>
  <c r="S184" i="2"/>
  <c r="R184" i="2"/>
  <c r="Q184" i="2"/>
  <c r="P184" i="2"/>
  <c r="O184" i="2"/>
  <c r="U183" i="2"/>
  <c r="T183" i="2"/>
  <c r="S183" i="2"/>
  <c r="R183" i="2"/>
  <c r="Q183" i="2"/>
  <c r="P183" i="2"/>
  <c r="O183" i="2"/>
  <c r="U182" i="2"/>
  <c r="T182" i="2"/>
  <c r="S182" i="2"/>
  <c r="R182" i="2"/>
  <c r="Q182" i="2"/>
  <c r="P182" i="2"/>
  <c r="O182" i="2"/>
  <c r="U181" i="2"/>
  <c r="T181" i="2"/>
  <c r="S181" i="2"/>
  <c r="R181" i="2"/>
  <c r="Q181" i="2"/>
  <c r="P181" i="2"/>
  <c r="O181" i="2"/>
  <c r="U180" i="2"/>
  <c r="T180" i="2"/>
  <c r="S180" i="2"/>
  <c r="R180" i="2"/>
  <c r="Q180" i="2"/>
  <c r="P180" i="2"/>
  <c r="O180" i="2"/>
  <c r="U179" i="2"/>
  <c r="T179" i="2"/>
  <c r="S179" i="2"/>
  <c r="R179" i="2"/>
  <c r="Q179" i="2"/>
  <c r="P179" i="2"/>
  <c r="O179" i="2"/>
  <c r="U178" i="2"/>
  <c r="T178" i="2"/>
  <c r="S178" i="2"/>
  <c r="R178" i="2"/>
  <c r="Q178" i="2"/>
  <c r="P178" i="2"/>
  <c r="O178" i="2"/>
  <c r="U177" i="2"/>
  <c r="T177" i="2"/>
  <c r="S177" i="2"/>
  <c r="R177" i="2"/>
  <c r="Q177" i="2"/>
  <c r="P177" i="2"/>
  <c r="O177" i="2"/>
  <c r="U176" i="2"/>
  <c r="T176" i="2"/>
  <c r="S176" i="2"/>
  <c r="R176" i="2"/>
  <c r="Q176" i="2"/>
  <c r="P176" i="2"/>
  <c r="O176" i="2"/>
  <c r="U175" i="2"/>
  <c r="T175" i="2"/>
  <c r="S175" i="2"/>
  <c r="R175" i="2"/>
  <c r="Q175" i="2"/>
  <c r="P175" i="2"/>
  <c r="O175" i="2"/>
  <c r="U174" i="2"/>
  <c r="T174" i="2"/>
  <c r="S174" i="2"/>
  <c r="R174" i="2"/>
  <c r="Q174" i="2"/>
  <c r="P174" i="2"/>
  <c r="O174" i="2"/>
  <c r="U173" i="2"/>
  <c r="T173" i="2"/>
  <c r="S173" i="2"/>
  <c r="R173" i="2"/>
  <c r="Q173" i="2"/>
  <c r="P173" i="2"/>
  <c r="O173" i="2"/>
  <c r="U172" i="2"/>
  <c r="T172" i="2"/>
  <c r="S172" i="2"/>
  <c r="R172" i="2"/>
  <c r="Q172" i="2"/>
  <c r="P172" i="2"/>
  <c r="O172" i="2"/>
  <c r="U171" i="2"/>
  <c r="T171" i="2"/>
  <c r="S171" i="2"/>
  <c r="R171" i="2"/>
  <c r="Q171" i="2"/>
  <c r="P171" i="2"/>
  <c r="O171" i="2"/>
  <c r="U170" i="2"/>
  <c r="T170" i="2"/>
  <c r="S170" i="2"/>
  <c r="R170" i="2"/>
  <c r="Q170" i="2"/>
  <c r="P170" i="2"/>
  <c r="O170" i="2"/>
  <c r="U169" i="2"/>
  <c r="T169" i="2"/>
  <c r="S169" i="2"/>
  <c r="R169" i="2"/>
  <c r="Q169" i="2"/>
  <c r="P169" i="2"/>
  <c r="O169" i="2"/>
  <c r="U168" i="2"/>
  <c r="T168" i="2"/>
  <c r="S168" i="2"/>
  <c r="R168" i="2"/>
  <c r="Q168" i="2"/>
  <c r="P168" i="2"/>
  <c r="O168" i="2"/>
  <c r="U167" i="2"/>
  <c r="T167" i="2"/>
  <c r="S167" i="2"/>
  <c r="R167" i="2"/>
  <c r="Q167" i="2"/>
  <c r="P167" i="2"/>
  <c r="O167" i="2"/>
  <c r="U166" i="2"/>
  <c r="T166" i="2"/>
  <c r="S166" i="2"/>
  <c r="R166" i="2"/>
  <c r="Q166" i="2"/>
  <c r="P166" i="2"/>
  <c r="O166" i="2"/>
  <c r="U165" i="2"/>
  <c r="T165" i="2"/>
  <c r="S165" i="2"/>
  <c r="R165" i="2"/>
  <c r="Q165" i="2"/>
  <c r="P165" i="2"/>
  <c r="O165" i="2"/>
  <c r="U164" i="2"/>
  <c r="T164" i="2"/>
  <c r="S164" i="2"/>
  <c r="R164" i="2"/>
  <c r="Q164" i="2"/>
  <c r="P164" i="2"/>
  <c r="O164" i="2"/>
  <c r="U163" i="2"/>
  <c r="T163" i="2"/>
  <c r="S163" i="2"/>
  <c r="R163" i="2"/>
  <c r="Q163" i="2"/>
  <c r="P163" i="2"/>
  <c r="O163" i="2"/>
  <c r="U162" i="2"/>
  <c r="T162" i="2"/>
  <c r="S162" i="2"/>
  <c r="R162" i="2"/>
  <c r="Q162" i="2"/>
  <c r="P162" i="2"/>
  <c r="O162" i="2"/>
  <c r="U161" i="2"/>
  <c r="T161" i="2"/>
  <c r="S161" i="2"/>
  <c r="R161" i="2"/>
  <c r="Q161" i="2"/>
  <c r="P161" i="2"/>
  <c r="O161" i="2"/>
  <c r="U160" i="2"/>
  <c r="T160" i="2"/>
  <c r="S160" i="2"/>
  <c r="R160" i="2"/>
  <c r="Q160" i="2"/>
  <c r="P160" i="2"/>
  <c r="O160" i="2"/>
  <c r="U159" i="2"/>
  <c r="T159" i="2"/>
  <c r="S159" i="2"/>
  <c r="R159" i="2"/>
  <c r="Q159" i="2"/>
  <c r="P159" i="2"/>
  <c r="O159" i="2"/>
  <c r="U158" i="2"/>
  <c r="T158" i="2"/>
  <c r="S158" i="2"/>
  <c r="R158" i="2"/>
  <c r="Q158" i="2"/>
  <c r="P158" i="2"/>
  <c r="O158" i="2"/>
  <c r="U157" i="2"/>
  <c r="T157" i="2"/>
  <c r="S157" i="2"/>
  <c r="R157" i="2"/>
  <c r="Q157" i="2"/>
  <c r="P157" i="2"/>
  <c r="O157" i="2"/>
  <c r="U156" i="2"/>
  <c r="T156" i="2"/>
  <c r="S156" i="2"/>
  <c r="R156" i="2"/>
  <c r="Q156" i="2"/>
  <c r="P156" i="2"/>
  <c r="O156" i="2"/>
  <c r="U155" i="2"/>
  <c r="T155" i="2"/>
  <c r="S155" i="2"/>
  <c r="R155" i="2"/>
  <c r="Q155" i="2"/>
  <c r="P155" i="2"/>
  <c r="O155" i="2"/>
  <c r="U154" i="2"/>
  <c r="T154" i="2"/>
  <c r="S154" i="2"/>
  <c r="R154" i="2"/>
  <c r="Q154" i="2"/>
  <c r="P154" i="2"/>
  <c r="O154" i="2"/>
  <c r="U153" i="2"/>
  <c r="T153" i="2"/>
  <c r="S153" i="2"/>
  <c r="R153" i="2"/>
  <c r="Q153" i="2"/>
  <c r="P153" i="2"/>
  <c r="O153" i="2"/>
  <c r="U152" i="2"/>
  <c r="T152" i="2"/>
  <c r="S152" i="2"/>
  <c r="R152" i="2"/>
  <c r="Q152" i="2"/>
  <c r="P152" i="2"/>
  <c r="O152" i="2"/>
  <c r="U151" i="2"/>
  <c r="T151" i="2"/>
  <c r="S151" i="2"/>
  <c r="R151" i="2"/>
  <c r="Q151" i="2"/>
  <c r="P151" i="2"/>
  <c r="O151" i="2"/>
  <c r="U150" i="2"/>
  <c r="T150" i="2"/>
  <c r="S150" i="2"/>
  <c r="R150" i="2"/>
  <c r="Q150" i="2"/>
  <c r="P150" i="2"/>
  <c r="O150" i="2"/>
  <c r="U149" i="2"/>
  <c r="T149" i="2"/>
  <c r="S149" i="2"/>
  <c r="R149" i="2"/>
  <c r="Q149" i="2"/>
  <c r="P149" i="2"/>
  <c r="O149" i="2"/>
  <c r="U148" i="2"/>
  <c r="T148" i="2"/>
  <c r="S148" i="2"/>
  <c r="R148" i="2"/>
  <c r="Q148" i="2"/>
  <c r="P148" i="2"/>
  <c r="O148" i="2"/>
  <c r="U147" i="2"/>
  <c r="T147" i="2"/>
  <c r="S147" i="2"/>
  <c r="R147" i="2"/>
  <c r="Q147" i="2"/>
  <c r="P147" i="2"/>
  <c r="O147" i="2"/>
  <c r="U146" i="2"/>
  <c r="T146" i="2"/>
  <c r="S146" i="2"/>
  <c r="R146" i="2"/>
  <c r="Q146" i="2"/>
  <c r="P146" i="2"/>
  <c r="O146" i="2"/>
  <c r="U145" i="2"/>
  <c r="T145" i="2"/>
  <c r="S145" i="2"/>
  <c r="R145" i="2"/>
  <c r="Q145" i="2"/>
  <c r="P145" i="2"/>
  <c r="O145" i="2"/>
  <c r="U144" i="2"/>
  <c r="T144" i="2"/>
  <c r="S144" i="2"/>
  <c r="R144" i="2"/>
  <c r="Q144" i="2"/>
  <c r="P144" i="2"/>
  <c r="O144" i="2"/>
  <c r="U143" i="2"/>
  <c r="T143" i="2"/>
  <c r="S143" i="2"/>
  <c r="R143" i="2"/>
  <c r="Q143" i="2"/>
  <c r="P143" i="2"/>
  <c r="O143" i="2"/>
  <c r="U142" i="2"/>
  <c r="T142" i="2"/>
  <c r="S142" i="2"/>
  <c r="R142" i="2"/>
  <c r="Q142" i="2"/>
  <c r="P142" i="2"/>
  <c r="O142" i="2"/>
  <c r="U141" i="2"/>
  <c r="T141" i="2"/>
  <c r="S141" i="2"/>
  <c r="R141" i="2"/>
  <c r="Q141" i="2"/>
  <c r="P141" i="2"/>
  <c r="O141" i="2"/>
  <c r="U140" i="2"/>
  <c r="T140" i="2"/>
  <c r="S140" i="2"/>
  <c r="R140" i="2"/>
  <c r="Q140" i="2"/>
  <c r="P140" i="2"/>
  <c r="O140" i="2"/>
  <c r="U139" i="2"/>
  <c r="T139" i="2"/>
  <c r="S139" i="2"/>
  <c r="R139" i="2"/>
  <c r="Q139" i="2"/>
  <c r="P139" i="2"/>
  <c r="O139" i="2"/>
  <c r="U138" i="2"/>
  <c r="T138" i="2"/>
  <c r="S138" i="2"/>
  <c r="R138" i="2"/>
  <c r="Q138" i="2"/>
  <c r="P138" i="2"/>
  <c r="O138" i="2"/>
  <c r="U137" i="2"/>
  <c r="T137" i="2"/>
  <c r="S137" i="2"/>
  <c r="R137" i="2"/>
  <c r="Q137" i="2"/>
  <c r="P137" i="2"/>
  <c r="O137" i="2"/>
  <c r="U136" i="2"/>
  <c r="T136" i="2"/>
  <c r="S136" i="2"/>
  <c r="R136" i="2"/>
  <c r="Q136" i="2"/>
  <c r="P136" i="2"/>
  <c r="O136" i="2"/>
  <c r="U135" i="2"/>
  <c r="T135" i="2"/>
  <c r="S135" i="2"/>
  <c r="R135" i="2"/>
  <c r="Q135" i="2"/>
  <c r="P135" i="2"/>
  <c r="O135" i="2"/>
  <c r="U134" i="2"/>
  <c r="T134" i="2"/>
  <c r="S134" i="2"/>
  <c r="R134" i="2"/>
  <c r="Q134" i="2"/>
  <c r="P134" i="2"/>
  <c r="O134" i="2"/>
  <c r="U133" i="2"/>
  <c r="T133" i="2"/>
  <c r="S133" i="2"/>
  <c r="R133" i="2"/>
  <c r="Q133" i="2"/>
  <c r="P133" i="2"/>
  <c r="O133" i="2"/>
  <c r="U132" i="2"/>
  <c r="T132" i="2"/>
  <c r="S132" i="2"/>
  <c r="R132" i="2"/>
  <c r="Q132" i="2"/>
  <c r="P132" i="2"/>
  <c r="O132" i="2"/>
  <c r="U131" i="2"/>
  <c r="T131" i="2"/>
  <c r="S131" i="2"/>
  <c r="R131" i="2"/>
  <c r="Q131" i="2"/>
  <c r="P131" i="2"/>
  <c r="O131" i="2"/>
  <c r="U130" i="2"/>
  <c r="T130" i="2"/>
  <c r="S130" i="2"/>
  <c r="R130" i="2"/>
  <c r="Q130" i="2"/>
  <c r="P130" i="2"/>
  <c r="O130" i="2"/>
  <c r="U129" i="2"/>
  <c r="T129" i="2"/>
  <c r="S129" i="2"/>
  <c r="R129" i="2"/>
  <c r="Q129" i="2"/>
  <c r="P129" i="2"/>
  <c r="O129" i="2"/>
  <c r="U128" i="2"/>
  <c r="T128" i="2"/>
  <c r="S128" i="2"/>
  <c r="R128" i="2"/>
  <c r="Q128" i="2"/>
  <c r="P128" i="2"/>
  <c r="O128" i="2"/>
  <c r="U127" i="2"/>
  <c r="T127" i="2"/>
  <c r="S127" i="2"/>
  <c r="R127" i="2"/>
  <c r="Q127" i="2"/>
  <c r="P127" i="2"/>
  <c r="O127" i="2"/>
  <c r="U126" i="2"/>
  <c r="T126" i="2"/>
  <c r="S126" i="2"/>
  <c r="R126" i="2"/>
  <c r="Q126" i="2"/>
  <c r="P126" i="2"/>
  <c r="O126" i="2"/>
  <c r="U125" i="2"/>
  <c r="T125" i="2"/>
  <c r="S125" i="2"/>
  <c r="R125" i="2"/>
  <c r="Q125" i="2"/>
  <c r="P125" i="2"/>
  <c r="O125" i="2"/>
  <c r="U124" i="2"/>
  <c r="T124" i="2"/>
  <c r="S124" i="2"/>
  <c r="R124" i="2"/>
  <c r="Q124" i="2"/>
  <c r="P124" i="2"/>
  <c r="O124" i="2"/>
  <c r="U123" i="2"/>
  <c r="T123" i="2"/>
  <c r="S123" i="2"/>
  <c r="R123" i="2"/>
  <c r="Q123" i="2"/>
  <c r="P123" i="2"/>
  <c r="O123" i="2"/>
  <c r="U122" i="2"/>
  <c r="T122" i="2"/>
  <c r="S122" i="2"/>
  <c r="R122" i="2"/>
  <c r="Q122" i="2"/>
  <c r="P122" i="2"/>
  <c r="O122" i="2"/>
  <c r="U121" i="2"/>
  <c r="T121" i="2"/>
  <c r="S121" i="2"/>
  <c r="R121" i="2"/>
  <c r="Q121" i="2"/>
  <c r="P121" i="2"/>
  <c r="O121" i="2"/>
  <c r="U120" i="2"/>
  <c r="T120" i="2"/>
  <c r="S120" i="2"/>
  <c r="R120" i="2"/>
  <c r="Q120" i="2"/>
  <c r="P120" i="2"/>
  <c r="O120" i="2"/>
  <c r="U119" i="2"/>
  <c r="T119" i="2"/>
  <c r="S119" i="2"/>
  <c r="R119" i="2"/>
  <c r="Q119" i="2"/>
  <c r="P119" i="2"/>
  <c r="O119" i="2"/>
  <c r="U118" i="2"/>
  <c r="T118" i="2"/>
  <c r="S118" i="2"/>
  <c r="R118" i="2"/>
  <c r="Q118" i="2"/>
  <c r="P118" i="2"/>
  <c r="O118" i="2"/>
  <c r="U117" i="2"/>
  <c r="T117" i="2"/>
  <c r="S117" i="2"/>
  <c r="R117" i="2"/>
  <c r="Q117" i="2"/>
  <c r="P117" i="2"/>
  <c r="O117" i="2"/>
  <c r="U116" i="2"/>
  <c r="T116" i="2"/>
  <c r="S116" i="2"/>
  <c r="R116" i="2"/>
  <c r="Q116" i="2"/>
  <c r="P116" i="2"/>
  <c r="O116" i="2"/>
  <c r="U115" i="2"/>
  <c r="T115" i="2"/>
  <c r="S115" i="2"/>
  <c r="R115" i="2"/>
  <c r="Q115" i="2"/>
  <c r="P115" i="2"/>
  <c r="O115" i="2"/>
  <c r="U114" i="2"/>
  <c r="T114" i="2"/>
  <c r="S114" i="2"/>
  <c r="R114" i="2"/>
  <c r="Q114" i="2"/>
  <c r="P114" i="2"/>
  <c r="O114" i="2"/>
  <c r="U113" i="2"/>
  <c r="T113" i="2"/>
  <c r="S113" i="2"/>
  <c r="R113" i="2"/>
  <c r="Q113" i="2"/>
  <c r="P113" i="2"/>
  <c r="O113" i="2"/>
  <c r="U112" i="2"/>
  <c r="T112" i="2"/>
  <c r="S112" i="2"/>
  <c r="R112" i="2"/>
  <c r="Q112" i="2"/>
  <c r="P112" i="2"/>
  <c r="O112" i="2"/>
  <c r="U111" i="2"/>
  <c r="T111" i="2"/>
  <c r="S111" i="2"/>
  <c r="R111" i="2"/>
  <c r="Q111" i="2"/>
  <c r="P111" i="2"/>
  <c r="O111" i="2"/>
  <c r="U110" i="2"/>
  <c r="T110" i="2"/>
  <c r="S110" i="2"/>
  <c r="R110" i="2"/>
  <c r="Q110" i="2"/>
  <c r="P110" i="2"/>
  <c r="O110" i="2"/>
  <c r="U109" i="2"/>
  <c r="T109" i="2"/>
  <c r="S109" i="2"/>
  <c r="R109" i="2"/>
  <c r="Q109" i="2"/>
  <c r="P109" i="2"/>
  <c r="O109" i="2"/>
  <c r="U108" i="2"/>
  <c r="T108" i="2"/>
  <c r="S108" i="2"/>
  <c r="R108" i="2"/>
  <c r="Q108" i="2"/>
  <c r="P108" i="2"/>
  <c r="O108" i="2"/>
  <c r="U107" i="2"/>
  <c r="T107" i="2"/>
  <c r="S107" i="2"/>
  <c r="R107" i="2"/>
  <c r="Q107" i="2"/>
  <c r="P107" i="2"/>
  <c r="O107" i="2"/>
  <c r="U106" i="2"/>
  <c r="T106" i="2"/>
  <c r="S106" i="2"/>
  <c r="R106" i="2"/>
  <c r="Q106" i="2"/>
  <c r="P106" i="2"/>
  <c r="O106" i="2"/>
  <c r="U105" i="2"/>
  <c r="T105" i="2"/>
  <c r="S105" i="2"/>
  <c r="R105" i="2"/>
  <c r="Q105" i="2"/>
  <c r="P105" i="2"/>
  <c r="O105" i="2"/>
  <c r="U104" i="2"/>
  <c r="T104" i="2"/>
  <c r="S104" i="2"/>
  <c r="R104" i="2"/>
  <c r="Q104" i="2"/>
  <c r="P104" i="2"/>
  <c r="O104" i="2"/>
  <c r="U103" i="2"/>
  <c r="T103" i="2"/>
  <c r="S103" i="2"/>
  <c r="R103" i="2"/>
  <c r="Q103" i="2"/>
  <c r="P103" i="2"/>
  <c r="O103" i="2"/>
  <c r="U102" i="2"/>
  <c r="T102" i="2"/>
  <c r="S102" i="2"/>
  <c r="R102" i="2"/>
  <c r="Q102" i="2"/>
  <c r="P102" i="2"/>
  <c r="O102" i="2"/>
  <c r="U101" i="2"/>
  <c r="T101" i="2"/>
  <c r="S101" i="2"/>
  <c r="R101" i="2"/>
  <c r="Q101" i="2"/>
  <c r="P101" i="2"/>
  <c r="O101" i="2"/>
  <c r="U100" i="2"/>
  <c r="T100" i="2"/>
  <c r="S100" i="2"/>
  <c r="R100" i="2"/>
  <c r="Q100" i="2"/>
  <c r="P100" i="2"/>
  <c r="O100" i="2"/>
  <c r="U99" i="2"/>
  <c r="T99" i="2"/>
  <c r="S99" i="2"/>
  <c r="R99" i="2"/>
  <c r="Q99" i="2"/>
  <c r="P99" i="2"/>
  <c r="O99" i="2"/>
  <c r="U98" i="2"/>
  <c r="T98" i="2"/>
  <c r="S98" i="2"/>
  <c r="R98" i="2"/>
  <c r="Q98" i="2"/>
  <c r="P98" i="2"/>
  <c r="O98" i="2"/>
  <c r="U97" i="2"/>
  <c r="T97" i="2"/>
  <c r="S97" i="2"/>
  <c r="R97" i="2"/>
  <c r="Q97" i="2"/>
  <c r="P97" i="2"/>
  <c r="O97" i="2"/>
  <c r="U96" i="2"/>
  <c r="T96" i="2"/>
  <c r="S96" i="2"/>
  <c r="R96" i="2"/>
  <c r="Q96" i="2"/>
  <c r="P96" i="2"/>
  <c r="O96" i="2"/>
  <c r="U95" i="2"/>
  <c r="T95" i="2"/>
  <c r="S95" i="2"/>
  <c r="R95" i="2"/>
  <c r="Q95" i="2"/>
  <c r="P95" i="2"/>
  <c r="O95" i="2"/>
  <c r="U94" i="2"/>
  <c r="T94" i="2"/>
  <c r="S94" i="2"/>
  <c r="R94" i="2"/>
  <c r="Q94" i="2"/>
  <c r="P94" i="2"/>
  <c r="O94" i="2"/>
  <c r="U93" i="2"/>
  <c r="T93" i="2"/>
  <c r="S93" i="2"/>
  <c r="R93" i="2"/>
  <c r="Q93" i="2"/>
  <c r="P93" i="2"/>
  <c r="O93" i="2"/>
  <c r="U92" i="2"/>
  <c r="T92" i="2"/>
  <c r="S92" i="2"/>
  <c r="R92" i="2"/>
  <c r="Q92" i="2"/>
  <c r="P92" i="2"/>
  <c r="O92" i="2"/>
  <c r="U91" i="2"/>
  <c r="T91" i="2"/>
  <c r="S91" i="2"/>
  <c r="R91" i="2"/>
  <c r="Q91" i="2"/>
  <c r="P91" i="2"/>
  <c r="O91" i="2"/>
  <c r="U90" i="2"/>
  <c r="T90" i="2"/>
  <c r="S90" i="2"/>
  <c r="R90" i="2"/>
  <c r="Q90" i="2"/>
  <c r="P90" i="2"/>
  <c r="O90" i="2"/>
  <c r="U89" i="2"/>
  <c r="T89" i="2"/>
  <c r="S89" i="2"/>
  <c r="R89" i="2"/>
  <c r="Q89" i="2"/>
  <c r="P89" i="2"/>
  <c r="O89" i="2"/>
  <c r="U88" i="2"/>
  <c r="T88" i="2"/>
  <c r="S88" i="2"/>
  <c r="R88" i="2"/>
  <c r="Q88" i="2"/>
  <c r="P88" i="2"/>
  <c r="O88" i="2"/>
  <c r="U87" i="2"/>
  <c r="T87" i="2"/>
  <c r="S87" i="2"/>
  <c r="R87" i="2"/>
  <c r="Q87" i="2"/>
  <c r="P87" i="2"/>
  <c r="O87" i="2"/>
  <c r="U86" i="2"/>
  <c r="T86" i="2"/>
  <c r="S86" i="2"/>
  <c r="R86" i="2"/>
  <c r="Q86" i="2"/>
  <c r="P86" i="2"/>
  <c r="O86" i="2"/>
  <c r="U85" i="2"/>
  <c r="T85" i="2"/>
  <c r="S85" i="2"/>
  <c r="R85" i="2"/>
  <c r="Q85" i="2"/>
  <c r="P85" i="2"/>
  <c r="O85" i="2"/>
  <c r="U84" i="2"/>
  <c r="T84" i="2"/>
  <c r="S84" i="2"/>
  <c r="R84" i="2"/>
  <c r="Q84" i="2"/>
  <c r="P84" i="2"/>
  <c r="O84" i="2"/>
  <c r="U83" i="2"/>
  <c r="T83" i="2"/>
  <c r="S83" i="2"/>
  <c r="R83" i="2"/>
  <c r="Q83" i="2"/>
  <c r="P83" i="2"/>
  <c r="O83" i="2"/>
  <c r="U82" i="2"/>
  <c r="T82" i="2"/>
  <c r="S82" i="2"/>
  <c r="R82" i="2"/>
  <c r="Q82" i="2"/>
  <c r="P82" i="2"/>
  <c r="O82" i="2"/>
  <c r="U81" i="2"/>
  <c r="T81" i="2"/>
  <c r="S81" i="2"/>
  <c r="R81" i="2"/>
  <c r="Q81" i="2"/>
  <c r="P81" i="2"/>
  <c r="O81" i="2"/>
  <c r="U80" i="2"/>
  <c r="T80" i="2"/>
  <c r="S80" i="2"/>
  <c r="R80" i="2"/>
  <c r="Q80" i="2"/>
  <c r="P80" i="2"/>
  <c r="O80" i="2"/>
  <c r="U79" i="2"/>
  <c r="T79" i="2"/>
  <c r="S79" i="2"/>
  <c r="R79" i="2"/>
  <c r="Q79" i="2"/>
  <c r="P79" i="2"/>
  <c r="O79" i="2"/>
  <c r="U78" i="2"/>
  <c r="T78" i="2"/>
  <c r="S78" i="2"/>
  <c r="R78" i="2"/>
  <c r="Q78" i="2"/>
  <c r="P78" i="2"/>
  <c r="O78" i="2"/>
  <c r="U77" i="2"/>
  <c r="T77" i="2"/>
  <c r="S77" i="2"/>
  <c r="R77" i="2"/>
  <c r="Q77" i="2"/>
  <c r="P77" i="2"/>
  <c r="O77" i="2"/>
  <c r="U76" i="2"/>
  <c r="T76" i="2"/>
  <c r="S76" i="2"/>
  <c r="R76" i="2"/>
  <c r="Q76" i="2"/>
  <c r="P76" i="2"/>
  <c r="O76" i="2"/>
  <c r="U75" i="2"/>
  <c r="T75" i="2"/>
  <c r="S75" i="2"/>
  <c r="R75" i="2"/>
  <c r="Q75" i="2"/>
  <c r="P75" i="2"/>
  <c r="O75" i="2"/>
  <c r="U74" i="2"/>
  <c r="T74" i="2"/>
  <c r="S74" i="2"/>
  <c r="R74" i="2"/>
  <c r="Q74" i="2"/>
  <c r="P74" i="2"/>
  <c r="O74" i="2"/>
  <c r="U73" i="2"/>
  <c r="T73" i="2"/>
  <c r="S73" i="2"/>
  <c r="R73" i="2"/>
  <c r="Q73" i="2"/>
  <c r="P73" i="2"/>
  <c r="O73" i="2"/>
  <c r="U72" i="2"/>
  <c r="T72" i="2"/>
  <c r="S72" i="2"/>
  <c r="R72" i="2"/>
  <c r="Q72" i="2"/>
  <c r="P72" i="2"/>
  <c r="O72" i="2"/>
  <c r="U71" i="2"/>
  <c r="T71" i="2"/>
  <c r="S71" i="2"/>
  <c r="R71" i="2"/>
  <c r="Q71" i="2"/>
  <c r="P71" i="2"/>
  <c r="O71" i="2"/>
  <c r="U70" i="2"/>
  <c r="T70" i="2"/>
  <c r="S70" i="2"/>
  <c r="R70" i="2"/>
  <c r="Q70" i="2"/>
  <c r="P70" i="2"/>
  <c r="O70" i="2"/>
  <c r="U69" i="2"/>
  <c r="T69" i="2"/>
  <c r="S69" i="2"/>
  <c r="R69" i="2"/>
  <c r="Q69" i="2"/>
  <c r="P69" i="2"/>
  <c r="O69" i="2"/>
  <c r="U68" i="2"/>
  <c r="T68" i="2"/>
  <c r="S68" i="2"/>
  <c r="R68" i="2"/>
  <c r="Q68" i="2"/>
  <c r="P68" i="2"/>
  <c r="O68" i="2"/>
  <c r="U67" i="2"/>
  <c r="T67" i="2"/>
  <c r="S67" i="2"/>
  <c r="R67" i="2"/>
  <c r="Q67" i="2"/>
  <c r="P67" i="2"/>
  <c r="O67" i="2"/>
  <c r="U66" i="2"/>
  <c r="T66" i="2"/>
  <c r="S66" i="2"/>
  <c r="R66" i="2"/>
  <c r="Q66" i="2"/>
  <c r="P66" i="2"/>
  <c r="O66" i="2"/>
  <c r="U65" i="2"/>
  <c r="T65" i="2"/>
  <c r="S65" i="2"/>
  <c r="R65" i="2"/>
  <c r="Q65" i="2"/>
  <c r="P65" i="2"/>
  <c r="O65" i="2"/>
  <c r="U64" i="2"/>
  <c r="T64" i="2"/>
  <c r="S64" i="2"/>
  <c r="R64" i="2"/>
  <c r="Q64" i="2"/>
  <c r="P64" i="2"/>
  <c r="O64" i="2"/>
  <c r="U63" i="2"/>
  <c r="T63" i="2"/>
  <c r="S63" i="2"/>
  <c r="R63" i="2"/>
  <c r="Q63" i="2"/>
  <c r="P63" i="2"/>
  <c r="O63" i="2"/>
  <c r="U62" i="2"/>
  <c r="T62" i="2"/>
  <c r="S62" i="2"/>
  <c r="R62" i="2"/>
  <c r="Q62" i="2"/>
  <c r="P62" i="2"/>
  <c r="O62" i="2"/>
  <c r="U61" i="2"/>
  <c r="T61" i="2"/>
  <c r="S61" i="2"/>
  <c r="R61" i="2"/>
  <c r="Q61" i="2"/>
  <c r="P61" i="2"/>
  <c r="O61" i="2"/>
  <c r="U60" i="2"/>
  <c r="T60" i="2"/>
  <c r="S60" i="2"/>
  <c r="R60" i="2"/>
  <c r="Q60" i="2"/>
  <c r="P60" i="2"/>
  <c r="O60" i="2"/>
  <c r="U59" i="2"/>
  <c r="T59" i="2"/>
  <c r="S59" i="2"/>
  <c r="R59" i="2"/>
  <c r="Q59" i="2"/>
  <c r="P59" i="2"/>
  <c r="O59" i="2"/>
  <c r="U58" i="2"/>
  <c r="T58" i="2"/>
  <c r="S58" i="2"/>
  <c r="R58" i="2"/>
  <c r="Q58" i="2"/>
  <c r="P58" i="2"/>
  <c r="O58" i="2"/>
  <c r="U57" i="2"/>
  <c r="T57" i="2"/>
  <c r="S57" i="2"/>
  <c r="R57" i="2"/>
  <c r="Q57" i="2"/>
  <c r="P57" i="2"/>
  <c r="O57" i="2"/>
  <c r="U56" i="2"/>
  <c r="T56" i="2"/>
  <c r="S56" i="2"/>
  <c r="R56" i="2"/>
  <c r="Q56" i="2"/>
  <c r="P56" i="2"/>
  <c r="O56" i="2"/>
  <c r="U55" i="2"/>
  <c r="T55" i="2"/>
  <c r="S55" i="2"/>
  <c r="R55" i="2"/>
  <c r="Q55" i="2"/>
  <c r="P55" i="2"/>
  <c r="O55" i="2"/>
  <c r="U54" i="2"/>
  <c r="T54" i="2"/>
  <c r="S54" i="2"/>
  <c r="R54" i="2"/>
  <c r="Q54" i="2"/>
  <c r="P54" i="2"/>
  <c r="O54" i="2"/>
  <c r="U53" i="2"/>
  <c r="T53" i="2"/>
  <c r="S53" i="2"/>
  <c r="R53" i="2"/>
  <c r="Q53" i="2"/>
  <c r="P53" i="2"/>
  <c r="O53" i="2"/>
  <c r="U52" i="2"/>
  <c r="T52" i="2"/>
  <c r="S52" i="2"/>
  <c r="R52" i="2"/>
  <c r="Q52" i="2"/>
  <c r="P52" i="2"/>
  <c r="O52" i="2"/>
  <c r="U51" i="2"/>
  <c r="T51" i="2"/>
  <c r="S51" i="2"/>
  <c r="R51" i="2"/>
  <c r="Q51" i="2"/>
  <c r="P51" i="2"/>
  <c r="O51" i="2"/>
  <c r="U50" i="2"/>
  <c r="T50" i="2"/>
  <c r="S50" i="2"/>
  <c r="R50" i="2"/>
  <c r="Q50" i="2"/>
  <c r="P50" i="2"/>
  <c r="O50" i="2"/>
  <c r="U49" i="2"/>
  <c r="T49" i="2"/>
  <c r="S49" i="2"/>
  <c r="R49" i="2"/>
  <c r="Q49" i="2"/>
  <c r="P49" i="2"/>
  <c r="O49" i="2"/>
  <c r="U48" i="2"/>
  <c r="T48" i="2"/>
  <c r="S48" i="2"/>
  <c r="R48" i="2"/>
  <c r="Q48" i="2"/>
  <c r="P48" i="2"/>
  <c r="O48" i="2"/>
  <c r="U47" i="2"/>
  <c r="T47" i="2"/>
  <c r="S47" i="2"/>
  <c r="R47" i="2"/>
  <c r="Q47" i="2"/>
  <c r="P47" i="2"/>
  <c r="O47" i="2"/>
  <c r="U46" i="2"/>
  <c r="T46" i="2"/>
  <c r="S46" i="2"/>
  <c r="R46" i="2"/>
  <c r="Q46" i="2"/>
  <c r="P46" i="2"/>
  <c r="O46" i="2"/>
  <c r="U45" i="2"/>
  <c r="T45" i="2"/>
  <c r="S45" i="2"/>
  <c r="R45" i="2"/>
  <c r="Q45" i="2"/>
  <c r="P45" i="2"/>
  <c r="O45" i="2"/>
  <c r="U44" i="2"/>
  <c r="T44" i="2"/>
  <c r="S44" i="2"/>
  <c r="R44" i="2"/>
  <c r="Q44" i="2"/>
  <c r="P44" i="2"/>
  <c r="O44" i="2"/>
  <c r="U43" i="2"/>
  <c r="T43" i="2"/>
  <c r="S43" i="2"/>
  <c r="R43" i="2"/>
  <c r="Q43" i="2"/>
  <c r="P43" i="2"/>
  <c r="O43" i="2"/>
  <c r="U42" i="2"/>
  <c r="T42" i="2"/>
  <c r="S42" i="2"/>
  <c r="R42" i="2"/>
  <c r="Q42" i="2"/>
  <c r="P42" i="2"/>
  <c r="O42" i="2"/>
  <c r="U41" i="2"/>
  <c r="T41" i="2"/>
  <c r="S41" i="2"/>
  <c r="R41" i="2"/>
  <c r="Q41" i="2"/>
  <c r="P41" i="2"/>
  <c r="O41" i="2"/>
  <c r="U40" i="2"/>
  <c r="T40" i="2"/>
  <c r="S40" i="2"/>
  <c r="R40" i="2"/>
  <c r="Q40" i="2"/>
  <c r="P40" i="2"/>
  <c r="O40" i="2"/>
  <c r="U39" i="2"/>
  <c r="T39" i="2"/>
  <c r="S39" i="2"/>
  <c r="R39" i="2"/>
  <c r="Q39" i="2"/>
  <c r="P39" i="2"/>
  <c r="O39" i="2"/>
  <c r="U38" i="2"/>
  <c r="T38" i="2"/>
  <c r="S38" i="2"/>
  <c r="R38" i="2"/>
  <c r="Q38" i="2"/>
  <c r="P38" i="2"/>
  <c r="O38" i="2"/>
  <c r="U37" i="2"/>
  <c r="T37" i="2"/>
  <c r="S37" i="2"/>
  <c r="R37" i="2"/>
  <c r="Q37" i="2"/>
  <c r="P37" i="2"/>
  <c r="O37" i="2"/>
  <c r="U36" i="2"/>
  <c r="T36" i="2"/>
  <c r="S36" i="2"/>
  <c r="R36" i="2"/>
  <c r="Q36" i="2"/>
  <c r="P36" i="2"/>
  <c r="O36" i="2"/>
  <c r="U35" i="2"/>
  <c r="T35" i="2"/>
  <c r="S35" i="2"/>
  <c r="R35" i="2"/>
  <c r="Q35" i="2"/>
  <c r="P35" i="2"/>
  <c r="O35" i="2"/>
  <c r="U34" i="2"/>
  <c r="T34" i="2"/>
  <c r="S34" i="2"/>
  <c r="R34" i="2"/>
  <c r="Q34" i="2"/>
  <c r="P34" i="2"/>
  <c r="O34" i="2"/>
  <c r="U33" i="2"/>
  <c r="T33" i="2"/>
  <c r="S33" i="2"/>
  <c r="R33" i="2"/>
  <c r="Q33" i="2"/>
  <c r="P33" i="2"/>
  <c r="O33" i="2"/>
  <c r="U32" i="2"/>
  <c r="T32" i="2"/>
  <c r="S32" i="2"/>
  <c r="R32" i="2"/>
  <c r="Q32" i="2"/>
  <c r="P32" i="2"/>
  <c r="O32" i="2"/>
  <c r="U31" i="2"/>
  <c r="T31" i="2"/>
  <c r="S31" i="2"/>
  <c r="R31" i="2"/>
  <c r="Q31" i="2"/>
  <c r="P31" i="2"/>
  <c r="O31" i="2"/>
  <c r="U30" i="2"/>
  <c r="T30" i="2"/>
  <c r="S30" i="2"/>
  <c r="R30" i="2"/>
  <c r="Q30" i="2"/>
  <c r="P30" i="2"/>
  <c r="O30" i="2"/>
  <c r="U29" i="2"/>
  <c r="T29" i="2"/>
  <c r="S29" i="2"/>
  <c r="R29" i="2"/>
  <c r="Q29" i="2"/>
  <c r="P29" i="2"/>
  <c r="O29" i="2"/>
  <c r="U28" i="2"/>
  <c r="T28" i="2"/>
  <c r="S28" i="2"/>
  <c r="R28" i="2"/>
  <c r="Q28" i="2"/>
  <c r="P28" i="2"/>
  <c r="O28" i="2"/>
  <c r="U27" i="2"/>
  <c r="T27" i="2"/>
  <c r="S27" i="2"/>
  <c r="R27" i="2"/>
  <c r="Q27" i="2"/>
  <c r="P27" i="2"/>
  <c r="O27" i="2"/>
  <c r="U26" i="2"/>
  <c r="T26" i="2"/>
  <c r="S26" i="2"/>
  <c r="R26" i="2"/>
  <c r="Q26" i="2"/>
  <c r="P26" i="2"/>
  <c r="O26" i="2"/>
  <c r="U25" i="2"/>
  <c r="T25" i="2"/>
  <c r="S25" i="2"/>
  <c r="R25" i="2"/>
  <c r="Q25" i="2"/>
  <c r="P25" i="2"/>
  <c r="O25" i="2"/>
  <c r="U24" i="2"/>
  <c r="T24" i="2"/>
  <c r="S24" i="2"/>
  <c r="R24" i="2"/>
  <c r="Q24" i="2"/>
  <c r="P24" i="2"/>
  <c r="O24" i="2"/>
  <c r="U23" i="2"/>
  <c r="T23" i="2"/>
  <c r="S23" i="2"/>
  <c r="R23" i="2"/>
  <c r="Q23" i="2"/>
  <c r="P23" i="2"/>
  <c r="O23" i="2"/>
  <c r="U22" i="2"/>
  <c r="T22" i="2"/>
  <c r="S22" i="2"/>
  <c r="R22" i="2"/>
  <c r="Q22" i="2"/>
  <c r="P22" i="2"/>
  <c r="O22" i="2"/>
  <c r="U21" i="2"/>
  <c r="T21" i="2"/>
  <c r="S21" i="2"/>
  <c r="R21" i="2"/>
  <c r="Q21" i="2"/>
  <c r="P21" i="2"/>
  <c r="O21" i="2"/>
  <c r="U20" i="2"/>
  <c r="T20" i="2"/>
  <c r="S20" i="2"/>
  <c r="R20" i="2"/>
  <c r="Q20" i="2"/>
  <c r="P20" i="2"/>
  <c r="O20" i="2"/>
  <c r="U19" i="2"/>
  <c r="T19" i="2"/>
  <c r="S19" i="2"/>
  <c r="R19" i="2"/>
  <c r="Q19" i="2"/>
  <c r="P19" i="2"/>
  <c r="O19" i="2"/>
  <c r="U18" i="2"/>
  <c r="T18" i="2"/>
  <c r="S18" i="2"/>
  <c r="R18" i="2"/>
  <c r="Q18" i="2"/>
  <c r="P18" i="2"/>
  <c r="O18" i="2"/>
  <c r="U17" i="2"/>
  <c r="T17" i="2"/>
  <c r="S17" i="2"/>
  <c r="R17" i="2"/>
  <c r="Q17" i="2"/>
  <c r="P17" i="2"/>
  <c r="O17" i="2"/>
  <c r="U16" i="2"/>
  <c r="T16" i="2"/>
  <c r="S16" i="2"/>
  <c r="R16" i="2"/>
  <c r="Q16" i="2"/>
  <c r="P16" i="2"/>
  <c r="O16" i="2"/>
  <c r="U15" i="2"/>
  <c r="T15" i="2"/>
  <c r="S15" i="2"/>
  <c r="R15" i="2"/>
  <c r="Q15" i="2"/>
  <c r="P15" i="2"/>
  <c r="O15" i="2"/>
  <c r="U14" i="2"/>
  <c r="T14" i="2"/>
  <c r="S14" i="2"/>
  <c r="R14" i="2"/>
  <c r="Q14" i="2"/>
  <c r="P14" i="2"/>
  <c r="O14" i="2"/>
  <c r="U13" i="2"/>
  <c r="T13" i="2"/>
  <c r="S13" i="2"/>
  <c r="R13" i="2"/>
  <c r="Q13" i="2"/>
  <c r="P13" i="2"/>
  <c r="O13" i="2"/>
  <c r="U12" i="2"/>
  <c r="T12" i="2"/>
  <c r="S12" i="2"/>
  <c r="R12" i="2"/>
  <c r="Q12" i="2"/>
  <c r="P12" i="2"/>
  <c r="O12" i="2"/>
  <c r="U11" i="2"/>
  <c r="T11" i="2"/>
  <c r="S11" i="2"/>
  <c r="R11" i="2"/>
  <c r="Q11" i="2"/>
  <c r="P11" i="2"/>
  <c r="O11" i="2"/>
  <c r="U10" i="2"/>
  <c r="T10" i="2"/>
  <c r="S10" i="2"/>
  <c r="R10" i="2"/>
  <c r="Q10" i="2"/>
  <c r="P10" i="2"/>
  <c r="O10" i="2"/>
  <c r="U9" i="2"/>
  <c r="T9" i="2"/>
  <c r="S9" i="2"/>
  <c r="R9" i="2"/>
  <c r="Q9" i="2"/>
  <c r="P9" i="2"/>
  <c r="O9" i="2"/>
  <c r="U8" i="2"/>
  <c r="T8" i="2"/>
  <c r="S8" i="2"/>
  <c r="R8" i="2"/>
  <c r="Q8" i="2"/>
  <c r="P8" i="2"/>
  <c r="O8" i="2"/>
  <c r="U7" i="2"/>
  <c r="T7" i="2"/>
  <c r="S7" i="2"/>
  <c r="R7" i="2"/>
  <c r="Q7" i="2"/>
  <c r="P7" i="2"/>
  <c r="O7" i="2"/>
  <c r="U6" i="2"/>
  <c r="T6" i="2"/>
  <c r="S6" i="2"/>
  <c r="R6" i="2"/>
  <c r="Q6" i="2"/>
  <c r="P6" i="2"/>
  <c r="O6" i="2"/>
  <c r="U5" i="2"/>
  <c r="T5" i="2"/>
  <c r="S5" i="2"/>
  <c r="R5" i="2"/>
  <c r="Q5" i="2"/>
  <c r="P5" i="2"/>
  <c r="O5" i="2"/>
  <c r="U4" i="2"/>
  <c r="T4" i="2"/>
  <c r="S4" i="2"/>
  <c r="R4" i="2"/>
  <c r="Q4" i="2"/>
  <c r="P4" i="2"/>
  <c r="O4" i="2"/>
  <c r="U3" i="2"/>
  <c r="T3" i="2"/>
  <c r="S3" i="2"/>
  <c r="R3" i="2"/>
  <c r="Q3" i="2"/>
  <c r="P3" i="2"/>
  <c r="O3" i="2"/>
  <c r="U2" i="2"/>
  <c r="T2" i="2"/>
  <c r="S2" i="2"/>
  <c r="R2" i="2"/>
  <c r="Q2" i="2"/>
  <c r="P2" i="2"/>
  <c r="O2" i="2"/>
  <c r="U343" i="3"/>
  <c r="T343" i="3"/>
  <c r="S343" i="3"/>
  <c r="R343" i="3"/>
  <c r="Q343" i="3"/>
  <c r="P343" i="3"/>
  <c r="O343" i="3"/>
  <c r="U342" i="3"/>
  <c r="T342" i="3"/>
  <c r="S342" i="3"/>
  <c r="R342" i="3"/>
  <c r="Q342" i="3"/>
  <c r="P342" i="3"/>
  <c r="O342" i="3"/>
  <c r="U341" i="3"/>
  <c r="T341" i="3"/>
  <c r="S341" i="3"/>
  <c r="R341" i="3"/>
  <c r="Q341" i="3"/>
  <c r="P341" i="3"/>
  <c r="O341" i="3"/>
  <c r="U340" i="3"/>
  <c r="T340" i="3"/>
  <c r="S340" i="3"/>
  <c r="R340" i="3"/>
  <c r="Q340" i="3"/>
  <c r="P340" i="3"/>
  <c r="O340" i="3"/>
  <c r="U339" i="3"/>
  <c r="T339" i="3"/>
  <c r="S339" i="3"/>
  <c r="R339" i="3"/>
  <c r="Q339" i="3"/>
  <c r="P339" i="3"/>
  <c r="O339" i="3"/>
  <c r="U338" i="3"/>
  <c r="T338" i="3"/>
  <c r="S338" i="3"/>
  <c r="R338" i="3"/>
  <c r="Q338" i="3"/>
  <c r="P338" i="3"/>
  <c r="O338" i="3"/>
  <c r="U337" i="3"/>
  <c r="T337" i="3"/>
  <c r="S337" i="3"/>
  <c r="R337" i="3"/>
  <c r="Q337" i="3"/>
  <c r="P337" i="3"/>
  <c r="O337" i="3"/>
  <c r="U336" i="3"/>
  <c r="T336" i="3"/>
  <c r="S336" i="3"/>
  <c r="R336" i="3"/>
  <c r="Q336" i="3"/>
  <c r="P336" i="3"/>
  <c r="O336" i="3"/>
  <c r="U335" i="3"/>
  <c r="T335" i="3"/>
  <c r="S335" i="3"/>
  <c r="R335" i="3"/>
  <c r="Q335" i="3"/>
  <c r="P335" i="3"/>
  <c r="O335" i="3"/>
  <c r="U334" i="3"/>
  <c r="T334" i="3"/>
  <c r="S334" i="3"/>
  <c r="R334" i="3"/>
  <c r="Q334" i="3"/>
  <c r="P334" i="3"/>
  <c r="O334" i="3"/>
  <c r="U333" i="3"/>
  <c r="T333" i="3"/>
  <c r="S333" i="3"/>
  <c r="R333" i="3"/>
  <c r="Q333" i="3"/>
  <c r="P333" i="3"/>
  <c r="O333" i="3"/>
  <c r="U332" i="3"/>
  <c r="T332" i="3"/>
  <c r="S332" i="3"/>
  <c r="R332" i="3"/>
  <c r="Q332" i="3"/>
  <c r="P332" i="3"/>
  <c r="O332" i="3"/>
  <c r="U331" i="3"/>
  <c r="T331" i="3"/>
  <c r="S331" i="3"/>
  <c r="R331" i="3"/>
  <c r="Q331" i="3"/>
  <c r="P331" i="3"/>
  <c r="O331" i="3"/>
  <c r="U330" i="3"/>
  <c r="T330" i="3"/>
  <c r="S330" i="3"/>
  <c r="R330" i="3"/>
  <c r="Q330" i="3"/>
  <c r="P330" i="3"/>
  <c r="O330" i="3"/>
  <c r="U329" i="3"/>
  <c r="T329" i="3"/>
  <c r="S329" i="3"/>
  <c r="R329" i="3"/>
  <c r="Q329" i="3"/>
  <c r="P329" i="3"/>
  <c r="O329" i="3"/>
  <c r="U328" i="3"/>
  <c r="T328" i="3"/>
  <c r="S328" i="3"/>
  <c r="R328" i="3"/>
  <c r="Q328" i="3"/>
  <c r="P328" i="3"/>
  <c r="O328" i="3"/>
  <c r="U327" i="3"/>
  <c r="T327" i="3"/>
  <c r="S327" i="3"/>
  <c r="R327" i="3"/>
  <c r="Q327" i="3"/>
  <c r="P327" i="3"/>
  <c r="O327" i="3"/>
  <c r="U326" i="3"/>
  <c r="T326" i="3"/>
  <c r="S326" i="3"/>
  <c r="R326" i="3"/>
  <c r="Q326" i="3"/>
  <c r="P326" i="3"/>
  <c r="O326" i="3"/>
  <c r="U325" i="3"/>
  <c r="T325" i="3"/>
  <c r="S325" i="3"/>
  <c r="R325" i="3"/>
  <c r="Q325" i="3"/>
  <c r="P325" i="3"/>
  <c r="O325" i="3"/>
  <c r="U324" i="3"/>
  <c r="T324" i="3"/>
  <c r="S324" i="3"/>
  <c r="R324" i="3"/>
  <c r="Q324" i="3"/>
  <c r="P324" i="3"/>
  <c r="O324" i="3"/>
  <c r="U323" i="3"/>
  <c r="T323" i="3"/>
  <c r="S323" i="3"/>
  <c r="R323" i="3"/>
  <c r="Q323" i="3"/>
  <c r="P323" i="3"/>
  <c r="O323" i="3"/>
  <c r="U322" i="3"/>
  <c r="T322" i="3"/>
  <c r="S322" i="3"/>
  <c r="R322" i="3"/>
  <c r="Q322" i="3"/>
  <c r="P322" i="3"/>
  <c r="O322" i="3"/>
  <c r="U321" i="3"/>
  <c r="T321" i="3"/>
  <c r="S321" i="3"/>
  <c r="R321" i="3"/>
  <c r="Q321" i="3"/>
  <c r="P321" i="3"/>
  <c r="O321" i="3"/>
  <c r="U320" i="3"/>
  <c r="T320" i="3"/>
  <c r="S320" i="3"/>
  <c r="R320" i="3"/>
  <c r="Q320" i="3"/>
  <c r="P320" i="3"/>
  <c r="O320" i="3"/>
  <c r="U319" i="3"/>
  <c r="T319" i="3"/>
  <c r="S319" i="3"/>
  <c r="R319" i="3"/>
  <c r="Q319" i="3"/>
  <c r="P319" i="3"/>
  <c r="O319" i="3"/>
  <c r="U318" i="3"/>
  <c r="T318" i="3"/>
  <c r="S318" i="3"/>
  <c r="R318" i="3"/>
  <c r="Q318" i="3"/>
  <c r="P318" i="3"/>
  <c r="O318" i="3"/>
  <c r="U317" i="3"/>
  <c r="T317" i="3"/>
  <c r="S317" i="3"/>
  <c r="R317" i="3"/>
  <c r="Q317" i="3"/>
  <c r="P317" i="3"/>
  <c r="O317" i="3"/>
  <c r="U316" i="3"/>
  <c r="T316" i="3"/>
  <c r="S316" i="3"/>
  <c r="R316" i="3"/>
  <c r="Q316" i="3"/>
  <c r="P316" i="3"/>
  <c r="O316" i="3"/>
  <c r="U315" i="3"/>
  <c r="T315" i="3"/>
  <c r="S315" i="3"/>
  <c r="R315" i="3"/>
  <c r="Q315" i="3"/>
  <c r="P315" i="3"/>
  <c r="O315" i="3"/>
  <c r="U314" i="3"/>
  <c r="T314" i="3"/>
  <c r="S314" i="3"/>
  <c r="R314" i="3"/>
  <c r="Q314" i="3"/>
  <c r="P314" i="3"/>
  <c r="O314" i="3"/>
  <c r="U313" i="3"/>
  <c r="T313" i="3"/>
  <c r="S313" i="3"/>
  <c r="R313" i="3"/>
  <c r="Q313" i="3"/>
  <c r="P313" i="3"/>
  <c r="O313" i="3"/>
  <c r="U312" i="3"/>
  <c r="T312" i="3"/>
  <c r="S312" i="3"/>
  <c r="R312" i="3"/>
  <c r="Q312" i="3"/>
  <c r="P312" i="3"/>
  <c r="O312" i="3"/>
  <c r="U311" i="3"/>
  <c r="T311" i="3"/>
  <c r="S311" i="3"/>
  <c r="R311" i="3"/>
  <c r="Q311" i="3"/>
  <c r="P311" i="3"/>
  <c r="O311" i="3"/>
  <c r="U310" i="3"/>
  <c r="T310" i="3"/>
  <c r="S310" i="3"/>
  <c r="R310" i="3"/>
  <c r="Q310" i="3"/>
  <c r="P310" i="3"/>
  <c r="O310" i="3"/>
  <c r="U309" i="3"/>
  <c r="T309" i="3"/>
  <c r="S309" i="3"/>
  <c r="R309" i="3"/>
  <c r="Q309" i="3"/>
  <c r="P309" i="3"/>
  <c r="O309" i="3"/>
  <c r="U308" i="3"/>
  <c r="T308" i="3"/>
  <c r="S308" i="3"/>
  <c r="R308" i="3"/>
  <c r="Q308" i="3"/>
  <c r="P308" i="3"/>
  <c r="O308" i="3"/>
  <c r="U307" i="3"/>
  <c r="T307" i="3"/>
  <c r="S307" i="3"/>
  <c r="R307" i="3"/>
  <c r="Q307" i="3"/>
  <c r="P307" i="3"/>
  <c r="O307" i="3"/>
  <c r="U306" i="3"/>
  <c r="T306" i="3"/>
  <c r="S306" i="3"/>
  <c r="R306" i="3"/>
  <c r="Q306" i="3"/>
  <c r="P306" i="3"/>
  <c r="O306" i="3"/>
  <c r="U305" i="3"/>
  <c r="T305" i="3"/>
  <c r="S305" i="3"/>
  <c r="R305" i="3"/>
  <c r="Q305" i="3"/>
  <c r="P305" i="3"/>
  <c r="O305" i="3"/>
  <c r="U304" i="3"/>
  <c r="T304" i="3"/>
  <c r="S304" i="3"/>
  <c r="R304" i="3"/>
  <c r="Q304" i="3"/>
  <c r="P304" i="3"/>
  <c r="O304" i="3"/>
  <c r="U303" i="3"/>
  <c r="T303" i="3"/>
  <c r="S303" i="3"/>
  <c r="R303" i="3"/>
  <c r="Q303" i="3"/>
  <c r="P303" i="3"/>
  <c r="O303" i="3"/>
  <c r="U302" i="3"/>
  <c r="T302" i="3"/>
  <c r="S302" i="3"/>
  <c r="R302" i="3"/>
  <c r="Q302" i="3"/>
  <c r="P302" i="3"/>
  <c r="O302" i="3"/>
  <c r="U301" i="3"/>
  <c r="T301" i="3"/>
  <c r="S301" i="3"/>
  <c r="R301" i="3"/>
  <c r="Q301" i="3"/>
  <c r="P301" i="3"/>
  <c r="O301" i="3"/>
  <c r="U300" i="3"/>
  <c r="T300" i="3"/>
  <c r="S300" i="3"/>
  <c r="R300" i="3"/>
  <c r="Q300" i="3"/>
  <c r="P300" i="3"/>
  <c r="O300" i="3"/>
  <c r="U299" i="3"/>
  <c r="T299" i="3"/>
  <c r="S299" i="3"/>
  <c r="R299" i="3"/>
  <c r="Q299" i="3"/>
  <c r="P299" i="3"/>
  <c r="O299" i="3"/>
  <c r="U298" i="3"/>
  <c r="T298" i="3"/>
  <c r="S298" i="3"/>
  <c r="R298" i="3"/>
  <c r="Q298" i="3"/>
  <c r="P298" i="3"/>
  <c r="O298" i="3"/>
  <c r="U297" i="3"/>
  <c r="T297" i="3"/>
  <c r="S297" i="3"/>
  <c r="R297" i="3"/>
  <c r="Q297" i="3"/>
  <c r="P297" i="3"/>
  <c r="O297" i="3"/>
  <c r="U296" i="3"/>
  <c r="T296" i="3"/>
  <c r="S296" i="3"/>
  <c r="R296" i="3"/>
  <c r="Q296" i="3"/>
  <c r="P296" i="3"/>
  <c r="O296" i="3"/>
  <c r="U295" i="3"/>
  <c r="T295" i="3"/>
  <c r="S295" i="3"/>
  <c r="R295" i="3"/>
  <c r="Q295" i="3"/>
  <c r="P295" i="3"/>
  <c r="O295" i="3"/>
  <c r="U294" i="3"/>
  <c r="T294" i="3"/>
  <c r="S294" i="3"/>
  <c r="R294" i="3"/>
  <c r="Q294" i="3"/>
  <c r="P294" i="3"/>
  <c r="O294" i="3"/>
  <c r="U293" i="3"/>
  <c r="T293" i="3"/>
  <c r="S293" i="3"/>
  <c r="R293" i="3"/>
  <c r="Q293" i="3"/>
  <c r="P293" i="3"/>
  <c r="O293" i="3"/>
  <c r="U292" i="3"/>
  <c r="T292" i="3"/>
  <c r="S292" i="3"/>
  <c r="R292" i="3"/>
  <c r="Q292" i="3"/>
  <c r="P292" i="3"/>
  <c r="O292" i="3"/>
  <c r="U291" i="3"/>
  <c r="T291" i="3"/>
  <c r="S291" i="3"/>
  <c r="R291" i="3"/>
  <c r="Q291" i="3"/>
  <c r="P291" i="3"/>
  <c r="O291" i="3"/>
  <c r="U290" i="3"/>
  <c r="T290" i="3"/>
  <c r="S290" i="3"/>
  <c r="R290" i="3"/>
  <c r="Q290" i="3"/>
  <c r="P290" i="3"/>
  <c r="O290" i="3"/>
  <c r="U289" i="3"/>
  <c r="T289" i="3"/>
  <c r="S289" i="3"/>
  <c r="R289" i="3"/>
  <c r="Q289" i="3"/>
  <c r="P289" i="3"/>
  <c r="O289" i="3"/>
  <c r="U288" i="3"/>
  <c r="T288" i="3"/>
  <c r="S288" i="3"/>
  <c r="R288" i="3"/>
  <c r="Q288" i="3"/>
  <c r="P288" i="3"/>
  <c r="O288" i="3"/>
  <c r="U287" i="3"/>
  <c r="T287" i="3"/>
  <c r="S287" i="3"/>
  <c r="R287" i="3"/>
  <c r="Q287" i="3"/>
  <c r="P287" i="3"/>
  <c r="O287" i="3"/>
  <c r="U286" i="3"/>
  <c r="T286" i="3"/>
  <c r="S286" i="3"/>
  <c r="R286" i="3"/>
  <c r="Q286" i="3"/>
  <c r="P286" i="3"/>
  <c r="O286" i="3"/>
  <c r="U285" i="3"/>
  <c r="T285" i="3"/>
  <c r="S285" i="3"/>
  <c r="R285" i="3"/>
  <c r="Q285" i="3"/>
  <c r="P285" i="3"/>
  <c r="O285" i="3"/>
  <c r="U284" i="3"/>
  <c r="T284" i="3"/>
  <c r="S284" i="3"/>
  <c r="R284" i="3"/>
  <c r="Q284" i="3"/>
  <c r="P284" i="3"/>
  <c r="O284" i="3"/>
  <c r="U283" i="3"/>
  <c r="T283" i="3"/>
  <c r="S283" i="3"/>
  <c r="R283" i="3"/>
  <c r="Q283" i="3"/>
  <c r="P283" i="3"/>
  <c r="O283" i="3"/>
  <c r="U282" i="3"/>
  <c r="T282" i="3"/>
  <c r="S282" i="3"/>
  <c r="R282" i="3"/>
  <c r="Q282" i="3"/>
  <c r="P282" i="3"/>
  <c r="O282" i="3"/>
  <c r="U281" i="3"/>
  <c r="T281" i="3"/>
  <c r="S281" i="3"/>
  <c r="R281" i="3"/>
  <c r="Q281" i="3"/>
  <c r="P281" i="3"/>
  <c r="O281" i="3"/>
  <c r="U280" i="3"/>
  <c r="T280" i="3"/>
  <c r="S280" i="3"/>
  <c r="R280" i="3"/>
  <c r="Q280" i="3"/>
  <c r="P280" i="3"/>
  <c r="O280" i="3"/>
  <c r="U279" i="3"/>
  <c r="T279" i="3"/>
  <c r="S279" i="3"/>
  <c r="R279" i="3"/>
  <c r="Q279" i="3"/>
  <c r="P279" i="3"/>
  <c r="O279" i="3"/>
  <c r="U278" i="3"/>
  <c r="T278" i="3"/>
  <c r="S278" i="3"/>
  <c r="R278" i="3"/>
  <c r="Q278" i="3"/>
  <c r="P278" i="3"/>
  <c r="O278" i="3"/>
  <c r="U277" i="3"/>
  <c r="T277" i="3"/>
  <c r="S277" i="3"/>
  <c r="R277" i="3"/>
  <c r="Q277" i="3"/>
  <c r="P277" i="3"/>
  <c r="O277" i="3"/>
  <c r="U276" i="3"/>
  <c r="T276" i="3"/>
  <c r="S276" i="3"/>
  <c r="R276" i="3"/>
  <c r="Q276" i="3"/>
  <c r="P276" i="3"/>
  <c r="O276" i="3"/>
  <c r="U275" i="3"/>
  <c r="T275" i="3"/>
  <c r="S275" i="3"/>
  <c r="R275" i="3"/>
  <c r="Q275" i="3"/>
  <c r="P275" i="3"/>
  <c r="O275" i="3"/>
  <c r="U274" i="3"/>
  <c r="T274" i="3"/>
  <c r="S274" i="3"/>
  <c r="R274" i="3"/>
  <c r="Q274" i="3"/>
  <c r="P274" i="3"/>
  <c r="O274" i="3"/>
  <c r="U273" i="3"/>
  <c r="T273" i="3"/>
  <c r="S273" i="3"/>
  <c r="R273" i="3"/>
  <c r="Q273" i="3"/>
  <c r="P273" i="3"/>
  <c r="O273" i="3"/>
  <c r="U272" i="3"/>
  <c r="T272" i="3"/>
  <c r="S272" i="3"/>
  <c r="R272" i="3"/>
  <c r="Q272" i="3"/>
  <c r="P272" i="3"/>
  <c r="O272" i="3"/>
  <c r="U271" i="3"/>
  <c r="T271" i="3"/>
  <c r="S271" i="3"/>
  <c r="R271" i="3"/>
  <c r="Q271" i="3"/>
  <c r="P271" i="3"/>
  <c r="O271" i="3"/>
  <c r="U270" i="3"/>
  <c r="T270" i="3"/>
  <c r="S270" i="3"/>
  <c r="R270" i="3"/>
  <c r="Q270" i="3"/>
  <c r="P270" i="3"/>
  <c r="O270" i="3"/>
  <c r="U269" i="3"/>
  <c r="T269" i="3"/>
  <c r="S269" i="3"/>
  <c r="R269" i="3"/>
  <c r="Q269" i="3"/>
  <c r="P269" i="3"/>
  <c r="O269" i="3"/>
  <c r="U268" i="3"/>
  <c r="T268" i="3"/>
  <c r="S268" i="3"/>
  <c r="R268" i="3"/>
  <c r="Q268" i="3"/>
  <c r="P268" i="3"/>
  <c r="O268" i="3"/>
  <c r="U267" i="3"/>
  <c r="T267" i="3"/>
  <c r="S267" i="3"/>
  <c r="R267" i="3"/>
  <c r="Q267" i="3"/>
  <c r="P267" i="3"/>
  <c r="O267" i="3"/>
  <c r="U266" i="3"/>
  <c r="T266" i="3"/>
  <c r="S266" i="3"/>
  <c r="R266" i="3"/>
  <c r="Q266" i="3"/>
  <c r="P266" i="3"/>
  <c r="O266" i="3"/>
  <c r="U265" i="3"/>
  <c r="T265" i="3"/>
  <c r="S265" i="3"/>
  <c r="R265" i="3"/>
  <c r="Q265" i="3"/>
  <c r="P265" i="3"/>
  <c r="O265" i="3"/>
  <c r="U264" i="3"/>
  <c r="T264" i="3"/>
  <c r="S264" i="3"/>
  <c r="R264" i="3"/>
  <c r="Q264" i="3"/>
  <c r="P264" i="3"/>
  <c r="O264" i="3"/>
  <c r="U263" i="3"/>
  <c r="T263" i="3"/>
  <c r="S263" i="3"/>
  <c r="R263" i="3"/>
  <c r="Q263" i="3"/>
  <c r="P263" i="3"/>
  <c r="O263" i="3"/>
  <c r="U262" i="3"/>
  <c r="T262" i="3"/>
  <c r="S262" i="3"/>
  <c r="R262" i="3"/>
  <c r="Q262" i="3"/>
  <c r="P262" i="3"/>
  <c r="O262" i="3"/>
  <c r="U261" i="3"/>
  <c r="T261" i="3"/>
  <c r="S261" i="3"/>
  <c r="R261" i="3"/>
  <c r="Q261" i="3"/>
  <c r="P261" i="3"/>
  <c r="O261" i="3"/>
  <c r="U260" i="3"/>
  <c r="T260" i="3"/>
  <c r="S260" i="3"/>
  <c r="R260" i="3"/>
  <c r="Q260" i="3"/>
  <c r="P260" i="3"/>
  <c r="O260" i="3"/>
  <c r="U259" i="3"/>
  <c r="T259" i="3"/>
  <c r="S259" i="3"/>
  <c r="R259" i="3"/>
  <c r="Q259" i="3"/>
  <c r="P259" i="3"/>
  <c r="O259" i="3"/>
  <c r="U258" i="3"/>
  <c r="T258" i="3"/>
  <c r="S258" i="3"/>
  <c r="R258" i="3"/>
  <c r="Q258" i="3"/>
  <c r="P258" i="3"/>
  <c r="O258" i="3"/>
  <c r="U257" i="3"/>
  <c r="T257" i="3"/>
  <c r="S257" i="3"/>
  <c r="R257" i="3"/>
  <c r="Q257" i="3"/>
  <c r="P257" i="3"/>
  <c r="O257" i="3"/>
  <c r="U256" i="3"/>
  <c r="T256" i="3"/>
  <c r="S256" i="3"/>
  <c r="R256" i="3"/>
  <c r="Q256" i="3"/>
  <c r="P256" i="3"/>
  <c r="O256" i="3"/>
  <c r="U255" i="3"/>
  <c r="T255" i="3"/>
  <c r="S255" i="3"/>
  <c r="R255" i="3"/>
  <c r="Q255" i="3"/>
  <c r="P255" i="3"/>
  <c r="O255" i="3"/>
  <c r="U254" i="3"/>
  <c r="T254" i="3"/>
  <c r="S254" i="3"/>
  <c r="R254" i="3"/>
  <c r="Q254" i="3"/>
  <c r="P254" i="3"/>
  <c r="O254" i="3"/>
  <c r="U253" i="3"/>
  <c r="T253" i="3"/>
  <c r="S253" i="3"/>
  <c r="R253" i="3"/>
  <c r="Q253" i="3"/>
  <c r="P253" i="3"/>
  <c r="O253" i="3"/>
  <c r="U252" i="3"/>
  <c r="T252" i="3"/>
  <c r="S252" i="3"/>
  <c r="R252" i="3"/>
  <c r="Q252" i="3"/>
  <c r="P252" i="3"/>
  <c r="O252" i="3"/>
  <c r="U251" i="3"/>
  <c r="T251" i="3"/>
  <c r="S251" i="3"/>
  <c r="R251" i="3"/>
  <c r="Q251" i="3"/>
  <c r="P251" i="3"/>
  <c r="O251" i="3"/>
  <c r="U250" i="3"/>
  <c r="T250" i="3"/>
  <c r="S250" i="3"/>
  <c r="R250" i="3"/>
  <c r="Q250" i="3"/>
  <c r="P250" i="3"/>
  <c r="O250" i="3"/>
  <c r="U249" i="3"/>
  <c r="T249" i="3"/>
  <c r="S249" i="3"/>
  <c r="R249" i="3"/>
  <c r="Q249" i="3"/>
  <c r="P249" i="3"/>
  <c r="O249" i="3"/>
  <c r="U248" i="3"/>
  <c r="T248" i="3"/>
  <c r="S248" i="3"/>
  <c r="R248" i="3"/>
  <c r="Q248" i="3"/>
  <c r="P248" i="3"/>
  <c r="O248" i="3"/>
  <c r="U247" i="3"/>
  <c r="T247" i="3"/>
  <c r="S247" i="3"/>
  <c r="R247" i="3"/>
  <c r="Q247" i="3"/>
  <c r="P247" i="3"/>
  <c r="O247" i="3"/>
  <c r="U246" i="3"/>
  <c r="T246" i="3"/>
  <c r="S246" i="3"/>
  <c r="R246" i="3"/>
  <c r="Q246" i="3"/>
  <c r="P246" i="3"/>
  <c r="O246" i="3"/>
  <c r="U245" i="3"/>
  <c r="T245" i="3"/>
  <c r="S245" i="3"/>
  <c r="R245" i="3"/>
  <c r="Q245" i="3"/>
  <c r="P245" i="3"/>
  <c r="O245" i="3"/>
  <c r="U244" i="3"/>
  <c r="T244" i="3"/>
  <c r="S244" i="3"/>
  <c r="R244" i="3"/>
  <c r="Q244" i="3"/>
  <c r="P244" i="3"/>
  <c r="O244" i="3"/>
  <c r="U243" i="3"/>
  <c r="T243" i="3"/>
  <c r="S243" i="3"/>
  <c r="R243" i="3"/>
  <c r="Q243" i="3"/>
  <c r="P243" i="3"/>
  <c r="O243" i="3"/>
  <c r="U242" i="3"/>
  <c r="T242" i="3"/>
  <c r="S242" i="3"/>
  <c r="R242" i="3"/>
  <c r="Q242" i="3"/>
  <c r="P242" i="3"/>
  <c r="O242" i="3"/>
  <c r="U241" i="3"/>
  <c r="T241" i="3"/>
  <c r="S241" i="3"/>
  <c r="R241" i="3"/>
  <c r="Q241" i="3"/>
  <c r="P241" i="3"/>
  <c r="O241" i="3"/>
  <c r="U240" i="3"/>
  <c r="T240" i="3"/>
  <c r="S240" i="3"/>
  <c r="R240" i="3"/>
  <c r="Q240" i="3"/>
  <c r="P240" i="3"/>
  <c r="O240" i="3"/>
  <c r="U239" i="3"/>
  <c r="T239" i="3"/>
  <c r="S239" i="3"/>
  <c r="R239" i="3"/>
  <c r="Q239" i="3"/>
  <c r="P239" i="3"/>
  <c r="O239" i="3"/>
  <c r="U238" i="3"/>
  <c r="T238" i="3"/>
  <c r="S238" i="3"/>
  <c r="R238" i="3"/>
  <c r="Q238" i="3"/>
  <c r="P238" i="3"/>
  <c r="O238" i="3"/>
  <c r="U237" i="3"/>
  <c r="T237" i="3"/>
  <c r="S237" i="3"/>
  <c r="R237" i="3"/>
  <c r="Q237" i="3"/>
  <c r="P237" i="3"/>
  <c r="O237" i="3"/>
  <c r="U236" i="3"/>
  <c r="T236" i="3"/>
  <c r="S236" i="3"/>
  <c r="R236" i="3"/>
  <c r="Q236" i="3"/>
  <c r="P236" i="3"/>
  <c r="O236" i="3"/>
  <c r="U235" i="3"/>
  <c r="T235" i="3"/>
  <c r="S235" i="3"/>
  <c r="R235" i="3"/>
  <c r="Q235" i="3"/>
  <c r="P235" i="3"/>
  <c r="O235" i="3"/>
  <c r="U234" i="3"/>
  <c r="T234" i="3"/>
  <c r="S234" i="3"/>
  <c r="R234" i="3"/>
  <c r="Q234" i="3"/>
  <c r="P234" i="3"/>
  <c r="O234" i="3"/>
  <c r="U233" i="3"/>
  <c r="T233" i="3"/>
  <c r="S233" i="3"/>
  <c r="R233" i="3"/>
  <c r="Q233" i="3"/>
  <c r="P233" i="3"/>
  <c r="O233" i="3"/>
  <c r="U232" i="3"/>
  <c r="T232" i="3"/>
  <c r="S232" i="3"/>
  <c r="R232" i="3"/>
  <c r="Q232" i="3"/>
  <c r="P232" i="3"/>
  <c r="O232" i="3"/>
  <c r="U231" i="3"/>
  <c r="T231" i="3"/>
  <c r="S231" i="3"/>
  <c r="R231" i="3"/>
  <c r="Q231" i="3"/>
  <c r="P231" i="3"/>
  <c r="O231" i="3"/>
  <c r="U230" i="3"/>
  <c r="T230" i="3"/>
  <c r="S230" i="3"/>
  <c r="R230" i="3"/>
  <c r="Q230" i="3"/>
  <c r="P230" i="3"/>
  <c r="O230" i="3"/>
  <c r="U229" i="3"/>
  <c r="T229" i="3"/>
  <c r="S229" i="3"/>
  <c r="R229" i="3"/>
  <c r="Q229" i="3"/>
  <c r="P229" i="3"/>
  <c r="O229" i="3"/>
  <c r="U228" i="3"/>
  <c r="T228" i="3"/>
  <c r="S228" i="3"/>
  <c r="R228" i="3"/>
  <c r="Q228" i="3"/>
  <c r="P228" i="3"/>
  <c r="O228" i="3"/>
  <c r="U227" i="3"/>
  <c r="T227" i="3"/>
  <c r="S227" i="3"/>
  <c r="R227" i="3"/>
  <c r="Q227" i="3"/>
  <c r="P227" i="3"/>
  <c r="O227" i="3"/>
  <c r="U226" i="3"/>
  <c r="T226" i="3"/>
  <c r="S226" i="3"/>
  <c r="R226" i="3"/>
  <c r="Q226" i="3"/>
  <c r="P226" i="3"/>
  <c r="O226" i="3"/>
  <c r="U225" i="3"/>
  <c r="T225" i="3"/>
  <c r="S225" i="3"/>
  <c r="R225" i="3"/>
  <c r="Q225" i="3"/>
  <c r="P225" i="3"/>
  <c r="O225" i="3"/>
  <c r="U224" i="3"/>
  <c r="T224" i="3"/>
  <c r="S224" i="3"/>
  <c r="R224" i="3"/>
  <c r="Q224" i="3"/>
  <c r="P224" i="3"/>
  <c r="O224" i="3"/>
  <c r="U223" i="3"/>
  <c r="T223" i="3"/>
  <c r="S223" i="3"/>
  <c r="R223" i="3"/>
  <c r="Q223" i="3"/>
  <c r="P223" i="3"/>
  <c r="O223" i="3"/>
  <c r="U222" i="3"/>
  <c r="T222" i="3"/>
  <c r="S222" i="3"/>
  <c r="R222" i="3"/>
  <c r="Q222" i="3"/>
  <c r="P222" i="3"/>
  <c r="O222" i="3"/>
  <c r="U221" i="3"/>
  <c r="T221" i="3"/>
  <c r="S221" i="3"/>
  <c r="R221" i="3"/>
  <c r="Q221" i="3"/>
  <c r="P221" i="3"/>
  <c r="O221" i="3"/>
  <c r="U220" i="3"/>
  <c r="T220" i="3"/>
  <c r="S220" i="3"/>
  <c r="R220" i="3"/>
  <c r="Q220" i="3"/>
  <c r="P220" i="3"/>
  <c r="O220" i="3"/>
  <c r="U219" i="3"/>
  <c r="T219" i="3"/>
  <c r="S219" i="3"/>
  <c r="R219" i="3"/>
  <c r="Q219" i="3"/>
  <c r="P219" i="3"/>
  <c r="O219" i="3"/>
  <c r="U218" i="3"/>
  <c r="T218" i="3"/>
  <c r="S218" i="3"/>
  <c r="R218" i="3"/>
  <c r="Q218" i="3"/>
  <c r="P218" i="3"/>
  <c r="O218" i="3"/>
  <c r="U217" i="3"/>
  <c r="T217" i="3"/>
  <c r="S217" i="3"/>
  <c r="R217" i="3"/>
  <c r="Q217" i="3"/>
  <c r="P217" i="3"/>
  <c r="O217" i="3"/>
  <c r="U216" i="3"/>
  <c r="T216" i="3"/>
  <c r="S216" i="3"/>
  <c r="R216" i="3"/>
  <c r="Q216" i="3"/>
  <c r="P216" i="3"/>
  <c r="O216" i="3"/>
  <c r="U215" i="3"/>
  <c r="T215" i="3"/>
  <c r="S215" i="3"/>
  <c r="R215" i="3"/>
  <c r="Q215" i="3"/>
  <c r="P215" i="3"/>
  <c r="O215" i="3"/>
  <c r="U214" i="3"/>
  <c r="T214" i="3"/>
  <c r="S214" i="3"/>
  <c r="R214" i="3"/>
  <c r="Q214" i="3"/>
  <c r="P214" i="3"/>
  <c r="O214" i="3"/>
  <c r="U213" i="3"/>
  <c r="T213" i="3"/>
  <c r="S213" i="3"/>
  <c r="R213" i="3"/>
  <c r="Q213" i="3"/>
  <c r="P213" i="3"/>
  <c r="O213" i="3"/>
  <c r="U212" i="3"/>
  <c r="T212" i="3"/>
  <c r="S212" i="3"/>
  <c r="R212" i="3"/>
  <c r="Q212" i="3"/>
  <c r="P212" i="3"/>
  <c r="O212" i="3"/>
  <c r="U211" i="3"/>
  <c r="T211" i="3"/>
  <c r="S211" i="3"/>
  <c r="R211" i="3"/>
  <c r="Q211" i="3"/>
  <c r="P211" i="3"/>
  <c r="O211" i="3"/>
  <c r="U210" i="3"/>
  <c r="T210" i="3"/>
  <c r="S210" i="3"/>
  <c r="R210" i="3"/>
  <c r="Q210" i="3"/>
  <c r="P210" i="3"/>
  <c r="O210" i="3"/>
  <c r="U209" i="3"/>
  <c r="T209" i="3"/>
  <c r="S209" i="3"/>
  <c r="R209" i="3"/>
  <c r="Q209" i="3"/>
  <c r="P209" i="3"/>
  <c r="O209" i="3"/>
  <c r="U208" i="3"/>
  <c r="T208" i="3"/>
  <c r="S208" i="3"/>
  <c r="R208" i="3"/>
  <c r="Q208" i="3"/>
  <c r="P208" i="3"/>
  <c r="O208" i="3"/>
  <c r="U207" i="3"/>
  <c r="T207" i="3"/>
  <c r="S207" i="3"/>
  <c r="R207" i="3"/>
  <c r="Q207" i="3"/>
  <c r="P207" i="3"/>
  <c r="O207" i="3"/>
  <c r="U206" i="3"/>
  <c r="T206" i="3"/>
  <c r="S206" i="3"/>
  <c r="R206" i="3"/>
  <c r="Q206" i="3"/>
  <c r="P206" i="3"/>
  <c r="O206" i="3"/>
  <c r="U205" i="3"/>
  <c r="T205" i="3"/>
  <c r="S205" i="3"/>
  <c r="R205" i="3"/>
  <c r="Q205" i="3"/>
  <c r="P205" i="3"/>
  <c r="O205" i="3"/>
  <c r="U204" i="3"/>
  <c r="T204" i="3"/>
  <c r="S204" i="3"/>
  <c r="R204" i="3"/>
  <c r="Q204" i="3"/>
  <c r="P204" i="3"/>
  <c r="O204" i="3"/>
  <c r="U203" i="3"/>
  <c r="T203" i="3"/>
  <c r="S203" i="3"/>
  <c r="R203" i="3"/>
  <c r="Q203" i="3"/>
  <c r="P203" i="3"/>
  <c r="O203" i="3"/>
  <c r="U202" i="3"/>
  <c r="T202" i="3"/>
  <c r="S202" i="3"/>
  <c r="R202" i="3"/>
  <c r="Q202" i="3"/>
  <c r="P202" i="3"/>
  <c r="O202" i="3"/>
  <c r="U201" i="3"/>
  <c r="T201" i="3"/>
  <c r="S201" i="3"/>
  <c r="R201" i="3"/>
  <c r="Q201" i="3"/>
  <c r="P201" i="3"/>
  <c r="O201" i="3"/>
  <c r="U200" i="3"/>
  <c r="T200" i="3"/>
  <c r="S200" i="3"/>
  <c r="R200" i="3"/>
  <c r="Q200" i="3"/>
  <c r="P200" i="3"/>
  <c r="O200" i="3"/>
  <c r="U199" i="3"/>
  <c r="T199" i="3"/>
  <c r="S199" i="3"/>
  <c r="R199" i="3"/>
  <c r="Q199" i="3"/>
  <c r="P199" i="3"/>
  <c r="O199" i="3"/>
  <c r="U198" i="3"/>
  <c r="T198" i="3"/>
  <c r="S198" i="3"/>
  <c r="R198" i="3"/>
  <c r="Q198" i="3"/>
  <c r="P198" i="3"/>
  <c r="O198" i="3"/>
  <c r="U197" i="3"/>
  <c r="T197" i="3"/>
  <c r="S197" i="3"/>
  <c r="R197" i="3"/>
  <c r="Q197" i="3"/>
  <c r="P197" i="3"/>
  <c r="O197" i="3"/>
  <c r="U196" i="3"/>
  <c r="T196" i="3"/>
  <c r="S196" i="3"/>
  <c r="R196" i="3"/>
  <c r="Q196" i="3"/>
  <c r="P196" i="3"/>
  <c r="O196" i="3"/>
  <c r="U195" i="3"/>
  <c r="T195" i="3"/>
  <c r="S195" i="3"/>
  <c r="R195" i="3"/>
  <c r="Q195" i="3"/>
  <c r="P195" i="3"/>
  <c r="O195" i="3"/>
  <c r="U194" i="3"/>
  <c r="T194" i="3"/>
  <c r="S194" i="3"/>
  <c r="R194" i="3"/>
  <c r="Q194" i="3"/>
  <c r="P194" i="3"/>
  <c r="O194" i="3"/>
  <c r="U193" i="3"/>
  <c r="T193" i="3"/>
  <c r="S193" i="3"/>
  <c r="R193" i="3"/>
  <c r="Q193" i="3"/>
  <c r="P193" i="3"/>
  <c r="O193" i="3"/>
  <c r="U192" i="3"/>
  <c r="T192" i="3"/>
  <c r="S192" i="3"/>
  <c r="R192" i="3"/>
  <c r="Q192" i="3"/>
  <c r="P192" i="3"/>
  <c r="O192" i="3"/>
  <c r="U191" i="3"/>
  <c r="T191" i="3"/>
  <c r="S191" i="3"/>
  <c r="R191" i="3"/>
  <c r="Q191" i="3"/>
  <c r="P191" i="3"/>
  <c r="O191" i="3"/>
  <c r="U190" i="3"/>
  <c r="T190" i="3"/>
  <c r="S190" i="3"/>
  <c r="R190" i="3"/>
  <c r="Q190" i="3"/>
  <c r="P190" i="3"/>
  <c r="O190" i="3"/>
  <c r="U189" i="3"/>
  <c r="T189" i="3"/>
  <c r="S189" i="3"/>
  <c r="R189" i="3"/>
  <c r="Q189" i="3"/>
  <c r="P189" i="3"/>
  <c r="O189" i="3"/>
  <c r="U188" i="3"/>
  <c r="T188" i="3"/>
  <c r="S188" i="3"/>
  <c r="R188" i="3"/>
  <c r="Q188" i="3"/>
  <c r="P188" i="3"/>
  <c r="O188" i="3"/>
  <c r="U187" i="3"/>
  <c r="T187" i="3"/>
  <c r="S187" i="3"/>
  <c r="R187" i="3"/>
  <c r="Q187" i="3"/>
  <c r="P187" i="3"/>
  <c r="O187" i="3"/>
  <c r="U186" i="3"/>
  <c r="T186" i="3"/>
  <c r="S186" i="3"/>
  <c r="R186" i="3"/>
  <c r="Q186" i="3"/>
  <c r="P186" i="3"/>
  <c r="O186" i="3"/>
  <c r="U185" i="3"/>
  <c r="T185" i="3"/>
  <c r="S185" i="3"/>
  <c r="R185" i="3"/>
  <c r="Q185" i="3"/>
  <c r="P185" i="3"/>
  <c r="O185" i="3"/>
  <c r="U184" i="3"/>
  <c r="T184" i="3"/>
  <c r="S184" i="3"/>
  <c r="R184" i="3"/>
  <c r="Q184" i="3"/>
  <c r="P184" i="3"/>
  <c r="O184" i="3"/>
  <c r="U183" i="3"/>
  <c r="T183" i="3"/>
  <c r="S183" i="3"/>
  <c r="R183" i="3"/>
  <c r="Q183" i="3"/>
  <c r="P183" i="3"/>
  <c r="O183" i="3"/>
  <c r="U182" i="3"/>
  <c r="T182" i="3"/>
  <c r="S182" i="3"/>
  <c r="R182" i="3"/>
  <c r="Q182" i="3"/>
  <c r="P182" i="3"/>
  <c r="O182" i="3"/>
  <c r="U181" i="3"/>
  <c r="T181" i="3"/>
  <c r="S181" i="3"/>
  <c r="R181" i="3"/>
  <c r="Q181" i="3"/>
  <c r="P181" i="3"/>
  <c r="O181" i="3"/>
  <c r="U180" i="3"/>
  <c r="T180" i="3"/>
  <c r="S180" i="3"/>
  <c r="R180" i="3"/>
  <c r="Q180" i="3"/>
  <c r="P180" i="3"/>
  <c r="O180" i="3"/>
  <c r="U179" i="3"/>
  <c r="T179" i="3"/>
  <c r="S179" i="3"/>
  <c r="R179" i="3"/>
  <c r="Q179" i="3"/>
  <c r="P179" i="3"/>
  <c r="O179" i="3"/>
  <c r="U178" i="3"/>
  <c r="T178" i="3"/>
  <c r="S178" i="3"/>
  <c r="R178" i="3"/>
  <c r="Q178" i="3"/>
  <c r="P178" i="3"/>
  <c r="O178" i="3"/>
  <c r="U177" i="3"/>
  <c r="T177" i="3"/>
  <c r="S177" i="3"/>
  <c r="R177" i="3"/>
  <c r="Q177" i="3"/>
  <c r="P177" i="3"/>
  <c r="O177" i="3"/>
  <c r="U176" i="3"/>
  <c r="T176" i="3"/>
  <c r="S176" i="3"/>
  <c r="R176" i="3"/>
  <c r="Q176" i="3"/>
  <c r="P176" i="3"/>
  <c r="O176" i="3"/>
  <c r="U175" i="3"/>
  <c r="T175" i="3"/>
  <c r="S175" i="3"/>
  <c r="R175" i="3"/>
  <c r="Q175" i="3"/>
  <c r="P175" i="3"/>
  <c r="O175" i="3"/>
  <c r="U174" i="3"/>
  <c r="T174" i="3"/>
  <c r="S174" i="3"/>
  <c r="R174" i="3"/>
  <c r="Q174" i="3"/>
  <c r="P174" i="3"/>
  <c r="O174" i="3"/>
  <c r="U173" i="3"/>
  <c r="T173" i="3"/>
  <c r="S173" i="3"/>
  <c r="R173" i="3"/>
  <c r="Q173" i="3"/>
  <c r="P173" i="3"/>
  <c r="O173" i="3"/>
  <c r="U172" i="3"/>
  <c r="T172" i="3"/>
  <c r="S172" i="3"/>
  <c r="R172" i="3"/>
  <c r="Q172" i="3"/>
  <c r="P172" i="3"/>
  <c r="O172" i="3"/>
  <c r="U171" i="3"/>
  <c r="T171" i="3"/>
  <c r="S171" i="3"/>
  <c r="R171" i="3"/>
  <c r="Q171" i="3"/>
  <c r="P171" i="3"/>
  <c r="O171" i="3"/>
  <c r="U170" i="3"/>
  <c r="T170" i="3"/>
  <c r="S170" i="3"/>
  <c r="R170" i="3"/>
  <c r="Q170" i="3"/>
  <c r="P170" i="3"/>
  <c r="O170" i="3"/>
  <c r="U169" i="3"/>
  <c r="T169" i="3"/>
  <c r="S169" i="3"/>
  <c r="R169" i="3"/>
  <c r="Q169" i="3"/>
  <c r="P169" i="3"/>
  <c r="O169" i="3"/>
  <c r="U168" i="3"/>
  <c r="T168" i="3"/>
  <c r="S168" i="3"/>
  <c r="R168" i="3"/>
  <c r="Q168" i="3"/>
  <c r="P168" i="3"/>
  <c r="O168" i="3"/>
  <c r="U167" i="3"/>
  <c r="T167" i="3"/>
  <c r="S167" i="3"/>
  <c r="R167" i="3"/>
  <c r="Q167" i="3"/>
  <c r="P167" i="3"/>
  <c r="O167" i="3"/>
  <c r="U166" i="3"/>
  <c r="T166" i="3"/>
  <c r="S166" i="3"/>
  <c r="R166" i="3"/>
  <c r="Q166" i="3"/>
  <c r="P166" i="3"/>
  <c r="O166" i="3"/>
  <c r="U165" i="3"/>
  <c r="T165" i="3"/>
  <c r="S165" i="3"/>
  <c r="R165" i="3"/>
  <c r="Q165" i="3"/>
  <c r="P165" i="3"/>
  <c r="O165" i="3"/>
  <c r="U164" i="3"/>
  <c r="T164" i="3"/>
  <c r="S164" i="3"/>
  <c r="R164" i="3"/>
  <c r="Q164" i="3"/>
  <c r="P164" i="3"/>
  <c r="O164" i="3"/>
  <c r="U163" i="3"/>
  <c r="T163" i="3"/>
  <c r="S163" i="3"/>
  <c r="R163" i="3"/>
  <c r="Q163" i="3"/>
  <c r="P163" i="3"/>
  <c r="O163" i="3"/>
  <c r="U162" i="3"/>
  <c r="T162" i="3"/>
  <c r="S162" i="3"/>
  <c r="R162" i="3"/>
  <c r="Q162" i="3"/>
  <c r="P162" i="3"/>
  <c r="O162" i="3"/>
  <c r="U161" i="3"/>
  <c r="T161" i="3"/>
  <c r="S161" i="3"/>
  <c r="R161" i="3"/>
  <c r="Q161" i="3"/>
  <c r="P161" i="3"/>
  <c r="O161" i="3"/>
  <c r="U160" i="3"/>
  <c r="T160" i="3"/>
  <c r="S160" i="3"/>
  <c r="R160" i="3"/>
  <c r="Q160" i="3"/>
  <c r="P160" i="3"/>
  <c r="O160" i="3"/>
  <c r="U159" i="3"/>
  <c r="T159" i="3"/>
  <c r="S159" i="3"/>
  <c r="R159" i="3"/>
  <c r="Q159" i="3"/>
  <c r="P159" i="3"/>
  <c r="O159" i="3"/>
  <c r="U158" i="3"/>
  <c r="T158" i="3"/>
  <c r="S158" i="3"/>
  <c r="R158" i="3"/>
  <c r="Q158" i="3"/>
  <c r="P158" i="3"/>
  <c r="O158" i="3"/>
  <c r="U157" i="3"/>
  <c r="T157" i="3"/>
  <c r="S157" i="3"/>
  <c r="R157" i="3"/>
  <c r="Q157" i="3"/>
  <c r="P157" i="3"/>
  <c r="O157" i="3"/>
  <c r="U156" i="3"/>
  <c r="T156" i="3"/>
  <c r="S156" i="3"/>
  <c r="R156" i="3"/>
  <c r="Q156" i="3"/>
  <c r="P156" i="3"/>
  <c r="O156" i="3"/>
  <c r="U155" i="3"/>
  <c r="T155" i="3"/>
  <c r="S155" i="3"/>
  <c r="R155" i="3"/>
  <c r="Q155" i="3"/>
  <c r="P155" i="3"/>
  <c r="O155" i="3"/>
  <c r="U154" i="3"/>
  <c r="T154" i="3"/>
  <c r="S154" i="3"/>
  <c r="R154" i="3"/>
  <c r="Q154" i="3"/>
  <c r="P154" i="3"/>
  <c r="O154" i="3"/>
  <c r="U153" i="3"/>
  <c r="T153" i="3"/>
  <c r="S153" i="3"/>
  <c r="R153" i="3"/>
  <c r="Q153" i="3"/>
  <c r="P153" i="3"/>
  <c r="O153" i="3"/>
  <c r="U152" i="3"/>
  <c r="T152" i="3"/>
  <c r="S152" i="3"/>
  <c r="R152" i="3"/>
  <c r="Q152" i="3"/>
  <c r="P152" i="3"/>
  <c r="O152" i="3"/>
  <c r="U151" i="3"/>
  <c r="T151" i="3"/>
  <c r="S151" i="3"/>
  <c r="R151" i="3"/>
  <c r="Q151" i="3"/>
  <c r="P151" i="3"/>
  <c r="O151" i="3"/>
  <c r="U150" i="3"/>
  <c r="T150" i="3"/>
  <c r="S150" i="3"/>
  <c r="R150" i="3"/>
  <c r="Q150" i="3"/>
  <c r="P150" i="3"/>
  <c r="O150" i="3"/>
  <c r="U149" i="3"/>
  <c r="T149" i="3"/>
  <c r="S149" i="3"/>
  <c r="R149" i="3"/>
  <c r="Q149" i="3"/>
  <c r="P149" i="3"/>
  <c r="O149" i="3"/>
  <c r="U148" i="3"/>
  <c r="T148" i="3"/>
  <c r="S148" i="3"/>
  <c r="R148" i="3"/>
  <c r="Q148" i="3"/>
  <c r="P148" i="3"/>
  <c r="O148" i="3"/>
  <c r="U147" i="3"/>
  <c r="T147" i="3"/>
  <c r="S147" i="3"/>
  <c r="R147" i="3"/>
  <c r="Q147" i="3"/>
  <c r="P147" i="3"/>
  <c r="O147" i="3"/>
  <c r="U146" i="3"/>
  <c r="T146" i="3"/>
  <c r="S146" i="3"/>
  <c r="R146" i="3"/>
  <c r="Q146" i="3"/>
  <c r="P146" i="3"/>
  <c r="O146" i="3"/>
  <c r="U145" i="3"/>
  <c r="T145" i="3"/>
  <c r="S145" i="3"/>
  <c r="R145" i="3"/>
  <c r="Q145" i="3"/>
  <c r="P145" i="3"/>
  <c r="O145" i="3"/>
  <c r="U144" i="3"/>
  <c r="T144" i="3"/>
  <c r="S144" i="3"/>
  <c r="R144" i="3"/>
  <c r="Q144" i="3"/>
  <c r="P144" i="3"/>
  <c r="O144" i="3"/>
  <c r="U143" i="3"/>
  <c r="T143" i="3"/>
  <c r="S143" i="3"/>
  <c r="R143" i="3"/>
  <c r="Q143" i="3"/>
  <c r="P143" i="3"/>
  <c r="O143" i="3"/>
  <c r="U142" i="3"/>
  <c r="T142" i="3"/>
  <c r="S142" i="3"/>
  <c r="R142" i="3"/>
  <c r="Q142" i="3"/>
  <c r="P142" i="3"/>
  <c r="O142" i="3"/>
  <c r="U141" i="3"/>
  <c r="T141" i="3"/>
  <c r="S141" i="3"/>
  <c r="R141" i="3"/>
  <c r="Q141" i="3"/>
  <c r="P141" i="3"/>
  <c r="O141" i="3"/>
  <c r="U140" i="3"/>
  <c r="T140" i="3"/>
  <c r="S140" i="3"/>
  <c r="R140" i="3"/>
  <c r="Q140" i="3"/>
  <c r="P140" i="3"/>
  <c r="O140" i="3"/>
  <c r="U139" i="3"/>
  <c r="T139" i="3"/>
  <c r="S139" i="3"/>
  <c r="R139" i="3"/>
  <c r="Q139" i="3"/>
  <c r="P139" i="3"/>
  <c r="O139" i="3"/>
  <c r="U138" i="3"/>
  <c r="T138" i="3"/>
  <c r="S138" i="3"/>
  <c r="R138" i="3"/>
  <c r="Q138" i="3"/>
  <c r="P138" i="3"/>
  <c r="O138" i="3"/>
  <c r="U137" i="3"/>
  <c r="T137" i="3"/>
  <c r="S137" i="3"/>
  <c r="R137" i="3"/>
  <c r="Q137" i="3"/>
  <c r="P137" i="3"/>
  <c r="O137" i="3"/>
  <c r="U136" i="3"/>
  <c r="T136" i="3"/>
  <c r="S136" i="3"/>
  <c r="R136" i="3"/>
  <c r="Q136" i="3"/>
  <c r="P136" i="3"/>
  <c r="O136" i="3"/>
  <c r="U135" i="3"/>
  <c r="T135" i="3"/>
  <c r="S135" i="3"/>
  <c r="R135" i="3"/>
  <c r="Q135" i="3"/>
  <c r="P135" i="3"/>
  <c r="O135" i="3"/>
  <c r="U134" i="3"/>
  <c r="T134" i="3"/>
  <c r="S134" i="3"/>
  <c r="R134" i="3"/>
  <c r="Q134" i="3"/>
  <c r="P134" i="3"/>
  <c r="O134" i="3"/>
  <c r="U133" i="3"/>
  <c r="T133" i="3"/>
  <c r="S133" i="3"/>
  <c r="R133" i="3"/>
  <c r="Q133" i="3"/>
  <c r="P133" i="3"/>
  <c r="O133" i="3"/>
  <c r="U132" i="3"/>
  <c r="T132" i="3"/>
  <c r="S132" i="3"/>
  <c r="R132" i="3"/>
  <c r="Q132" i="3"/>
  <c r="P132" i="3"/>
  <c r="O132" i="3"/>
  <c r="U131" i="3"/>
  <c r="T131" i="3"/>
  <c r="S131" i="3"/>
  <c r="R131" i="3"/>
  <c r="Q131" i="3"/>
  <c r="P131" i="3"/>
  <c r="O131" i="3"/>
  <c r="U130" i="3"/>
  <c r="T130" i="3"/>
  <c r="S130" i="3"/>
  <c r="R130" i="3"/>
  <c r="Q130" i="3"/>
  <c r="P130" i="3"/>
  <c r="O130" i="3"/>
  <c r="U129" i="3"/>
  <c r="T129" i="3"/>
  <c r="S129" i="3"/>
  <c r="R129" i="3"/>
  <c r="Q129" i="3"/>
  <c r="P129" i="3"/>
  <c r="O129" i="3"/>
  <c r="U128" i="3"/>
  <c r="T128" i="3"/>
  <c r="S128" i="3"/>
  <c r="R128" i="3"/>
  <c r="Q128" i="3"/>
  <c r="P128" i="3"/>
  <c r="O128" i="3"/>
  <c r="U127" i="3"/>
  <c r="T127" i="3"/>
  <c r="S127" i="3"/>
  <c r="R127" i="3"/>
  <c r="Q127" i="3"/>
  <c r="P127" i="3"/>
  <c r="O127" i="3"/>
  <c r="U126" i="3"/>
  <c r="T126" i="3"/>
  <c r="S126" i="3"/>
  <c r="R126" i="3"/>
  <c r="Q126" i="3"/>
  <c r="P126" i="3"/>
  <c r="O126" i="3"/>
  <c r="U125" i="3"/>
  <c r="T125" i="3"/>
  <c r="S125" i="3"/>
  <c r="R125" i="3"/>
  <c r="Q125" i="3"/>
  <c r="P125" i="3"/>
  <c r="O125" i="3"/>
  <c r="U124" i="3"/>
  <c r="T124" i="3"/>
  <c r="S124" i="3"/>
  <c r="R124" i="3"/>
  <c r="Q124" i="3"/>
  <c r="P124" i="3"/>
  <c r="O124" i="3"/>
  <c r="U123" i="3"/>
  <c r="T123" i="3"/>
  <c r="S123" i="3"/>
  <c r="R123" i="3"/>
  <c r="Q123" i="3"/>
  <c r="P123" i="3"/>
  <c r="O123" i="3"/>
  <c r="U122" i="3"/>
  <c r="T122" i="3"/>
  <c r="S122" i="3"/>
  <c r="R122" i="3"/>
  <c r="Q122" i="3"/>
  <c r="P122" i="3"/>
  <c r="O122" i="3"/>
  <c r="U121" i="3"/>
  <c r="T121" i="3"/>
  <c r="S121" i="3"/>
  <c r="R121" i="3"/>
  <c r="Q121" i="3"/>
  <c r="P121" i="3"/>
  <c r="O121" i="3"/>
  <c r="U120" i="3"/>
  <c r="T120" i="3"/>
  <c r="S120" i="3"/>
  <c r="R120" i="3"/>
  <c r="Q120" i="3"/>
  <c r="P120" i="3"/>
  <c r="O120" i="3"/>
  <c r="U119" i="3"/>
  <c r="T119" i="3"/>
  <c r="S119" i="3"/>
  <c r="R119" i="3"/>
  <c r="Q119" i="3"/>
  <c r="P119" i="3"/>
  <c r="O119" i="3"/>
  <c r="U118" i="3"/>
  <c r="T118" i="3"/>
  <c r="S118" i="3"/>
  <c r="R118" i="3"/>
  <c r="Q118" i="3"/>
  <c r="P118" i="3"/>
  <c r="O118" i="3"/>
  <c r="U117" i="3"/>
  <c r="T117" i="3"/>
  <c r="S117" i="3"/>
  <c r="R117" i="3"/>
  <c r="Q117" i="3"/>
  <c r="P117" i="3"/>
  <c r="O117" i="3"/>
  <c r="U116" i="3"/>
  <c r="T116" i="3"/>
  <c r="S116" i="3"/>
  <c r="R116" i="3"/>
  <c r="Q116" i="3"/>
  <c r="P116" i="3"/>
  <c r="O116" i="3"/>
  <c r="U115" i="3"/>
  <c r="T115" i="3"/>
  <c r="S115" i="3"/>
  <c r="R115" i="3"/>
  <c r="Q115" i="3"/>
  <c r="P115" i="3"/>
  <c r="O115" i="3"/>
  <c r="U114" i="3"/>
  <c r="T114" i="3"/>
  <c r="S114" i="3"/>
  <c r="R114" i="3"/>
  <c r="Q114" i="3"/>
  <c r="P114" i="3"/>
  <c r="O114" i="3"/>
  <c r="U113" i="3"/>
  <c r="T113" i="3"/>
  <c r="S113" i="3"/>
  <c r="R113" i="3"/>
  <c r="Q113" i="3"/>
  <c r="P113" i="3"/>
  <c r="O113" i="3"/>
  <c r="U112" i="3"/>
  <c r="T112" i="3"/>
  <c r="S112" i="3"/>
  <c r="R112" i="3"/>
  <c r="Q112" i="3"/>
  <c r="P112" i="3"/>
  <c r="O112" i="3"/>
  <c r="U111" i="3"/>
  <c r="T111" i="3"/>
  <c r="S111" i="3"/>
  <c r="R111" i="3"/>
  <c r="Q111" i="3"/>
  <c r="P111" i="3"/>
  <c r="O111" i="3"/>
  <c r="U110" i="3"/>
  <c r="T110" i="3"/>
  <c r="S110" i="3"/>
  <c r="R110" i="3"/>
  <c r="Q110" i="3"/>
  <c r="P110" i="3"/>
  <c r="O110" i="3"/>
  <c r="U109" i="3"/>
  <c r="T109" i="3"/>
  <c r="S109" i="3"/>
  <c r="R109" i="3"/>
  <c r="Q109" i="3"/>
  <c r="P109" i="3"/>
  <c r="O109" i="3"/>
  <c r="U108" i="3"/>
  <c r="T108" i="3"/>
  <c r="S108" i="3"/>
  <c r="R108" i="3"/>
  <c r="Q108" i="3"/>
  <c r="P108" i="3"/>
  <c r="O108" i="3"/>
  <c r="U107" i="3"/>
  <c r="T107" i="3"/>
  <c r="S107" i="3"/>
  <c r="R107" i="3"/>
  <c r="Q107" i="3"/>
  <c r="P107" i="3"/>
  <c r="O107" i="3"/>
  <c r="U106" i="3"/>
  <c r="T106" i="3"/>
  <c r="S106" i="3"/>
  <c r="R106" i="3"/>
  <c r="Q106" i="3"/>
  <c r="P106" i="3"/>
  <c r="O106" i="3"/>
  <c r="U105" i="3"/>
  <c r="T105" i="3"/>
  <c r="S105" i="3"/>
  <c r="R105" i="3"/>
  <c r="Q105" i="3"/>
  <c r="P105" i="3"/>
  <c r="O105" i="3"/>
  <c r="U104" i="3"/>
  <c r="T104" i="3"/>
  <c r="S104" i="3"/>
  <c r="R104" i="3"/>
  <c r="Q104" i="3"/>
  <c r="P104" i="3"/>
  <c r="O104" i="3"/>
  <c r="U103" i="3"/>
  <c r="T103" i="3"/>
  <c r="S103" i="3"/>
  <c r="R103" i="3"/>
  <c r="Q103" i="3"/>
  <c r="P103" i="3"/>
  <c r="O103" i="3"/>
  <c r="U102" i="3"/>
  <c r="T102" i="3"/>
  <c r="S102" i="3"/>
  <c r="R102" i="3"/>
  <c r="Q102" i="3"/>
  <c r="P102" i="3"/>
  <c r="O102" i="3"/>
  <c r="U101" i="3"/>
  <c r="T101" i="3"/>
  <c r="S101" i="3"/>
  <c r="R101" i="3"/>
  <c r="Q101" i="3"/>
  <c r="P101" i="3"/>
  <c r="O101" i="3"/>
  <c r="U100" i="3"/>
  <c r="T100" i="3"/>
  <c r="S100" i="3"/>
  <c r="R100" i="3"/>
  <c r="Q100" i="3"/>
  <c r="P100" i="3"/>
  <c r="O100" i="3"/>
  <c r="U99" i="3"/>
  <c r="T99" i="3"/>
  <c r="S99" i="3"/>
  <c r="R99" i="3"/>
  <c r="Q99" i="3"/>
  <c r="P99" i="3"/>
  <c r="O99" i="3"/>
  <c r="U98" i="3"/>
  <c r="T98" i="3"/>
  <c r="S98" i="3"/>
  <c r="R98" i="3"/>
  <c r="Q98" i="3"/>
  <c r="P98" i="3"/>
  <c r="O98" i="3"/>
  <c r="U97" i="3"/>
  <c r="T97" i="3"/>
  <c r="S97" i="3"/>
  <c r="R97" i="3"/>
  <c r="Q97" i="3"/>
  <c r="P97" i="3"/>
  <c r="O97" i="3"/>
  <c r="U96" i="3"/>
  <c r="T96" i="3"/>
  <c r="S96" i="3"/>
  <c r="R96" i="3"/>
  <c r="Q96" i="3"/>
  <c r="P96" i="3"/>
  <c r="O96" i="3"/>
  <c r="U95" i="3"/>
  <c r="T95" i="3"/>
  <c r="S95" i="3"/>
  <c r="R95" i="3"/>
  <c r="Q95" i="3"/>
  <c r="P95" i="3"/>
  <c r="O95" i="3"/>
  <c r="U94" i="3"/>
  <c r="T94" i="3"/>
  <c r="S94" i="3"/>
  <c r="R94" i="3"/>
  <c r="Q94" i="3"/>
  <c r="P94" i="3"/>
  <c r="O94" i="3"/>
  <c r="U93" i="3"/>
  <c r="T93" i="3"/>
  <c r="S93" i="3"/>
  <c r="R93" i="3"/>
  <c r="Q93" i="3"/>
  <c r="P93" i="3"/>
  <c r="O93" i="3"/>
  <c r="U92" i="3"/>
  <c r="T92" i="3"/>
  <c r="S92" i="3"/>
  <c r="R92" i="3"/>
  <c r="Q92" i="3"/>
  <c r="P92" i="3"/>
  <c r="O92" i="3"/>
  <c r="U91" i="3"/>
  <c r="T91" i="3"/>
  <c r="S91" i="3"/>
  <c r="R91" i="3"/>
  <c r="Q91" i="3"/>
  <c r="P91" i="3"/>
  <c r="O91" i="3"/>
  <c r="U90" i="3"/>
  <c r="T90" i="3"/>
  <c r="S90" i="3"/>
  <c r="R90" i="3"/>
  <c r="Q90" i="3"/>
  <c r="P90" i="3"/>
  <c r="O90" i="3"/>
  <c r="U89" i="3"/>
  <c r="T89" i="3"/>
  <c r="S89" i="3"/>
  <c r="R89" i="3"/>
  <c r="Q89" i="3"/>
  <c r="P89" i="3"/>
  <c r="O89" i="3"/>
  <c r="U88" i="3"/>
  <c r="T88" i="3"/>
  <c r="S88" i="3"/>
  <c r="R88" i="3"/>
  <c r="Q88" i="3"/>
  <c r="P88" i="3"/>
  <c r="O88" i="3"/>
  <c r="U87" i="3"/>
  <c r="T87" i="3"/>
  <c r="S87" i="3"/>
  <c r="R87" i="3"/>
  <c r="Q87" i="3"/>
  <c r="P87" i="3"/>
  <c r="O87" i="3"/>
  <c r="U86" i="3"/>
  <c r="T86" i="3"/>
  <c r="S86" i="3"/>
  <c r="R86" i="3"/>
  <c r="Q86" i="3"/>
  <c r="P86" i="3"/>
  <c r="O86" i="3"/>
  <c r="U85" i="3"/>
  <c r="T85" i="3"/>
  <c r="S85" i="3"/>
  <c r="R85" i="3"/>
  <c r="Q85" i="3"/>
  <c r="P85" i="3"/>
  <c r="O85" i="3"/>
  <c r="U84" i="3"/>
  <c r="T84" i="3"/>
  <c r="S84" i="3"/>
  <c r="R84" i="3"/>
  <c r="Q84" i="3"/>
  <c r="P84" i="3"/>
  <c r="O84" i="3"/>
  <c r="U83" i="3"/>
  <c r="T83" i="3"/>
  <c r="S83" i="3"/>
  <c r="R83" i="3"/>
  <c r="Q83" i="3"/>
  <c r="P83" i="3"/>
  <c r="O83" i="3"/>
  <c r="U82" i="3"/>
  <c r="T82" i="3"/>
  <c r="S82" i="3"/>
  <c r="R82" i="3"/>
  <c r="Q82" i="3"/>
  <c r="P82" i="3"/>
  <c r="O82" i="3"/>
  <c r="U81" i="3"/>
  <c r="T81" i="3"/>
  <c r="S81" i="3"/>
  <c r="R81" i="3"/>
  <c r="Q81" i="3"/>
  <c r="P81" i="3"/>
  <c r="O81" i="3"/>
  <c r="U80" i="3"/>
  <c r="T80" i="3"/>
  <c r="S80" i="3"/>
  <c r="R80" i="3"/>
  <c r="Q80" i="3"/>
  <c r="P80" i="3"/>
  <c r="O80" i="3"/>
  <c r="U79" i="3"/>
  <c r="T79" i="3"/>
  <c r="S79" i="3"/>
  <c r="R79" i="3"/>
  <c r="Q79" i="3"/>
  <c r="P79" i="3"/>
  <c r="O79" i="3"/>
  <c r="U78" i="3"/>
  <c r="T78" i="3"/>
  <c r="S78" i="3"/>
  <c r="R78" i="3"/>
  <c r="Q78" i="3"/>
  <c r="P78" i="3"/>
  <c r="O78" i="3"/>
  <c r="U77" i="3"/>
  <c r="T77" i="3"/>
  <c r="S77" i="3"/>
  <c r="R77" i="3"/>
  <c r="Q77" i="3"/>
  <c r="P77" i="3"/>
  <c r="O77" i="3"/>
  <c r="U76" i="3"/>
  <c r="T76" i="3"/>
  <c r="S76" i="3"/>
  <c r="R76" i="3"/>
  <c r="Q76" i="3"/>
  <c r="P76" i="3"/>
  <c r="O76" i="3"/>
  <c r="U75" i="3"/>
  <c r="T75" i="3"/>
  <c r="S75" i="3"/>
  <c r="R75" i="3"/>
  <c r="Q75" i="3"/>
  <c r="P75" i="3"/>
  <c r="O75" i="3"/>
  <c r="U74" i="3"/>
  <c r="T74" i="3"/>
  <c r="S74" i="3"/>
  <c r="R74" i="3"/>
  <c r="Q74" i="3"/>
  <c r="P74" i="3"/>
  <c r="O74" i="3"/>
  <c r="U73" i="3"/>
  <c r="T73" i="3"/>
  <c r="S73" i="3"/>
  <c r="R73" i="3"/>
  <c r="Q73" i="3"/>
  <c r="P73" i="3"/>
  <c r="O73" i="3"/>
  <c r="U72" i="3"/>
  <c r="T72" i="3"/>
  <c r="S72" i="3"/>
  <c r="R72" i="3"/>
  <c r="Q72" i="3"/>
  <c r="P72" i="3"/>
  <c r="O72" i="3"/>
  <c r="U71" i="3"/>
  <c r="T71" i="3"/>
  <c r="S71" i="3"/>
  <c r="R71" i="3"/>
  <c r="Q71" i="3"/>
  <c r="P71" i="3"/>
  <c r="O71" i="3"/>
  <c r="U70" i="3"/>
  <c r="T70" i="3"/>
  <c r="S70" i="3"/>
  <c r="R70" i="3"/>
  <c r="Q70" i="3"/>
  <c r="P70" i="3"/>
  <c r="O70" i="3"/>
  <c r="U69" i="3"/>
  <c r="T69" i="3"/>
  <c r="S69" i="3"/>
  <c r="R69" i="3"/>
  <c r="Q69" i="3"/>
  <c r="P69" i="3"/>
  <c r="O69" i="3"/>
  <c r="U68" i="3"/>
  <c r="T68" i="3"/>
  <c r="S68" i="3"/>
  <c r="R68" i="3"/>
  <c r="Q68" i="3"/>
  <c r="P68" i="3"/>
  <c r="O68" i="3"/>
  <c r="U67" i="3"/>
  <c r="T67" i="3"/>
  <c r="S67" i="3"/>
  <c r="R67" i="3"/>
  <c r="Q67" i="3"/>
  <c r="P67" i="3"/>
  <c r="O67" i="3"/>
  <c r="U66" i="3"/>
  <c r="T66" i="3"/>
  <c r="S66" i="3"/>
  <c r="R66" i="3"/>
  <c r="Q66" i="3"/>
  <c r="P66" i="3"/>
  <c r="O66" i="3"/>
  <c r="U65" i="3"/>
  <c r="T65" i="3"/>
  <c r="S65" i="3"/>
  <c r="R65" i="3"/>
  <c r="Q65" i="3"/>
  <c r="P65" i="3"/>
  <c r="O65" i="3"/>
  <c r="U64" i="3"/>
  <c r="T64" i="3"/>
  <c r="S64" i="3"/>
  <c r="R64" i="3"/>
  <c r="Q64" i="3"/>
  <c r="P64" i="3"/>
  <c r="O64" i="3"/>
  <c r="U63" i="3"/>
  <c r="T63" i="3"/>
  <c r="S63" i="3"/>
  <c r="R63" i="3"/>
  <c r="Q63" i="3"/>
  <c r="P63" i="3"/>
  <c r="O63" i="3"/>
  <c r="U62" i="3"/>
  <c r="T62" i="3"/>
  <c r="S62" i="3"/>
  <c r="R62" i="3"/>
  <c r="Q62" i="3"/>
  <c r="P62" i="3"/>
  <c r="O62" i="3"/>
  <c r="U61" i="3"/>
  <c r="T61" i="3"/>
  <c r="S61" i="3"/>
  <c r="R61" i="3"/>
  <c r="Q61" i="3"/>
  <c r="P61" i="3"/>
  <c r="O61" i="3"/>
  <c r="U60" i="3"/>
  <c r="T60" i="3"/>
  <c r="S60" i="3"/>
  <c r="R60" i="3"/>
  <c r="Q60" i="3"/>
  <c r="P60" i="3"/>
  <c r="O60" i="3"/>
  <c r="U59" i="3"/>
  <c r="T59" i="3"/>
  <c r="S59" i="3"/>
  <c r="R59" i="3"/>
  <c r="Q59" i="3"/>
  <c r="P59" i="3"/>
  <c r="O59" i="3"/>
  <c r="U58" i="3"/>
  <c r="T58" i="3"/>
  <c r="S58" i="3"/>
  <c r="R58" i="3"/>
  <c r="Q58" i="3"/>
  <c r="P58" i="3"/>
  <c r="O58" i="3"/>
  <c r="U57" i="3"/>
  <c r="T57" i="3"/>
  <c r="S57" i="3"/>
  <c r="R57" i="3"/>
  <c r="Q57" i="3"/>
  <c r="P57" i="3"/>
  <c r="O57" i="3"/>
  <c r="U56" i="3"/>
  <c r="T56" i="3"/>
  <c r="S56" i="3"/>
  <c r="R56" i="3"/>
  <c r="Q56" i="3"/>
  <c r="P56" i="3"/>
  <c r="O56" i="3"/>
  <c r="U55" i="3"/>
  <c r="T55" i="3"/>
  <c r="S55" i="3"/>
  <c r="R55" i="3"/>
  <c r="Q55" i="3"/>
  <c r="P55" i="3"/>
  <c r="O55" i="3"/>
  <c r="U54" i="3"/>
  <c r="T54" i="3"/>
  <c r="S54" i="3"/>
  <c r="R54" i="3"/>
  <c r="Q54" i="3"/>
  <c r="P54" i="3"/>
  <c r="O54" i="3"/>
  <c r="U53" i="3"/>
  <c r="T53" i="3"/>
  <c r="S53" i="3"/>
  <c r="R53" i="3"/>
  <c r="Q53" i="3"/>
  <c r="P53" i="3"/>
  <c r="O53" i="3"/>
  <c r="U52" i="3"/>
  <c r="T52" i="3"/>
  <c r="S52" i="3"/>
  <c r="R52" i="3"/>
  <c r="Q52" i="3"/>
  <c r="P52" i="3"/>
  <c r="O52" i="3"/>
  <c r="U51" i="3"/>
  <c r="T51" i="3"/>
  <c r="S51" i="3"/>
  <c r="R51" i="3"/>
  <c r="Q51" i="3"/>
  <c r="P51" i="3"/>
  <c r="O51" i="3"/>
  <c r="U50" i="3"/>
  <c r="T50" i="3"/>
  <c r="S50" i="3"/>
  <c r="R50" i="3"/>
  <c r="Q50" i="3"/>
  <c r="P50" i="3"/>
  <c r="O50" i="3"/>
  <c r="U49" i="3"/>
  <c r="T49" i="3"/>
  <c r="S49" i="3"/>
  <c r="R49" i="3"/>
  <c r="Q49" i="3"/>
  <c r="P49" i="3"/>
  <c r="O49" i="3"/>
  <c r="U48" i="3"/>
  <c r="T48" i="3"/>
  <c r="S48" i="3"/>
  <c r="R48" i="3"/>
  <c r="Q48" i="3"/>
  <c r="P48" i="3"/>
  <c r="O48" i="3"/>
  <c r="U47" i="3"/>
  <c r="T47" i="3"/>
  <c r="S47" i="3"/>
  <c r="R47" i="3"/>
  <c r="Q47" i="3"/>
  <c r="P47" i="3"/>
  <c r="O47" i="3"/>
  <c r="U46" i="3"/>
  <c r="T46" i="3"/>
  <c r="S46" i="3"/>
  <c r="R46" i="3"/>
  <c r="Q46" i="3"/>
  <c r="P46" i="3"/>
  <c r="O46" i="3"/>
  <c r="U45" i="3"/>
  <c r="T45" i="3"/>
  <c r="S45" i="3"/>
  <c r="R45" i="3"/>
  <c r="Q45" i="3"/>
  <c r="P45" i="3"/>
  <c r="O45" i="3"/>
  <c r="U44" i="3"/>
  <c r="T44" i="3"/>
  <c r="S44" i="3"/>
  <c r="R44" i="3"/>
  <c r="Q44" i="3"/>
  <c r="P44" i="3"/>
  <c r="O44" i="3"/>
  <c r="U43" i="3"/>
  <c r="T43" i="3"/>
  <c r="S43" i="3"/>
  <c r="R43" i="3"/>
  <c r="Q43" i="3"/>
  <c r="P43" i="3"/>
  <c r="O43" i="3"/>
  <c r="U42" i="3"/>
  <c r="T42" i="3"/>
  <c r="S42" i="3"/>
  <c r="R42" i="3"/>
  <c r="Q42" i="3"/>
  <c r="P42" i="3"/>
  <c r="O42" i="3"/>
  <c r="U41" i="3"/>
  <c r="T41" i="3"/>
  <c r="S41" i="3"/>
  <c r="R41" i="3"/>
  <c r="Q41" i="3"/>
  <c r="P41" i="3"/>
  <c r="O41" i="3"/>
  <c r="U40" i="3"/>
  <c r="T40" i="3"/>
  <c r="S40" i="3"/>
  <c r="R40" i="3"/>
  <c r="Q40" i="3"/>
  <c r="P40" i="3"/>
  <c r="O40" i="3"/>
  <c r="U39" i="3"/>
  <c r="T39" i="3"/>
  <c r="S39" i="3"/>
  <c r="R39" i="3"/>
  <c r="Q39" i="3"/>
  <c r="P39" i="3"/>
  <c r="O39" i="3"/>
  <c r="U38" i="3"/>
  <c r="T38" i="3"/>
  <c r="S38" i="3"/>
  <c r="R38" i="3"/>
  <c r="Q38" i="3"/>
  <c r="P38" i="3"/>
  <c r="O38" i="3"/>
  <c r="U37" i="3"/>
  <c r="T37" i="3"/>
  <c r="S37" i="3"/>
  <c r="R37" i="3"/>
  <c r="Q37" i="3"/>
  <c r="P37" i="3"/>
  <c r="O37" i="3"/>
  <c r="U36" i="3"/>
  <c r="T36" i="3"/>
  <c r="S36" i="3"/>
  <c r="R36" i="3"/>
  <c r="Q36" i="3"/>
  <c r="P36" i="3"/>
  <c r="O36" i="3"/>
  <c r="U35" i="3"/>
  <c r="T35" i="3"/>
  <c r="S35" i="3"/>
  <c r="R35" i="3"/>
  <c r="Q35" i="3"/>
  <c r="P35" i="3"/>
  <c r="O35" i="3"/>
  <c r="U34" i="3"/>
  <c r="T34" i="3"/>
  <c r="S34" i="3"/>
  <c r="R34" i="3"/>
  <c r="Q34" i="3"/>
  <c r="P34" i="3"/>
  <c r="O34" i="3"/>
  <c r="U33" i="3"/>
  <c r="T33" i="3"/>
  <c r="S33" i="3"/>
  <c r="R33" i="3"/>
  <c r="Q33" i="3"/>
  <c r="P33" i="3"/>
  <c r="O33" i="3"/>
  <c r="U32" i="3"/>
  <c r="T32" i="3"/>
  <c r="S32" i="3"/>
  <c r="R32" i="3"/>
  <c r="Q32" i="3"/>
  <c r="P32" i="3"/>
  <c r="O32" i="3"/>
  <c r="U31" i="3"/>
  <c r="T31" i="3"/>
  <c r="S31" i="3"/>
  <c r="R31" i="3"/>
  <c r="Q31" i="3"/>
  <c r="P31" i="3"/>
  <c r="O31" i="3"/>
  <c r="U30" i="3"/>
  <c r="T30" i="3"/>
  <c r="S30" i="3"/>
  <c r="R30" i="3"/>
  <c r="Q30" i="3"/>
  <c r="P30" i="3"/>
  <c r="O30" i="3"/>
  <c r="U29" i="3"/>
  <c r="T29" i="3"/>
  <c r="S29" i="3"/>
  <c r="R29" i="3"/>
  <c r="Q29" i="3"/>
  <c r="P29" i="3"/>
  <c r="O29" i="3"/>
  <c r="U28" i="3"/>
  <c r="T28" i="3"/>
  <c r="S28" i="3"/>
  <c r="R28" i="3"/>
  <c r="Q28" i="3"/>
  <c r="P28" i="3"/>
  <c r="O28" i="3"/>
  <c r="U27" i="3"/>
  <c r="T27" i="3"/>
  <c r="S27" i="3"/>
  <c r="R27" i="3"/>
  <c r="Q27" i="3"/>
  <c r="P27" i="3"/>
  <c r="O27" i="3"/>
  <c r="U26" i="3"/>
  <c r="T26" i="3"/>
  <c r="S26" i="3"/>
  <c r="R26" i="3"/>
  <c r="Q26" i="3"/>
  <c r="P26" i="3"/>
  <c r="O26" i="3"/>
  <c r="U25" i="3"/>
  <c r="T25" i="3"/>
  <c r="S25" i="3"/>
  <c r="R25" i="3"/>
  <c r="Q25" i="3"/>
  <c r="P25" i="3"/>
  <c r="O25" i="3"/>
  <c r="U24" i="3"/>
  <c r="T24" i="3"/>
  <c r="S24" i="3"/>
  <c r="R24" i="3"/>
  <c r="Q24" i="3"/>
  <c r="P24" i="3"/>
  <c r="O24" i="3"/>
  <c r="U23" i="3"/>
  <c r="T23" i="3"/>
  <c r="S23" i="3"/>
  <c r="R23" i="3"/>
  <c r="Q23" i="3"/>
  <c r="P23" i="3"/>
  <c r="O23" i="3"/>
  <c r="U22" i="3"/>
  <c r="T22" i="3"/>
  <c r="S22" i="3"/>
  <c r="R22" i="3"/>
  <c r="Q22" i="3"/>
  <c r="P22" i="3"/>
  <c r="O22" i="3"/>
  <c r="U21" i="3"/>
  <c r="T21" i="3"/>
  <c r="S21" i="3"/>
  <c r="R21" i="3"/>
  <c r="Q21" i="3"/>
  <c r="P21" i="3"/>
  <c r="O21" i="3"/>
  <c r="U20" i="3"/>
  <c r="T20" i="3"/>
  <c r="S20" i="3"/>
  <c r="R20" i="3"/>
  <c r="Q20" i="3"/>
  <c r="P20" i="3"/>
  <c r="O20" i="3"/>
  <c r="U19" i="3"/>
  <c r="T19" i="3"/>
  <c r="S19" i="3"/>
  <c r="R19" i="3"/>
  <c r="Q19" i="3"/>
  <c r="P19" i="3"/>
  <c r="O19" i="3"/>
  <c r="U18" i="3"/>
  <c r="T18" i="3"/>
  <c r="S18" i="3"/>
  <c r="R18" i="3"/>
  <c r="Q18" i="3"/>
  <c r="P18" i="3"/>
  <c r="O18" i="3"/>
  <c r="U17" i="3"/>
  <c r="T17" i="3"/>
  <c r="S17" i="3"/>
  <c r="R17" i="3"/>
  <c r="Q17" i="3"/>
  <c r="P17" i="3"/>
  <c r="O17" i="3"/>
  <c r="U16" i="3"/>
  <c r="T16" i="3"/>
  <c r="S16" i="3"/>
  <c r="R16" i="3"/>
  <c r="Q16" i="3"/>
  <c r="P16" i="3"/>
  <c r="O16" i="3"/>
  <c r="U15" i="3"/>
  <c r="T15" i="3"/>
  <c r="S15" i="3"/>
  <c r="R15" i="3"/>
  <c r="Q15" i="3"/>
  <c r="P15" i="3"/>
  <c r="O15" i="3"/>
  <c r="U14" i="3"/>
  <c r="T14" i="3"/>
  <c r="S14" i="3"/>
  <c r="R14" i="3"/>
  <c r="Q14" i="3"/>
  <c r="P14" i="3"/>
  <c r="O14" i="3"/>
  <c r="U13" i="3"/>
  <c r="T13" i="3"/>
  <c r="S13" i="3"/>
  <c r="R13" i="3"/>
  <c r="Q13" i="3"/>
  <c r="P13" i="3"/>
  <c r="O13" i="3"/>
  <c r="U12" i="3"/>
  <c r="T12" i="3"/>
  <c r="S12" i="3"/>
  <c r="R12" i="3"/>
  <c r="Q12" i="3"/>
  <c r="P12" i="3"/>
  <c r="O12" i="3"/>
  <c r="U11" i="3"/>
  <c r="T11" i="3"/>
  <c r="S11" i="3"/>
  <c r="R11" i="3"/>
  <c r="Q11" i="3"/>
  <c r="P11" i="3"/>
  <c r="O11" i="3"/>
  <c r="U10" i="3"/>
  <c r="T10" i="3"/>
  <c r="S10" i="3"/>
  <c r="R10" i="3"/>
  <c r="Q10" i="3"/>
  <c r="P10" i="3"/>
  <c r="O10" i="3"/>
  <c r="U9" i="3"/>
  <c r="T9" i="3"/>
  <c r="S9" i="3"/>
  <c r="R9" i="3"/>
  <c r="Q9" i="3"/>
  <c r="P9" i="3"/>
  <c r="O9" i="3"/>
  <c r="U8" i="3"/>
  <c r="T8" i="3"/>
  <c r="S8" i="3"/>
  <c r="R8" i="3"/>
  <c r="Q8" i="3"/>
  <c r="P8" i="3"/>
  <c r="O8" i="3"/>
  <c r="U7" i="3"/>
  <c r="T7" i="3"/>
  <c r="S7" i="3"/>
  <c r="R7" i="3"/>
  <c r="Q7" i="3"/>
  <c r="P7" i="3"/>
  <c r="O7" i="3"/>
  <c r="U6" i="3"/>
  <c r="T6" i="3"/>
  <c r="S6" i="3"/>
  <c r="R6" i="3"/>
  <c r="Q6" i="3"/>
  <c r="P6" i="3"/>
  <c r="O6" i="3"/>
  <c r="U5" i="3"/>
  <c r="T5" i="3"/>
  <c r="S5" i="3"/>
  <c r="R5" i="3"/>
  <c r="Q5" i="3"/>
  <c r="P5" i="3"/>
  <c r="O5" i="3"/>
  <c r="U4" i="3"/>
  <c r="T4" i="3"/>
  <c r="S4" i="3"/>
  <c r="R4" i="3"/>
  <c r="Q4" i="3"/>
  <c r="P4" i="3"/>
  <c r="O4" i="3"/>
  <c r="U3" i="3"/>
  <c r="T3" i="3"/>
  <c r="S3" i="3"/>
  <c r="R3" i="3"/>
  <c r="Q3" i="3"/>
  <c r="P3" i="3"/>
  <c r="O3" i="3"/>
  <c r="U2" i="3"/>
  <c r="T2" i="3"/>
  <c r="S2" i="3"/>
  <c r="R2" i="3"/>
  <c r="Q2" i="3"/>
  <c r="P2" i="3"/>
  <c r="O2" i="3"/>
  <c r="U233" i="4"/>
  <c r="T233" i="4"/>
  <c r="S233" i="4"/>
  <c r="R233" i="4"/>
  <c r="Q233" i="4"/>
  <c r="P233" i="4"/>
  <c r="O233" i="4"/>
  <c r="U232" i="4"/>
  <c r="T232" i="4"/>
  <c r="S232" i="4"/>
  <c r="R232" i="4"/>
  <c r="Q232" i="4"/>
  <c r="P232" i="4"/>
  <c r="O232" i="4"/>
  <c r="U231" i="4"/>
  <c r="T231" i="4"/>
  <c r="S231" i="4"/>
  <c r="R231" i="4"/>
  <c r="Q231" i="4"/>
  <c r="P231" i="4"/>
  <c r="O231" i="4"/>
  <c r="U230" i="4"/>
  <c r="T230" i="4"/>
  <c r="S230" i="4"/>
  <c r="R230" i="4"/>
  <c r="Q230" i="4"/>
  <c r="P230" i="4"/>
  <c r="O230" i="4"/>
  <c r="U229" i="4"/>
  <c r="T229" i="4"/>
  <c r="S229" i="4"/>
  <c r="R229" i="4"/>
  <c r="Q229" i="4"/>
  <c r="P229" i="4"/>
  <c r="O229" i="4"/>
  <c r="U228" i="4"/>
  <c r="T228" i="4"/>
  <c r="S228" i="4"/>
  <c r="R228" i="4"/>
  <c r="Q228" i="4"/>
  <c r="P228" i="4"/>
  <c r="O228" i="4"/>
  <c r="U227" i="4"/>
  <c r="T227" i="4"/>
  <c r="S227" i="4"/>
  <c r="R227" i="4"/>
  <c r="Q227" i="4"/>
  <c r="P227" i="4"/>
  <c r="O227" i="4"/>
  <c r="U226" i="4"/>
  <c r="T226" i="4"/>
  <c r="S226" i="4"/>
  <c r="R226" i="4"/>
  <c r="Q226" i="4"/>
  <c r="P226" i="4"/>
  <c r="O226" i="4"/>
  <c r="U225" i="4"/>
  <c r="T225" i="4"/>
  <c r="S225" i="4"/>
  <c r="R225" i="4"/>
  <c r="Q225" i="4"/>
  <c r="P225" i="4"/>
  <c r="O225" i="4"/>
  <c r="U224" i="4"/>
  <c r="T224" i="4"/>
  <c r="S224" i="4"/>
  <c r="R224" i="4"/>
  <c r="Q224" i="4"/>
  <c r="P224" i="4"/>
  <c r="O224" i="4"/>
  <c r="U223" i="4"/>
  <c r="T223" i="4"/>
  <c r="S223" i="4"/>
  <c r="R223" i="4"/>
  <c r="Q223" i="4"/>
  <c r="P223" i="4"/>
  <c r="O223" i="4"/>
  <c r="U222" i="4"/>
  <c r="T222" i="4"/>
  <c r="S222" i="4"/>
  <c r="R222" i="4"/>
  <c r="Q222" i="4"/>
  <c r="P222" i="4"/>
  <c r="O222" i="4"/>
  <c r="U221" i="4"/>
  <c r="T221" i="4"/>
  <c r="S221" i="4"/>
  <c r="R221" i="4"/>
  <c r="Q221" i="4"/>
  <c r="P221" i="4"/>
  <c r="O221" i="4"/>
  <c r="U220" i="4"/>
  <c r="T220" i="4"/>
  <c r="S220" i="4"/>
  <c r="R220" i="4"/>
  <c r="Q220" i="4"/>
  <c r="P220" i="4"/>
  <c r="O220" i="4"/>
  <c r="U219" i="4"/>
  <c r="T219" i="4"/>
  <c r="S219" i="4"/>
  <c r="R219" i="4"/>
  <c r="Q219" i="4"/>
  <c r="P219" i="4"/>
  <c r="O219" i="4"/>
  <c r="U218" i="4"/>
  <c r="T218" i="4"/>
  <c r="S218" i="4"/>
  <c r="R218" i="4"/>
  <c r="Q218" i="4"/>
  <c r="P218" i="4"/>
  <c r="O218" i="4"/>
  <c r="U217" i="4"/>
  <c r="T217" i="4"/>
  <c r="S217" i="4"/>
  <c r="R217" i="4"/>
  <c r="Q217" i="4"/>
  <c r="P217" i="4"/>
  <c r="O217" i="4"/>
  <c r="U216" i="4"/>
  <c r="T216" i="4"/>
  <c r="S216" i="4"/>
  <c r="R216" i="4"/>
  <c r="Q216" i="4"/>
  <c r="P216" i="4"/>
  <c r="O216" i="4"/>
  <c r="U215" i="4"/>
  <c r="T215" i="4"/>
  <c r="S215" i="4"/>
  <c r="R215" i="4"/>
  <c r="Q215" i="4"/>
  <c r="P215" i="4"/>
  <c r="O215" i="4"/>
  <c r="U214" i="4"/>
  <c r="T214" i="4"/>
  <c r="S214" i="4"/>
  <c r="R214" i="4"/>
  <c r="Q214" i="4"/>
  <c r="P214" i="4"/>
  <c r="O214" i="4"/>
  <c r="U213" i="4"/>
  <c r="T213" i="4"/>
  <c r="S213" i="4"/>
  <c r="R213" i="4"/>
  <c r="Q213" i="4"/>
  <c r="P213" i="4"/>
  <c r="O213" i="4"/>
  <c r="U212" i="4"/>
  <c r="T212" i="4"/>
  <c r="S212" i="4"/>
  <c r="R212" i="4"/>
  <c r="Q212" i="4"/>
  <c r="P212" i="4"/>
  <c r="O212" i="4"/>
  <c r="U211" i="4"/>
  <c r="T211" i="4"/>
  <c r="S211" i="4"/>
  <c r="R211" i="4"/>
  <c r="Q211" i="4"/>
  <c r="P211" i="4"/>
  <c r="O211" i="4"/>
  <c r="U210" i="4"/>
  <c r="T210" i="4"/>
  <c r="S210" i="4"/>
  <c r="R210" i="4"/>
  <c r="Q210" i="4"/>
  <c r="P210" i="4"/>
  <c r="O210" i="4"/>
  <c r="U209" i="4"/>
  <c r="T209" i="4"/>
  <c r="S209" i="4"/>
  <c r="R209" i="4"/>
  <c r="Q209" i="4"/>
  <c r="P209" i="4"/>
  <c r="O209" i="4"/>
  <c r="U208" i="4"/>
  <c r="T208" i="4"/>
  <c r="S208" i="4"/>
  <c r="R208" i="4"/>
  <c r="Q208" i="4"/>
  <c r="P208" i="4"/>
  <c r="O208" i="4"/>
  <c r="U207" i="4"/>
  <c r="T207" i="4"/>
  <c r="S207" i="4"/>
  <c r="R207" i="4"/>
  <c r="Q207" i="4"/>
  <c r="P207" i="4"/>
  <c r="O207" i="4"/>
  <c r="U206" i="4"/>
  <c r="T206" i="4"/>
  <c r="S206" i="4"/>
  <c r="R206" i="4"/>
  <c r="Q206" i="4"/>
  <c r="P206" i="4"/>
  <c r="O206" i="4"/>
  <c r="U205" i="4"/>
  <c r="T205" i="4"/>
  <c r="S205" i="4"/>
  <c r="R205" i="4"/>
  <c r="Q205" i="4"/>
  <c r="P205" i="4"/>
  <c r="O205" i="4"/>
  <c r="U204" i="4"/>
  <c r="T204" i="4"/>
  <c r="S204" i="4"/>
  <c r="R204" i="4"/>
  <c r="Q204" i="4"/>
  <c r="P204" i="4"/>
  <c r="O204" i="4"/>
  <c r="U203" i="4"/>
  <c r="T203" i="4"/>
  <c r="S203" i="4"/>
  <c r="R203" i="4"/>
  <c r="Q203" i="4"/>
  <c r="P203" i="4"/>
  <c r="O203" i="4"/>
  <c r="U202" i="4"/>
  <c r="T202" i="4"/>
  <c r="S202" i="4"/>
  <c r="R202" i="4"/>
  <c r="Q202" i="4"/>
  <c r="P202" i="4"/>
  <c r="O202" i="4"/>
  <c r="U201" i="4"/>
  <c r="T201" i="4"/>
  <c r="S201" i="4"/>
  <c r="R201" i="4"/>
  <c r="Q201" i="4"/>
  <c r="P201" i="4"/>
  <c r="O201" i="4"/>
  <c r="U200" i="4"/>
  <c r="T200" i="4"/>
  <c r="S200" i="4"/>
  <c r="R200" i="4"/>
  <c r="Q200" i="4"/>
  <c r="P200" i="4"/>
  <c r="O200" i="4"/>
  <c r="U199" i="4"/>
  <c r="T199" i="4"/>
  <c r="S199" i="4"/>
  <c r="R199" i="4"/>
  <c r="Q199" i="4"/>
  <c r="P199" i="4"/>
  <c r="O199" i="4"/>
  <c r="U198" i="4"/>
  <c r="T198" i="4"/>
  <c r="S198" i="4"/>
  <c r="R198" i="4"/>
  <c r="Q198" i="4"/>
  <c r="P198" i="4"/>
  <c r="O198" i="4"/>
  <c r="U197" i="4"/>
  <c r="T197" i="4"/>
  <c r="S197" i="4"/>
  <c r="R197" i="4"/>
  <c r="Q197" i="4"/>
  <c r="P197" i="4"/>
  <c r="O197" i="4"/>
  <c r="U196" i="4"/>
  <c r="T196" i="4"/>
  <c r="S196" i="4"/>
  <c r="R196" i="4"/>
  <c r="Q196" i="4"/>
  <c r="P196" i="4"/>
  <c r="O196" i="4"/>
  <c r="U195" i="4"/>
  <c r="T195" i="4"/>
  <c r="S195" i="4"/>
  <c r="R195" i="4"/>
  <c r="Q195" i="4"/>
  <c r="P195" i="4"/>
  <c r="O195" i="4"/>
  <c r="U194" i="4"/>
  <c r="T194" i="4"/>
  <c r="S194" i="4"/>
  <c r="R194" i="4"/>
  <c r="Q194" i="4"/>
  <c r="P194" i="4"/>
  <c r="O194" i="4"/>
  <c r="U193" i="4"/>
  <c r="T193" i="4"/>
  <c r="S193" i="4"/>
  <c r="R193" i="4"/>
  <c r="Q193" i="4"/>
  <c r="P193" i="4"/>
  <c r="O193" i="4"/>
  <c r="U192" i="4"/>
  <c r="T192" i="4"/>
  <c r="S192" i="4"/>
  <c r="R192" i="4"/>
  <c r="Q192" i="4"/>
  <c r="P192" i="4"/>
  <c r="O192" i="4"/>
  <c r="U191" i="4"/>
  <c r="T191" i="4"/>
  <c r="S191" i="4"/>
  <c r="R191" i="4"/>
  <c r="Q191" i="4"/>
  <c r="P191" i="4"/>
  <c r="O191" i="4"/>
  <c r="U190" i="4"/>
  <c r="T190" i="4"/>
  <c r="S190" i="4"/>
  <c r="R190" i="4"/>
  <c r="Q190" i="4"/>
  <c r="P190" i="4"/>
  <c r="O190" i="4"/>
  <c r="U189" i="4"/>
  <c r="T189" i="4"/>
  <c r="S189" i="4"/>
  <c r="R189" i="4"/>
  <c r="Q189" i="4"/>
  <c r="P189" i="4"/>
  <c r="O189" i="4"/>
  <c r="U188" i="4"/>
  <c r="T188" i="4"/>
  <c r="S188" i="4"/>
  <c r="R188" i="4"/>
  <c r="Q188" i="4"/>
  <c r="P188" i="4"/>
  <c r="O188" i="4"/>
  <c r="U187" i="4"/>
  <c r="T187" i="4"/>
  <c r="S187" i="4"/>
  <c r="R187" i="4"/>
  <c r="Q187" i="4"/>
  <c r="P187" i="4"/>
  <c r="O187" i="4"/>
  <c r="U186" i="4"/>
  <c r="T186" i="4"/>
  <c r="S186" i="4"/>
  <c r="R186" i="4"/>
  <c r="Q186" i="4"/>
  <c r="P186" i="4"/>
  <c r="O186" i="4"/>
  <c r="U185" i="4"/>
  <c r="T185" i="4"/>
  <c r="S185" i="4"/>
  <c r="R185" i="4"/>
  <c r="Q185" i="4"/>
  <c r="P185" i="4"/>
  <c r="O185" i="4"/>
  <c r="U184" i="4"/>
  <c r="T184" i="4"/>
  <c r="S184" i="4"/>
  <c r="R184" i="4"/>
  <c r="Q184" i="4"/>
  <c r="P184" i="4"/>
  <c r="O184" i="4"/>
  <c r="U183" i="4"/>
  <c r="T183" i="4"/>
  <c r="S183" i="4"/>
  <c r="R183" i="4"/>
  <c r="Q183" i="4"/>
  <c r="P183" i="4"/>
  <c r="O183" i="4"/>
  <c r="U182" i="4"/>
  <c r="T182" i="4"/>
  <c r="S182" i="4"/>
  <c r="R182" i="4"/>
  <c r="Q182" i="4"/>
  <c r="P182" i="4"/>
  <c r="O182" i="4"/>
  <c r="U181" i="4"/>
  <c r="T181" i="4"/>
  <c r="S181" i="4"/>
  <c r="R181" i="4"/>
  <c r="Q181" i="4"/>
  <c r="P181" i="4"/>
  <c r="O181" i="4"/>
  <c r="U180" i="4"/>
  <c r="T180" i="4"/>
  <c r="S180" i="4"/>
  <c r="R180" i="4"/>
  <c r="Q180" i="4"/>
  <c r="P180" i="4"/>
  <c r="O180" i="4"/>
  <c r="U179" i="4"/>
  <c r="T179" i="4"/>
  <c r="S179" i="4"/>
  <c r="R179" i="4"/>
  <c r="Q179" i="4"/>
  <c r="P179" i="4"/>
  <c r="O179" i="4"/>
  <c r="U178" i="4"/>
  <c r="T178" i="4"/>
  <c r="S178" i="4"/>
  <c r="R178" i="4"/>
  <c r="Q178" i="4"/>
  <c r="P178" i="4"/>
  <c r="O178" i="4"/>
  <c r="U177" i="4"/>
  <c r="T177" i="4"/>
  <c r="S177" i="4"/>
  <c r="R177" i="4"/>
  <c r="Q177" i="4"/>
  <c r="P177" i="4"/>
  <c r="O177" i="4"/>
  <c r="U176" i="4"/>
  <c r="T176" i="4"/>
  <c r="S176" i="4"/>
  <c r="R176" i="4"/>
  <c r="Q176" i="4"/>
  <c r="P176" i="4"/>
  <c r="O176" i="4"/>
  <c r="U175" i="4"/>
  <c r="T175" i="4"/>
  <c r="S175" i="4"/>
  <c r="R175" i="4"/>
  <c r="Q175" i="4"/>
  <c r="P175" i="4"/>
  <c r="O175" i="4"/>
  <c r="U174" i="4"/>
  <c r="T174" i="4"/>
  <c r="S174" i="4"/>
  <c r="R174" i="4"/>
  <c r="Q174" i="4"/>
  <c r="P174" i="4"/>
  <c r="O174" i="4"/>
  <c r="U173" i="4"/>
  <c r="T173" i="4"/>
  <c r="S173" i="4"/>
  <c r="R173" i="4"/>
  <c r="Q173" i="4"/>
  <c r="P173" i="4"/>
  <c r="O173" i="4"/>
  <c r="U172" i="4"/>
  <c r="T172" i="4"/>
  <c r="S172" i="4"/>
  <c r="R172" i="4"/>
  <c r="Q172" i="4"/>
  <c r="P172" i="4"/>
  <c r="O172" i="4"/>
  <c r="U171" i="4"/>
  <c r="T171" i="4"/>
  <c r="S171" i="4"/>
  <c r="R171" i="4"/>
  <c r="Q171" i="4"/>
  <c r="P171" i="4"/>
  <c r="O171" i="4"/>
  <c r="U170" i="4"/>
  <c r="T170" i="4"/>
  <c r="S170" i="4"/>
  <c r="R170" i="4"/>
  <c r="Q170" i="4"/>
  <c r="P170" i="4"/>
  <c r="O170" i="4"/>
  <c r="U169" i="4"/>
  <c r="T169" i="4"/>
  <c r="S169" i="4"/>
  <c r="R169" i="4"/>
  <c r="Q169" i="4"/>
  <c r="P169" i="4"/>
  <c r="O169" i="4"/>
  <c r="U168" i="4"/>
  <c r="T168" i="4"/>
  <c r="S168" i="4"/>
  <c r="R168" i="4"/>
  <c r="Q168" i="4"/>
  <c r="P168" i="4"/>
  <c r="O168" i="4"/>
  <c r="U167" i="4"/>
  <c r="T167" i="4"/>
  <c r="S167" i="4"/>
  <c r="R167" i="4"/>
  <c r="Q167" i="4"/>
  <c r="P167" i="4"/>
  <c r="O167" i="4"/>
  <c r="U166" i="4"/>
  <c r="T166" i="4"/>
  <c r="S166" i="4"/>
  <c r="R166" i="4"/>
  <c r="Q166" i="4"/>
  <c r="P166" i="4"/>
  <c r="O166" i="4"/>
  <c r="U165" i="4"/>
  <c r="T165" i="4"/>
  <c r="S165" i="4"/>
  <c r="R165" i="4"/>
  <c r="Q165" i="4"/>
  <c r="P165" i="4"/>
  <c r="O165" i="4"/>
  <c r="U164" i="4"/>
  <c r="T164" i="4"/>
  <c r="S164" i="4"/>
  <c r="R164" i="4"/>
  <c r="Q164" i="4"/>
  <c r="P164" i="4"/>
  <c r="O164" i="4"/>
  <c r="U163" i="4"/>
  <c r="T163" i="4"/>
  <c r="S163" i="4"/>
  <c r="R163" i="4"/>
  <c r="Q163" i="4"/>
  <c r="P163" i="4"/>
  <c r="O163" i="4"/>
  <c r="U162" i="4"/>
  <c r="T162" i="4"/>
  <c r="S162" i="4"/>
  <c r="R162" i="4"/>
  <c r="Q162" i="4"/>
  <c r="P162" i="4"/>
  <c r="O162" i="4"/>
  <c r="U161" i="4"/>
  <c r="T161" i="4"/>
  <c r="S161" i="4"/>
  <c r="R161" i="4"/>
  <c r="Q161" i="4"/>
  <c r="P161" i="4"/>
  <c r="O161" i="4"/>
  <c r="U160" i="4"/>
  <c r="T160" i="4"/>
  <c r="S160" i="4"/>
  <c r="R160" i="4"/>
  <c r="Q160" i="4"/>
  <c r="P160" i="4"/>
  <c r="O160" i="4"/>
  <c r="U159" i="4"/>
  <c r="T159" i="4"/>
  <c r="S159" i="4"/>
  <c r="R159" i="4"/>
  <c r="Q159" i="4"/>
  <c r="P159" i="4"/>
  <c r="O159" i="4"/>
  <c r="U158" i="4"/>
  <c r="T158" i="4"/>
  <c r="S158" i="4"/>
  <c r="R158" i="4"/>
  <c r="Q158" i="4"/>
  <c r="P158" i="4"/>
  <c r="O158" i="4"/>
  <c r="U157" i="4"/>
  <c r="T157" i="4"/>
  <c r="S157" i="4"/>
  <c r="R157" i="4"/>
  <c r="Q157" i="4"/>
  <c r="P157" i="4"/>
  <c r="O157" i="4"/>
  <c r="U156" i="4"/>
  <c r="T156" i="4"/>
  <c r="S156" i="4"/>
  <c r="R156" i="4"/>
  <c r="Q156" i="4"/>
  <c r="P156" i="4"/>
  <c r="O156" i="4"/>
  <c r="U155" i="4"/>
  <c r="T155" i="4"/>
  <c r="S155" i="4"/>
  <c r="R155" i="4"/>
  <c r="Q155" i="4"/>
  <c r="P155" i="4"/>
  <c r="O155" i="4"/>
  <c r="U154" i="4"/>
  <c r="T154" i="4"/>
  <c r="S154" i="4"/>
  <c r="R154" i="4"/>
  <c r="Q154" i="4"/>
  <c r="P154" i="4"/>
  <c r="O154" i="4"/>
  <c r="U153" i="4"/>
  <c r="T153" i="4"/>
  <c r="S153" i="4"/>
  <c r="R153" i="4"/>
  <c r="Q153" i="4"/>
  <c r="P153" i="4"/>
  <c r="O153" i="4"/>
  <c r="U152" i="4"/>
  <c r="T152" i="4"/>
  <c r="S152" i="4"/>
  <c r="R152" i="4"/>
  <c r="Q152" i="4"/>
  <c r="P152" i="4"/>
  <c r="O152" i="4"/>
  <c r="U151" i="4"/>
  <c r="T151" i="4"/>
  <c r="S151" i="4"/>
  <c r="R151" i="4"/>
  <c r="Q151" i="4"/>
  <c r="P151" i="4"/>
  <c r="O151" i="4"/>
  <c r="U150" i="4"/>
  <c r="T150" i="4"/>
  <c r="S150" i="4"/>
  <c r="R150" i="4"/>
  <c r="Q150" i="4"/>
  <c r="P150" i="4"/>
  <c r="O150" i="4"/>
  <c r="U149" i="4"/>
  <c r="T149" i="4"/>
  <c r="S149" i="4"/>
  <c r="R149" i="4"/>
  <c r="Q149" i="4"/>
  <c r="P149" i="4"/>
  <c r="O149" i="4"/>
  <c r="U148" i="4"/>
  <c r="T148" i="4"/>
  <c r="S148" i="4"/>
  <c r="R148" i="4"/>
  <c r="Q148" i="4"/>
  <c r="P148" i="4"/>
  <c r="O148" i="4"/>
  <c r="U147" i="4"/>
  <c r="T147" i="4"/>
  <c r="S147" i="4"/>
  <c r="R147" i="4"/>
  <c r="Q147" i="4"/>
  <c r="P147" i="4"/>
  <c r="O147" i="4"/>
  <c r="U146" i="4"/>
  <c r="T146" i="4"/>
  <c r="S146" i="4"/>
  <c r="R146" i="4"/>
  <c r="Q146" i="4"/>
  <c r="P146" i="4"/>
  <c r="O146" i="4"/>
  <c r="U145" i="4"/>
  <c r="T145" i="4"/>
  <c r="S145" i="4"/>
  <c r="R145" i="4"/>
  <c r="Q145" i="4"/>
  <c r="P145" i="4"/>
  <c r="O145" i="4"/>
  <c r="U144" i="4"/>
  <c r="T144" i="4"/>
  <c r="S144" i="4"/>
  <c r="R144" i="4"/>
  <c r="Q144" i="4"/>
  <c r="P144" i="4"/>
  <c r="O144" i="4"/>
  <c r="U143" i="4"/>
  <c r="T143" i="4"/>
  <c r="S143" i="4"/>
  <c r="R143" i="4"/>
  <c r="Q143" i="4"/>
  <c r="P143" i="4"/>
  <c r="O143" i="4"/>
  <c r="U142" i="4"/>
  <c r="T142" i="4"/>
  <c r="S142" i="4"/>
  <c r="R142" i="4"/>
  <c r="Q142" i="4"/>
  <c r="P142" i="4"/>
  <c r="O142" i="4"/>
  <c r="U141" i="4"/>
  <c r="T141" i="4"/>
  <c r="S141" i="4"/>
  <c r="R141" i="4"/>
  <c r="Q141" i="4"/>
  <c r="P141" i="4"/>
  <c r="O141" i="4"/>
  <c r="U140" i="4"/>
  <c r="T140" i="4"/>
  <c r="S140" i="4"/>
  <c r="R140" i="4"/>
  <c r="Q140" i="4"/>
  <c r="P140" i="4"/>
  <c r="O140" i="4"/>
  <c r="U139" i="4"/>
  <c r="T139" i="4"/>
  <c r="S139" i="4"/>
  <c r="R139" i="4"/>
  <c r="Q139" i="4"/>
  <c r="P139" i="4"/>
  <c r="O139" i="4"/>
  <c r="U138" i="4"/>
  <c r="T138" i="4"/>
  <c r="S138" i="4"/>
  <c r="R138" i="4"/>
  <c r="Q138" i="4"/>
  <c r="P138" i="4"/>
  <c r="O138" i="4"/>
  <c r="U137" i="4"/>
  <c r="T137" i="4"/>
  <c r="S137" i="4"/>
  <c r="R137" i="4"/>
  <c r="Q137" i="4"/>
  <c r="P137" i="4"/>
  <c r="O137" i="4"/>
  <c r="U136" i="4"/>
  <c r="T136" i="4"/>
  <c r="S136" i="4"/>
  <c r="R136" i="4"/>
  <c r="Q136" i="4"/>
  <c r="P136" i="4"/>
  <c r="O136" i="4"/>
  <c r="U135" i="4"/>
  <c r="T135" i="4"/>
  <c r="S135" i="4"/>
  <c r="R135" i="4"/>
  <c r="Q135" i="4"/>
  <c r="P135" i="4"/>
  <c r="O135" i="4"/>
  <c r="U134" i="4"/>
  <c r="T134" i="4"/>
  <c r="S134" i="4"/>
  <c r="R134" i="4"/>
  <c r="Q134" i="4"/>
  <c r="P134" i="4"/>
  <c r="O134" i="4"/>
  <c r="U133" i="4"/>
  <c r="T133" i="4"/>
  <c r="S133" i="4"/>
  <c r="R133" i="4"/>
  <c r="Q133" i="4"/>
  <c r="P133" i="4"/>
  <c r="O133" i="4"/>
  <c r="U132" i="4"/>
  <c r="T132" i="4"/>
  <c r="S132" i="4"/>
  <c r="R132" i="4"/>
  <c r="Q132" i="4"/>
  <c r="P132" i="4"/>
  <c r="O132" i="4"/>
  <c r="U131" i="4"/>
  <c r="T131" i="4"/>
  <c r="S131" i="4"/>
  <c r="R131" i="4"/>
  <c r="Q131" i="4"/>
  <c r="P131" i="4"/>
  <c r="O131" i="4"/>
  <c r="U130" i="4"/>
  <c r="T130" i="4"/>
  <c r="S130" i="4"/>
  <c r="R130" i="4"/>
  <c r="Q130" i="4"/>
  <c r="P130" i="4"/>
  <c r="O130" i="4"/>
  <c r="U129" i="4"/>
  <c r="T129" i="4"/>
  <c r="S129" i="4"/>
  <c r="R129" i="4"/>
  <c r="Q129" i="4"/>
  <c r="P129" i="4"/>
  <c r="O129" i="4"/>
  <c r="U128" i="4"/>
  <c r="T128" i="4"/>
  <c r="S128" i="4"/>
  <c r="R128" i="4"/>
  <c r="Q128" i="4"/>
  <c r="P128" i="4"/>
  <c r="O128" i="4"/>
  <c r="U127" i="4"/>
  <c r="T127" i="4"/>
  <c r="S127" i="4"/>
  <c r="R127" i="4"/>
  <c r="Q127" i="4"/>
  <c r="P127" i="4"/>
  <c r="O127" i="4"/>
  <c r="U126" i="4"/>
  <c r="T126" i="4"/>
  <c r="S126" i="4"/>
  <c r="R126" i="4"/>
  <c r="Q126" i="4"/>
  <c r="P126" i="4"/>
  <c r="O126" i="4"/>
  <c r="U125" i="4"/>
  <c r="T125" i="4"/>
  <c r="S125" i="4"/>
  <c r="R125" i="4"/>
  <c r="Q125" i="4"/>
  <c r="P125" i="4"/>
  <c r="O125" i="4"/>
  <c r="U124" i="4"/>
  <c r="T124" i="4"/>
  <c r="S124" i="4"/>
  <c r="R124" i="4"/>
  <c r="Q124" i="4"/>
  <c r="P124" i="4"/>
  <c r="O124" i="4"/>
  <c r="U123" i="4"/>
  <c r="T123" i="4"/>
  <c r="S123" i="4"/>
  <c r="R123" i="4"/>
  <c r="Q123" i="4"/>
  <c r="P123" i="4"/>
  <c r="O123" i="4"/>
  <c r="U122" i="4"/>
  <c r="T122" i="4"/>
  <c r="S122" i="4"/>
  <c r="R122" i="4"/>
  <c r="Q122" i="4"/>
  <c r="P122" i="4"/>
  <c r="O122" i="4"/>
  <c r="U121" i="4"/>
  <c r="T121" i="4"/>
  <c r="S121" i="4"/>
  <c r="R121" i="4"/>
  <c r="Q121" i="4"/>
  <c r="P121" i="4"/>
  <c r="O121" i="4"/>
  <c r="U120" i="4"/>
  <c r="T120" i="4"/>
  <c r="S120" i="4"/>
  <c r="R120" i="4"/>
  <c r="Q120" i="4"/>
  <c r="P120" i="4"/>
  <c r="O120" i="4"/>
  <c r="U119" i="4"/>
  <c r="T119" i="4"/>
  <c r="S119" i="4"/>
  <c r="R119" i="4"/>
  <c r="Q119" i="4"/>
  <c r="P119" i="4"/>
  <c r="O119" i="4"/>
  <c r="U118" i="4"/>
  <c r="T118" i="4"/>
  <c r="S118" i="4"/>
  <c r="R118" i="4"/>
  <c r="Q118" i="4"/>
  <c r="P118" i="4"/>
  <c r="O118" i="4"/>
  <c r="U117" i="4"/>
  <c r="T117" i="4"/>
  <c r="S117" i="4"/>
  <c r="R117" i="4"/>
  <c r="Q117" i="4"/>
  <c r="P117" i="4"/>
  <c r="O117" i="4"/>
  <c r="U116" i="4"/>
  <c r="T116" i="4"/>
  <c r="S116" i="4"/>
  <c r="R116" i="4"/>
  <c r="Q116" i="4"/>
  <c r="P116" i="4"/>
  <c r="O116" i="4"/>
  <c r="U115" i="4"/>
  <c r="T115" i="4"/>
  <c r="S115" i="4"/>
  <c r="R115" i="4"/>
  <c r="Q115" i="4"/>
  <c r="P115" i="4"/>
  <c r="O115" i="4"/>
  <c r="U114" i="4"/>
  <c r="T114" i="4"/>
  <c r="S114" i="4"/>
  <c r="R114" i="4"/>
  <c r="Q114" i="4"/>
  <c r="P114" i="4"/>
  <c r="O114" i="4"/>
  <c r="U113" i="4"/>
  <c r="T113" i="4"/>
  <c r="S113" i="4"/>
  <c r="R113" i="4"/>
  <c r="Q113" i="4"/>
  <c r="P113" i="4"/>
  <c r="O113" i="4"/>
  <c r="U112" i="4"/>
  <c r="T112" i="4"/>
  <c r="S112" i="4"/>
  <c r="R112" i="4"/>
  <c r="Q112" i="4"/>
  <c r="P112" i="4"/>
  <c r="O112" i="4"/>
  <c r="U111" i="4"/>
  <c r="T111" i="4"/>
  <c r="S111" i="4"/>
  <c r="R111" i="4"/>
  <c r="Q111" i="4"/>
  <c r="P111" i="4"/>
  <c r="O111" i="4"/>
  <c r="U110" i="4"/>
  <c r="T110" i="4"/>
  <c r="S110" i="4"/>
  <c r="R110" i="4"/>
  <c r="Q110" i="4"/>
  <c r="P110" i="4"/>
  <c r="O110" i="4"/>
  <c r="U109" i="4"/>
  <c r="T109" i="4"/>
  <c r="S109" i="4"/>
  <c r="R109" i="4"/>
  <c r="Q109" i="4"/>
  <c r="P109" i="4"/>
  <c r="O109" i="4"/>
  <c r="U108" i="4"/>
  <c r="T108" i="4"/>
  <c r="S108" i="4"/>
  <c r="R108" i="4"/>
  <c r="Q108" i="4"/>
  <c r="P108" i="4"/>
  <c r="O108" i="4"/>
  <c r="U107" i="4"/>
  <c r="T107" i="4"/>
  <c r="S107" i="4"/>
  <c r="R107" i="4"/>
  <c r="Q107" i="4"/>
  <c r="P107" i="4"/>
  <c r="O107" i="4"/>
  <c r="U106" i="4"/>
  <c r="T106" i="4"/>
  <c r="S106" i="4"/>
  <c r="R106" i="4"/>
  <c r="Q106" i="4"/>
  <c r="P106" i="4"/>
  <c r="O106" i="4"/>
  <c r="U105" i="4"/>
  <c r="T105" i="4"/>
  <c r="S105" i="4"/>
  <c r="R105" i="4"/>
  <c r="Q105" i="4"/>
  <c r="P105" i="4"/>
  <c r="O105" i="4"/>
  <c r="U104" i="4"/>
  <c r="T104" i="4"/>
  <c r="S104" i="4"/>
  <c r="R104" i="4"/>
  <c r="Q104" i="4"/>
  <c r="P104" i="4"/>
  <c r="O104" i="4"/>
  <c r="U103" i="4"/>
  <c r="T103" i="4"/>
  <c r="S103" i="4"/>
  <c r="R103" i="4"/>
  <c r="Q103" i="4"/>
  <c r="P103" i="4"/>
  <c r="O103" i="4"/>
  <c r="U102" i="4"/>
  <c r="T102" i="4"/>
  <c r="S102" i="4"/>
  <c r="R102" i="4"/>
  <c r="Q102" i="4"/>
  <c r="P102" i="4"/>
  <c r="O102" i="4"/>
  <c r="U101" i="4"/>
  <c r="T101" i="4"/>
  <c r="S101" i="4"/>
  <c r="R101" i="4"/>
  <c r="Q101" i="4"/>
  <c r="P101" i="4"/>
  <c r="O101" i="4"/>
  <c r="U100" i="4"/>
  <c r="T100" i="4"/>
  <c r="S100" i="4"/>
  <c r="R100" i="4"/>
  <c r="Q100" i="4"/>
  <c r="P100" i="4"/>
  <c r="O100" i="4"/>
  <c r="U99" i="4"/>
  <c r="T99" i="4"/>
  <c r="S99" i="4"/>
  <c r="R99" i="4"/>
  <c r="Q99" i="4"/>
  <c r="P99" i="4"/>
  <c r="O99" i="4"/>
  <c r="U98" i="4"/>
  <c r="T98" i="4"/>
  <c r="S98" i="4"/>
  <c r="R98" i="4"/>
  <c r="Q98" i="4"/>
  <c r="P98" i="4"/>
  <c r="O98" i="4"/>
  <c r="U97" i="4"/>
  <c r="T97" i="4"/>
  <c r="S97" i="4"/>
  <c r="R97" i="4"/>
  <c r="Q97" i="4"/>
  <c r="P97" i="4"/>
  <c r="O97" i="4"/>
  <c r="U96" i="4"/>
  <c r="T96" i="4"/>
  <c r="S96" i="4"/>
  <c r="R96" i="4"/>
  <c r="Q96" i="4"/>
  <c r="P96" i="4"/>
  <c r="O96" i="4"/>
  <c r="U95" i="4"/>
  <c r="T95" i="4"/>
  <c r="S95" i="4"/>
  <c r="R95" i="4"/>
  <c r="Q95" i="4"/>
  <c r="P95" i="4"/>
  <c r="O95" i="4"/>
  <c r="U94" i="4"/>
  <c r="T94" i="4"/>
  <c r="S94" i="4"/>
  <c r="R94" i="4"/>
  <c r="Q94" i="4"/>
  <c r="P94" i="4"/>
  <c r="O94" i="4"/>
  <c r="U93" i="4"/>
  <c r="T93" i="4"/>
  <c r="S93" i="4"/>
  <c r="R93" i="4"/>
  <c r="Q93" i="4"/>
  <c r="P93" i="4"/>
  <c r="O93" i="4"/>
  <c r="U92" i="4"/>
  <c r="T92" i="4"/>
  <c r="S92" i="4"/>
  <c r="R92" i="4"/>
  <c r="Q92" i="4"/>
  <c r="P92" i="4"/>
  <c r="O92" i="4"/>
  <c r="U91" i="4"/>
  <c r="T91" i="4"/>
  <c r="S91" i="4"/>
  <c r="R91" i="4"/>
  <c r="Q91" i="4"/>
  <c r="P91" i="4"/>
  <c r="O91" i="4"/>
  <c r="U90" i="4"/>
  <c r="T90" i="4"/>
  <c r="S90" i="4"/>
  <c r="R90" i="4"/>
  <c r="Q90" i="4"/>
  <c r="P90" i="4"/>
  <c r="O90" i="4"/>
  <c r="U89" i="4"/>
  <c r="T89" i="4"/>
  <c r="S89" i="4"/>
  <c r="R89" i="4"/>
  <c r="Q89" i="4"/>
  <c r="P89" i="4"/>
  <c r="O89" i="4"/>
  <c r="U88" i="4"/>
  <c r="T88" i="4"/>
  <c r="S88" i="4"/>
  <c r="R88" i="4"/>
  <c r="Q88" i="4"/>
  <c r="P88" i="4"/>
  <c r="O88" i="4"/>
  <c r="U87" i="4"/>
  <c r="T87" i="4"/>
  <c r="S87" i="4"/>
  <c r="R87" i="4"/>
  <c r="Q87" i="4"/>
  <c r="P87" i="4"/>
  <c r="O87" i="4"/>
  <c r="U86" i="4"/>
  <c r="T86" i="4"/>
  <c r="S86" i="4"/>
  <c r="R86" i="4"/>
  <c r="Q86" i="4"/>
  <c r="P86" i="4"/>
  <c r="O86" i="4"/>
  <c r="U85" i="4"/>
  <c r="T85" i="4"/>
  <c r="S85" i="4"/>
  <c r="R85" i="4"/>
  <c r="Q85" i="4"/>
  <c r="P85" i="4"/>
  <c r="O85" i="4"/>
  <c r="U84" i="4"/>
  <c r="T84" i="4"/>
  <c r="S84" i="4"/>
  <c r="R84" i="4"/>
  <c r="Q84" i="4"/>
  <c r="P84" i="4"/>
  <c r="O84" i="4"/>
  <c r="U83" i="4"/>
  <c r="T83" i="4"/>
  <c r="S83" i="4"/>
  <c r="R83" i="4"/>
  <c r="Q83" i="4"/>
  <c r="P83" i="4"/>
  <c r="O83" i="4"/>
  <c r="U82" i="4"/>
  <c r="T82" i="4"/>
  <c r="S82" i="4"/>
  <c r="R82" i="4"/>
  <c r="Q82" i="4"/>
  <c r="P82" i="4"/>
  <c r="O82" i="4"/>
  <c r="U81" i="4"/>
  <c r="T81" i="4"/>
  <c r="S81" i="4"/>
  <c r="R81" i="4"/>
  <c r="Q81" i="4"/>
  <c r="P81" i="4"/>
  <c r="O81" i="4"/>
  <c r="U80" i="4"/>
  <c r="T80" i="4"/>
  <c r="S80" i="4"/>
  <c r="R80" i="4"/>
  <c r="Q80" i="4"/>
  <c r="P80" i="4"/>
  <c r="O80" i="4"/>
  <c r="U79" i="4"/>
  <c r="T79" i="4"/>
  <c r="S79" i="4"/>
  <c r="R79" i="4"/>
  <c r="Q79" i="4"/>
  <c r="P79" i="4"/>
  <c r="O79" i="4"/>
  <c r="U78" i="4"/>
  <c r="T78" i="4"/>
  <c r="S78" i="4"/>
  <c r="R78" i="4"/>
  <c r="Q78" i="4"/>
  <c r="P78" i="4"/>
  <c r="O78" i="4"/>
  <c r="U77" i="4"/>
  <c r="T77" i="4"/>
  <c r="S77" i="4"/>
  <c r="R77" i="4"/>
  <c r="Q77" i="4"/>
  <c r="P77" i="4"/>
  <c r="O77" i="4"/>
  <c r="U76" i="4"/>
  <c r="T76" i="4"/>
  <c r="S76" i="4"/>
  <c r="R76" i="4"/>
  <c r="Q76" i="4"/>
  <c r="P76" i="4"/>
  <c r="O76" i="4"/>
  <c r="U75" i="4"/>
  <c r="T75" i="4"/>
  <c r="S75" i="4"/>
  <c r="R75" i="4"/>
  <c r="Q75" i="4"/>
  <c r="P75" i="4"/>
  <c r="O75" i="4"/>
  <c r="U74" i="4"/>
  <c r="T74" i="4"/>
  <c r="S74" i="4"/>
  <c r="R74" i="4"/>
  <c r="Q74" i="4"/>
  <c r="P74" i="4"/>
  <c r="O74" i="4"/>
  <c r="U73" i="4"/>
  <c r="T73" i="4"/>
  <c r="S73" i="4"/>
  <c r="R73" i="4"/>
  <c r="Q73" i="4"/>
  <c r="P73" i="4"/>
  <c r="O73" i="4"/>
  <c r="U72" i="4"/>
  <c r="T72" i="4"/>
  <c r="S72" i="4"/>
  <c r="R72" i="4"/>
  <c r="Q72" i="4"/>
  <c r="P72" i="4"/>
  <c r="O72" i="4"/>
  <c r="U71" i="4"/>
  <c r="T71" i="4"/>
  <c r="S71" i="4"/>
  <c r="R71" i="4"/>
  <c r="Q71" i="4"/>
  <c r="P71" i="4"/>
  <c r="O71" i="4"/>
  <c r="U70" i="4"/>
  <c r="T70" i="4"/>
  <c r="S70" i="4"/>
  <c r="R70" i="4"/>
  <c r="Q70" i="4"/>
  <c r="P70" i="4"/>
  <c r="O70" i="4"/>
  <c r="U69" i="4"/>
  <c r="T69" i="4"/>
  <c r="S69" i="4"/>
  <c r="R69" i="4"/>
  <c r="Q69" i="4"/>
  <c r="P69" i="4"/>
  <c r="O69" i="4"/>
  <c r="U68" i="4"/>
  <c r="T68" i="4"/>
  <c r="S68" i="4"/>
  <c r="R68" i="4"/>
  <c r="Q68" i="4"/>
  <c r="P68" i="4"/>
  <c r="O68" i="4"/>
  <c r="U67" i="4"/>
  <c r="T67" i="4"/>
  <c r="S67" i="4"/>
  <c r="R67" i="4"/>
  <c r="Q67" i="4"/>
  <c r="P67" i="4"/>
  <c r="O67" i="4"/>
  <c r="U66" i="4"/>
  <c r="T66" i="4"/>
  <c r="S66" i="4"/>
  <c r="R66" i="4"/>
  <c r="Q66" i="4"/>
  <c r="P66" i="4"/>
  <c r="O66" i="4"/>
  <c r="U65" i="4"/>
  <c r="T65" i="4"/>
  <c r="S65" i="4"/>
  <c r="R65" i="4"/>
  <c r="Q65" i="4"/>
  <c r="P65" i="4"/>
  <c r="O65" i="4"/>
  <c r="U64" i="4"/>
  <c r="T64" i="4"/>
  <c r="S64" i="4"/>
  <c r="R64" i="4"/>
  <c r="Q64" i="4"/>
  <c r="P64" i="4"/>
  <c r="O64" i="4"/>
  <c r="U63" i="4"/>
  <c r="T63" i="4"/>
  <c r="S63" i="4"/>
  <c r="R63" i="4"/>
  <c r="Q63" i="4"/>
  <c r="P63" i="4"/>
  <c r="O63" i="4"/>
  <c r="U62" i="4"/>
  <c r="T62" i="4"/>
  <c r="S62" i="4"/>
  <c r="R62" i="4"/>
  <c r="Q62" i="4"/>
  <c r="P62" i="4"/>
  <c r="O62" i="4"/>
  <c r="U61" i="4"/>
  <c r="T61" i="4"/>
  <c r="S61" i="4"/>
  <c r="R61" i="4"/>
  <c r="Q61" i="4"/>
  <c r="P61" i="4"/>
  <c r="O61" i="4"/>
  <c r="U60" i="4"/>
  <c r="T60" i="4"/>
  <c r="S60" i="4"/>
  <c r="R60" i="4"/>
  <c r="Q60" i="4"/>
  <c r="P60" i="4"/>
  <c r="O60" i="4"/>
  <c r="U59" i="4"/>
  <c r="T59" i="4"/>
  <c r="S59" i="4"/>
  <c r="R59" i="4"/>
  <c r="Q59" i="4"/>
  <c r="P59" i="4"/>
  <c r="O59" i="4"/>
  <c r="U58" i="4"/>
  <c r="T58" i="4"/>
  <c r="S58" i="4"/>
  <c r="R58" i="4"/>
  <c r="Q58" i="4"/>
  <c r="P58" i="4"/>
  <c r="O58" i="4"/>
  <c r="U57" i="4"/>
  <c r="T57" i="4"/>
  <c r="S57" i="4"/>
  <c r="R57" i="4"/>
  <c r="Q57" i="4"/>
  <c r="P57" i="4"/>
  <c r="O57" i="4"/>
  <c r="U56" i="4"/>
  <c r="T56" i="4"/>
  <c r="S56" i="4"/>
  <c r="R56" i="4"/>
  <c r="Q56" i="4"/>
  <c r="P56" i="4"/>
  <c r="O56" i="4"/>
  <c r="U55" i="4"/>
  <c r="T55" i="4"/>
  <c r="S55" i="4"/>
  <c r="R55" i="4"/>
  <c r="Q55" i="4"/>
  <c r="P55" i="4"/>
  <c r="O55" i="4"/>
  <c r="U54" i="4"/>
  <c r="T54" i="4"/>
  <c r="S54" i="4"/>
  <c r="R54" i="4"/>
  <c r="Q54" i="4"/>
  <c r="P54" i="4"/>
  <c r="O54" i="4"/>
  <c r="U53" i="4"/>
  <c r="T53" i="4"/>
  <c r="S53" i="4"/>
  <c r="R53" i="4"/>
  <c r="Q53" i="4"/>
  <c r="P53" i="4"/>
  <c r="O53" i="4"/>
  <c r="U52" i="4"/>
  <c r="T52" i="4"/>
  <c r="S52" i="4"/>
  <c r="R52" i="4"/>
  <c r="Q52" i="4"/>
  <c r="P52" i="4"/>
  <c r="O52" i="4"/>
  <c r="U51" i="4"/>
  <c r="T51" i="4"/>
  <c r="S51" i="4"/>
  <c r="R51" i="4"/>
  <c r="Q51" i="4"/>
  <c r="P51" i="4"/>
  <c r="O51" i="4"/>
  <c r="U50" i="4"/>
  <c r="T50" i="4"/>
  <c r="S50" i="4"/>
  <c r="R50" i="4"/>
  <c r="Q50" i="4"/>
  <c r="P50" i="4"/>
  <c r="O50" i="4"/>
  <c r="U49" i="4"/>
  <c r="T49" i="4"/>
  <c r="S49" i="4"/>
  <c r="R49" i="4"/>
  <c r="Q49" i="4"/>
  <c r="P49" i="4"/>
  <c r="O49" i="4"/>
  <c r="U48" i="4"/>
  <c r="T48" i="4"/>
  <c r="S48" i="4"/>
  <c r="R48" i="4"/>
  <c r="Q48" i="4"/>
  <c r="P48" i="4"/>
  <c r="O48" i="4"/>
  <c r="U47" i="4"/>
  <c r="T47" i="4"/>
  <c r="S47" i="4"/>
  <c r="R47" i="4"/>
  <c r="Q47" i="4"/>
  <c r="P47" i="4"/>
  <c r="O47" i="4"/>
  <c r="U46" i="4"/>
  <c r="T46" i="4"/>
  <c r="S46" i="4"/>
  <c r="R46" i="4"/>
  <c r="Q46" i="4"/>
  <c r="P46" i="4"/>
  <c r="O46" i="4"/>
  <c r="U45" i="4"/>
  <c r="T45" i="4"/>
  <c r="S45" i="4"/>
  <c r="R45" i="4"/>
  <c r="Q45" i="4"/>
  <c r="P45" i="4"/>
  <c r="O45" i="4"/>
  <c r="U44" i="4"/>
  <c r="T44" i="4"/>
  <c r="S44" i="4"/>
  <c r="R44" i="4"/>
  <c r="Q44" i="4"/>
  <c r="P44" i="4"/>
  <c r="O44" i="4"/>
  <c r="U43" i="4"/>
  <c r="T43" i="4"/>
  <c r="S43" i="4"/>
  <c r="R43" i="4"/>
  <c r="Q43" i="4"/>
  <c r="P43" i="4"/>
  <c r="O43" i="4"/>
  <c r="U42" i="4"/>
  <c r="T42" i="4"/>
  <c r="S42" i="4"/>
  <c r="R42" i="4"/>
  <c r="Q42" i="4"/>
  <c r="P42" i="4"/>
  <c r="O42" i="4"/>
  <c r="U41" i="4"/>
  <c r="T41" i="4"/>
  <c r="S41" i="4"/>
  <c r="R41" i="4"/>
  <c r="Q41" i="4"/>
  <c r="P41" i="4"/>
  <c r="O41" i="4"/>
  <c r="U40" i="4"/>
  <c r="T40" i="4"/>
  <c r="S40" i="4"/>
  <c r="R40" i="4"/>
  <c r="Q40" i="4"/>
  <c r="P40" i="4"/>
  <c r="O40" i="4"/>
  <c r="U39" i="4"/>
  <c r="T39" i="4"/>
  <c r="S39" i="4"/>
  <c r="R39" i="4"/>
  <c r="Q39" i="4"/>
  <c r="P39" i="4"/>
  <c r="O39" i="4"/>
  <c r="U38" i="4"/>
  <c r="T38" i="4"/>
  <c r="S38" i="4"/>
  <c r="R38" i="4"/>
  <c r="Q38" i="4"/>
  <c r="P38" i="4"/>
  <c r="O38" i="4"/>
  <c r="U37" i="4"/>
  <c r="T37" i="4"/>
  <c r="S37" i="4"/>
  <c r="R37" i="4"/>
  <c r="Q37" i="4"/>
  <c r="P37" i="4"/>
  <c r="O37" i="4"/>
  <c r="U36" i="4"/>
  <c r="T36" i="4"/>
  <c r="S36" i="4"/>
  <c r="R36" i="4"/>
  <c r="Q36" i="4"/>
  <c r="P36" i="4"/>
  <c r="O36" i="4"/>
  <c r="U35" i="4"/>
  <c r="T35" i="4"/>
  <c r="S35" i="4"/>
  <c r="R35" i="4"/>
  <c r="Q35" i="4"/>
  <c r="P35" i="4"/>
  <c r="O35" i="4"/>
  <c r="U34" i="4"/>
  <c r="T34" i="4"/>
  <c r="S34" i="4"/>
  <c r="R34" i="4"/>
  <c r="Q34" i="4"/>
  <c r="P34" i="4"/>
  <c r="O34" i="4"/>
  <c r="U33" i="4"/>
  <c r="T33" i="4"/>
  <c r="S33" i="4"/>
  <c r="R33" i="4"/>
  <c r="Q33" i="4"/>
  <c r="P33" i="4"/>
  <c r="O33" i="4"/>
  <c r="U32" i="4"/>
  <c r="T32" i="4"/>
  <c r="S32" i="4"/>
  <c r="R32" i="4"/>
  <c r="Q32" i="4"/>
  <c r="P32" i="4"/>
  <c r="O32" i="4"/>
  <c r="U31" i="4"/>
  <c r="T31" i="4"/>
  <c r="S31" i="4"/>
  <c r="R31" i="4"/>
  <c r="Q31" i="4"/>
  <c r="P31" i="4"/>
  <c r="O31" i="4"/>
  <c r="U30" i="4"/>
  <c r="T30" i="4"/>
  <c r="S30" i="4"/>
  <c r="R30" i="4"/>
  <c r="Q30" i="4"/>
  <c r="P30" i="4"/>
  <c r="O30" i="4"/>
  <c r="U29" i="4"/>
  <c r="T29" i="4"/>
  <c r="S29" i="4"/>
  <c r="R29" i="4"/>
  <c r="Q29" i="4"/>
  <c r="P29" i="4"/>
  <c r="O29" i="4"/>
  <c r="U28" i="4"/>
  <c r="T28" i="4"/>
  <c r="S28" i="4"/>
  <c r="R28" i="4"/>
  <c r="Q28" i="4"/>
  <c r="P28" i="4"/>
  <c r="O28" i="4"/>
  <c r="U27" i="4"/>
  <c r="T27" i="4"/>
  <c r="S27" i="4"/>
  <c r="R27" i="4"/>
  <c r="Q27" i="4"/>
  <c r="P27" i="4"/>
  <c r="O27" i="4"/>
  <c r="U26" i="4"/>
  <c r="T26" i="4"/>
  <c r="S26" i="4"/>
  <c r="R26" i="4"/>
  <c r="Q26" i="4"/>
  <c r="P26" i="4"/>
  <c r="O26" i="4"/>
  <c r="U25" i="4"/>
  <c r="T25" i="4"/>
  <c r="S25" i="4"/>
  <c r="R25" i="4"/>
  <c r="Q25" i="4"/>
  <c r="P25" i="4"/>
  <c r="O25" i="4"/>
  <c r="U24" i="4"/>
  <c r="T24" i="4"/>
  <c r="S24" i="4"/>
  <c r="R24" i="4"/>
  <c r="Q24" i="4"/>
  <c r="P24" i="4"/>
  <c r="O24" i="4"/>
  <c r="U23" i="4"/>
  <c r="T23" i="4"/>
  <c r="S23" i="4"/>
  <c r="R23" i="4"/>
  <c r="Q23" i="4"/>
  <c r="P23" i="4"/>
  <c r="O23" i="4"/>
  <c r="U22" i="4"/>
  <c r="T22" i="4"/>
  <c r="S22" i="4"/>
  <c r="R22" i="4"/>
  <c r="Q22" i="4"/>
  <c r="P22" i="4"/>
  <c r="O22" i="4"/>
  <c r="U21" i="4"/>
  <c r="T21" i="4"/>
  <c r="S21" i="4"/>
  <c r="R21" i="4"/>
  <c r="Q21" i="4"/>
  <c r="P21" i="4"/>
  <c r="O21" i="4"/>
  <c r="U20" i="4"/>
  <c r="T20" i="4"/>
  <c r="S20" i="4"/>
  <c r="R20" i="4"/>
  <c r="Q20" i="4"/>
  <c r="P20" i="4"/>
  <c r="O20" i="4"/>
  <c r="U19" i="4"/>
  <c r="T19" i="4"/>
  <c r="S19" i="4"/>
  <c r="R19" i="4"/>
  <c r="Q19" i="4"/>
  <c r="P19" i="4"/>
  <c r="O19" i="4"/>
  <c r="U18" i="4"/>
  <c r="T18" i="4"/>
  <c r="S18" i="4"/>
  <c r="R18" i="4"/>
  <c r="Q18" i="4"/>
  <c r="P18" i="4"/>
  <c r="O18" i="4"/>
  <c r="U17" i="4"/>
  <c r="T17" i="4"/>
  <c r="S17" i="4"/>
  <c r="R17" i="4"/>
  <c r="Q17" i="4"/>
  <c r="P17" i="4"/>
  <c r="O17" i="4"/>
  <c r="U16" i="4"/>
  <c r="T16" i="4"/>
  <c r="S16" i="4"/>
  <c r="R16" i="4"/>
  <c r="Q16" i="4"/>
  <c r="P16" i="4"/>
  <c r="O16" i="4"/>
  <c r="U15" i="4"/>
  <c r="T15" i="4"/>
  <c r="S15" i="4"/>
  <c r="R15" i="4"/>
  <c r="Q15" i="4"/>
  <c r="P15" i="4"/>
  <c r="O15" i="4"/>
  <c r="U14" i="4"/>
  <c r="T14" i="4"/>
  <c r="S14" i="4"/>
  <c r="R14" i="4"/>
  <c r="Q14" i="4"/>
  <c r="P14" i="4"/>
  <c r="O14" i="4"/>
  <c r="U13" i="4"/>
  <c r="T13" i="4"/>
  <c r="S13" i="4"/>
  <c r="R13" i="4"/>
  <c r="Q13" i="4"/>
  <c r="P13" i="4"/>
  <c r="O13" i="4"/>
  <c r="U12" i="4"/>
  <c r="T12" i="4"/>
  <c r="S12" i="4"/>
  <c r="R12" i="4"/>
  <c r="Q12" i="4"/>
  <c r="P12" i="4"/>
  <c r="O12" i="4"/>
  <c r="U11" i="4"/>
  <c r="T11" i="4"/>
  <c r="S11" i="4"/>
  <c r="R11" i="4"/>
  <c r="Q11" i="4"/>
  <c r="P11" i="4"/>
  <c r="O11" i="4"/>
  <c r="U10" i="4"/>
  <c r="T10" i="4"/>
  <c r="S10" i="4"/>
  <c r="R10" i="4"/>
  <c r="Q10" i="4"/>
  <c r="P10" i="4"/>
  <c r="O10" i="4"/>
  <c r="U9" i="4"/>
  <c r="T9" i="4"/>
  <c r="S9" i="4"/>
  <c r="R9" i="4"/>
  <c r="Q9" i="4"/>
  <c r="P9" i="4"/>
  <c r="O9" i="4"/>
  <c r="U8" i="4"/>
  <c r="T8" i="4"/>
  <c r="S8" i="4"/>
  <c r="R8" i="4"/>
  <c r="Q8" i="4"/>
  <c r="P8" i="4"/>
  <c r="O8" i="4"/>
  <c r="U7" i="4"/>
  <c r="T7" i="4"/>
  <c r="S7" i="4"/>
  <c r="R7" i="4"/>
  <c r="Q7" i="4"/>
  <c r="P7" i="4"/>
  <c r="O7" i="4"/>
  <c r="U6" i="4"/>
  <c r="T6" i="4"/>
  <c r="S6" i="4"/>
  <c r="R6" i="4"/>
  <c r="Q6" i="4"/>
  <c r="P6" i="4"/>
  <c r="O6" i="4"/>
  <c r="U5" i="4"/>
  <c r="T5" i="4"/>
  <c r="S5" i="4"/>
  <c r="R5" i="4"/>
  <c r="Q5" i="4"/>
  <c r="P5" i="4"/>
  <c r="O5" i="4"/>
  <c r="U4" i="4"/>
  <c r="T4" i="4"/>
  <c r="S4" i="4"/>
  <c r="R4" i="4"/>
  <c r="Q4" i="4"/>
  <c r="P4" i="4"/>
  <c r="O4" i="4"/>
  <c r="U3" i="4"/>
  <c r="T3" i="4"/>
  <c r="S3" i="4"/>
  <c r="R3" i="4"/>
  <c r="Q3" i="4"/>
  <c r="P3" i="4"/>
  <c r="O3" i="4"/>
  <c r="S2" i="4"/>
  <c r="R2" i="4"/>
  <c r="U2" i="4"/>
  <c r="T2" i="4"/>
  <c r="Q2" i="4"/>
  <c r="P2" i="4"/>
  <c r="O2" i="4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S356" i="1"/>
  <c r="R356" i="1"/>
  <c r="Q356" i="1"/>
  <c r="O356" i="1"/>
  <c r="S355" i="1"/>
  <c r="R355" i="1"/>
  <c r="Q355" i="1"/>
  <c r="O355" i="1"/>
  <c r="S354" i="1"/>
  <c r="R354" i="1"/>
  <c r="Q354" i="1"/>
  <c r="O354" i="1"/>
  <c r="S353" i="1"/>
  <c r="R353" i="1"/>
  <c r="Q353" i="1"/>
  <c r="O353" i="1"/>
  <c r="S352" i="1"/>
  <c r="R352" i="1"/>
  <c r="Q352" i="1"/>
  <c r="O352" i="1"/>
  <c r="S351" i="1"/>
  <c r="R351" i="1"/>
  <c r="Q351" i="1"/>
  <c r="O351" i="1"/>
  <c r="S350" i="1"/>
  <c r="R350" i="1"/>
  <c r="Q350" i="1"/>
  <c r="O350" i="1"/>
  <c r="S349" i="1"/>
  <c r="R349" i="1"/>
  <c r="Q349" i="1"/>
  <c r="O349" i="1"/>
  <c r="S348" i="1"/>
  <c r="R348" i="1"/>
  <c r="Q348" i="1"/>
  <c r="O348" i="1"/>
  <c r="S347" i="1"/>
  <c r="R347" i="1"/>
  <c r="Q347" i="1"/>
  <c r="O347" i="1"/>
  <c r="S346" i="1"/>
  <c r="R346" i="1"/>
  <c r="Q346" i="1"/>
  <c r="O346" i="1"/>
  <c r="S345" i="1"/>
  <c r="R345" i="1"/>
  <c r="Q345" i="1"/>
  <c r="O345" i="1"/>
  <c r="S344" i="1"/>
  <c r="R344" i="1"/>
  <c r="Q344" i="1"/>
  <c r="O344" i="1"/>
  <c r="S343" i="1"/>
  <c r="R343" i="1"/>
  <c r="Q343" i="1"/>
  <c r="O343" i="1"/>
  <c r="S342" i="1"/>
  <c r="R342" i="1"/>
  <c r="Q342" i="1"/>
  <c r="O342" i="1"/>
  <c r="S341" i="1"/>
  <c r="R341" i="1"/>
  <c r="Q341" i="1"/>
  <c r="O341" i="1"/>
  <c r="S340" i="1"/>
  <c r="R340" i="1"/>
  <c r="Q340" i="1"/>
  <c r="O340" i="1"/>
  <c r="S339" i="1"/>
  <c r="R339" i="1"/>
  <c r="Q339" i="1"/>
  <c r="O339" i="1"/>
  <c r="S338" i="1"/>
  <c r="R338" i="1"/>
  <c r="Q338" i="1"/>
  <c r="O338" i="1"/>
  <c r="S337" i="1"/>
  <c r="R337" i="1"/>
  <c r="Q337" i="1"/>
  <c r="O337" i="1"/>
  <c r="S336" i="1"/>
  <c r="R336" i="1"/>
  <c r="Q336" i="1"/>
  <c r="O336" i="1"/>
  <c r="S335" i="1"/>
  <c r="R335" i="1"/>
  <c r="Q335" i="1"/>
  <c r="O335" i="1"/>
  <c r="S334" i="1"/>
  <c r="R334" i="1"/>
  <c r="Q334" i="1"/>
  <c r="O334" i="1"/>
  <c r="S333" i="1"/>
  <c r="R333" i="1"/>
  <c r="Q333" i="1"/>
  <c r="O333" i="1"/>
  <c r="S332" i="1"/>
  <c r="R332" i="1"/>
  <c r="Q332" i="1"/>
  <c r="O332" i="1"/>
  <c r="S331" i="1"/>
  <c r="R331" i="1"/>
  <c r="Q331" i="1"/>
  <c r="O331" i="1"/>
  <c r="S330" i="1"/>
  <c r="R330" i="1"/>
  <c r="Q330" i="1"/>
  <c r="O330" i="1"/>
  <c r="S329" i="1"/>
  <c r="R329" i="1"/>
  <c r="Q329" i="1"/>
  <c r="O329" i="1"/>
  <c r="S328" i="1"/>
  <c r="R328" i="1"/>
  <c r="Q328" i="1"/>
  <c r="O328" i="1"/>
  <c r="S327" i="1"/>
  <c r="R327" i="1"/>
  <c r="Q327" i="1"/>
  <c r="O327" i="1"/>
  <c r="S326" i="1"/>
  <c r="R326" i="1"/>
  <c r="Q326" i="1"/>
  <c r="O326" i="1"/>
  <c r="S325" i="1"/>
  <c r="R325" i="1"/>
  <c r="Q325" i="1"/>
  <c r="O325" i="1"/>
  <c r="S324" i="1"/>
  <c r="R324" i="1"/>
  <c r="Q324" i="1"/>
  <c r="O324" i="1"/>
  <c r="S323" i="1"/>
  <c r="R323" i="1"/>
  <c r="Q323" i="1"/>
  <c r="O323" i="1"/>
  <c r="S322" i="1"/>
  <c r="R322" i="1"/>
  <c r="Q322" i="1"/>
  <c r="O322" i="1"/>
  <c r="S321" i="1"/>
  <c r="R321" i="1"/>
  <c r="Q321" i="1"/>
  <c r="O321" i="1"/>
  <c r="S320" i="1"/>
  <c r="R320" i="1"/>
  <c r="Q320" i="1"/>
  <c r="O320" i="1"/>
  <c r="S319" i="1"/>
  <c r="R319" i="1"/>
  <c r="Q319" i="1"/>
  <c r="O319" i="1"/>
  <c r="S318" i="1"/>
  <c r="R318" i="1"/>
  <c r="Q318" i="1"/>
  <c r="O318" i="1"/>
  <c r="S317" i="1"/>
  <c r="R317" i="1"/>
  <c r="Q317" i="1"/>
  <c r="O317" i="1"/>
  <c r="S316" i="1"/>
  <c r="R316" i="1"/>
  <c r="Q316" i="1"/>
  <c r="O316" i="1"/>
  <c r="S315" i="1"/>
  <c r="R315" i="1"/>
  <c r="Q315" i="1"/>
  <c r="O315" i="1"/>
  <c r="S314" i="1"/>
  <c r="R314" i="1"/>
  <c r="Q314" i="1"/>
  <c r="O314" i="1"/>
  <c r="S313" i="1"/>
  <c r="R313" i="1"/>
  <c r="Q313" i="1"/>
  <c r="O313" i="1"/>
  <c r="S312" i="1"/>
  <c r="R312" i="1"/>
  <c r="Q312" i="1"/>
  <c r="O312" i="1"/>
  <c r="S311" i="1"/>
  <c r="R311" i="1"/>
  <c r="Q311" i="1"/>
  <c r="O311" i="1"/>
  <c r="S310" i="1"/>
  <c r="R310" i="1"/>
  <c r="Q310" i="1"/>
  <c r="O310" i="1"/>
  <c r="S309" i="1"/>
  <c r="R309" i="1"/>
  <c r="Q309" i="1"/>
  <c r="O309" i="1"/>
  <c r="S308" i="1"/>
  <c r="R308" i="1"/>
  <c r="Q308" i="1"/>
  <c r="O308" i="1"/>
  <c r="S307" i="1"/>
  <c r="R307" i="1"/>
  <c r="Q307" i="1"/>
  <c r="O307" i="1"/>
  <c r="S306" i="1"/>
  <c r="R306" i="1"/>
  <c r="Q306" i="1"/>
  <c r="O306" i="1"/>
  <c r="S305" i="1"/>
  <c r="R305" i="1"/>
  <c r="Q305" i="1"/>
  <c r="O305" i="1"/>
  <c r="S304" i="1"/>
  <c r="R304" i="1"/>
  <c r="Q304" i="1"/>
  <c r="O304" i="1"/>
  <c r="S303" i="1"/>
  <c r="R303" i="1"/>
  <c r="Q303" i="1"/>
  <c r="O303" i="1"/>
  <c r="S302" i="1"/>
  <c r="R302" i="1"/>
  <c r="Q302" i="1"/>
  <c r="O302" i="1"/>
  <c r="S301" i="1"/>
  <c r="R301" i="1"/>
  <c r="Q301" i="1"/>
  <c r="O301" i="1"/>
  <c r="S300" i="1"/>
  <c r="R300" i="1"/>
  <c r="Q300" i="1"/>
  <c r="O300" i="1"/>
  <c r="S299" i="1"/>
  <c r="R299" i="1"/>
  <c r="Q299" i="1"/>
  <c r="O299" i="1"/>
  <c r="S298" i="1"/>
  <c r="R298" i="1"/>
  <c r="Q298" i="1"/>
  <c r="O298" i="1"/>
  <c r="S297" i="1"/>
  <c r="R297" i="1"/>
  <c r="Q297" i="1"/>
  <c r="O297" i="1"/>
  <c r="S296" i="1"/>
  <c r="R296" i="1"/>
  <c r="Q296" i="1"/>
  <c r="O296" i="1"/>
  <c r="S295" i="1"/>
  <c r="R295" i="1"/>
  <c r="Q295" i="1"/>
  <c r="O295" i="1"/>
  <c r="S294" i="1"/>
  <c r="R294" i="1"/>
  <c r="Q294" i="1"/>
  <c r="O294" i="1"/>
  <c r="S293" i="1"/>
  <c r="R293" i="1"/>
  <c r="Q293" i="1"/>
  <c r="O293" i="1"/>
  <c r="S292" i="1"/>
  <c r="R292" i="1"/>
  <c r="Q292" i="1"/>
  <c r="O292" i="1"/>
  <c r="S291" i="1"/>
  <c r="R291" i="1"/>
  <c r="Q291" i="1"/>
  <c r="O291" i="1"/>
  <c r="S290" i="1"/>
  <c r="R290" i="1"/>
  <c r="Q290" i="1"/>
  <c r="O290" i="1"/>
  <c r="S289" i="1"/>
  <c r="R289" i="1"/>
  <c r="Q289" i="1"/>
  <c r="O289" i="1"/>
  <c r="S288" i="1"/>
  <c r="R288" i="1"/>
  <c r="Q288" i="1"/>
  <c r="O288" i="1"/>
  <c r="S287" i="1"/>
  <c r="R287" i="1"/>
  <c r="Q287" i="1"/>
  <c r="O287" i="1"/>
  <c r="S286" i="1"/>
  <c r="R286" i="1"/>
  <c r="Q286" i="1"/>
  <c r="O286" i="1"/>
  <c r="S285" i="1"/>
  <c r="R285" i="1"/>
  <c r="Q285" i="1"/>
  <c r="O285" i="1"/>
  <c r="S284" i="1"/>
  <c r="R284" i="1"/>
  <c r="Q284" i="1"/>
  <c r="O284" i="1"/>
  <c r="S283" i="1"/>
  <c r="R283" i="1"/>
  <c r="Q283" i="1"/>
  <c r="O283" i="1"/>
  <c r="S282" i="1"/>
  <c r="R282" i="1"/>
  <c r="Q282" i="1"/>
  <c r="O282" i="1"/>
  <c r="S281" i="1"/>
  <c r="R281" i="1"/>
  <c r="Q281" i="1"/>
  <c r="O281" i="1"/>
  <c r="S280" i="1"/>
  <c r="R280" i="1"/>
  <c r="Q280" i="1"/>
  <c r="O280" i="1"/>
  <c r="S279" i="1"/>
  <c r="R279" i="1"/>
  <c r="Q279" i="1"/>
  <c r="O279" i="1"/>
  <c r="S278" i="1"/>
  <c r="R278" i="1"/>
  <c r="Q278" i="1"/>
  <c r="O278" i="1"/>
  <c r="S277" i="1"/>
  <c r="R277" i="1"/>
  <c r="Q277" i="1"/>
  <c r="O277" i="1"/>
  <c r="S276" i="1"/>
  <c r="R276" i="1"/>
  <c r="Q276" i="1"/>
  <c r="O276" i="1"/>
  <c r="S275" i="1"/>
  <c r="R275" i="1"/>
  <c r="Q275" i="1"/>
  <c r="O275" i="1"/>
  <c r="S274" i="1"/>
  <c r="R274" i="1"/>
  <c r="Q274" i="1"/>
  <c r="O274" i="1"/>
  <c r="S273" i="1"/>
  <c r="R273" i="1"/>
  <c r="Q273" i="1"/>
  <c r="O273" i="1"/>
  <c r="S272" i="1"/>
  <c r="R272" i="1"/>
  <c r="Q272" i="1"/>
  <c r="O272" i="1"/>
  <c r="S271" i="1"/>
  <c r="R271" i="1"/>
  <c r="Q271" i="1"/>
  <c r="O271" i="1"/>
  <c r="S270" i="1"/>
  <c r="R270" i="1"/>
  <c r="Q270" i="1"/>
  <c r="O270" i="1"/>
  <c r="S269" i="1"/>
  <c r="R269" i="1"/>
  <c r="Q269" i="1"/>
  <c r="O269" i="1"/>
  <c r="S268" i="1"/>
  <c r="R268" i="1"/>
  <c r="Q268" i="1"/>
  <c r="O268" i="1"/>
  <c r="S267" i="1"/>
  <c r="R267" i="1"/>
  <c r="Q267" i="1"/>
  <c r="O267" i="1"/>
  <c r="S266" i="1"/>
  <c r="R266" i="1"/>
  <c r="Q266" i="1"/>
  <c r="O266" i="1"/>
  <c r="S265" i="1"/>
  <c r="R265" i="1"/>
  <c r="Q265" i="1"/>
  <c r="O265" i="1"/>
  <c r="S264" i="1"/>
  <c r="R264" i="1"/>
  <c r="Q264" i="1"/>
  <c r="O264" i="1"/>
  <c r="S263" i="1"/>
  <c r="R263" i="1"/>
  <c r="Q263" i="1"/>
  <c r="O263" i="1"/>
  <c r="S262" i="1"/>
  <c r="R262" i="1"/>
  <c r="Q262" i="1"/>
  <c r="O262" i="1"/>
  <c r="S261" i="1"/>
  <c r="R261" i="1"/>
  <c r="Q261" i="1"/>
  <c r="O261" i="1"/>
  <c r="S260" i="1"/>
  <c r="R260" i="1"/>
  <c r="Q260" i="1"/>
  <c r="O260" i="1"/>
  <c r="S259" i="1"/>
  <c r="R259" i="1"/>
  <c r="Q259" i="1"/>
  <c r="O259" i="1"/>
  <c r="S258" i="1"/>
  <c r="R258" i="1"/>
  <c r="Q258" i="1"/>
  <c r="O258" i="1"/>
  <c r="S257" i="1"/>
  <c r="R257" i="1"/>
  <c r="Q257" i="1"/>
  <c r="O257" i="1"/>
  <c r="S256" i="1"/>
  <c r="R256" i="1"/>
  <c r="Q256" i="1"/>
  <c r="O256" i="1"/>
  <c r="S255" i="1"/>
  <c r="R255" i="1"/>
  <c r="Q255" i="1"/>
  <c r="O255" i="1"/>
  <c r="S254" i="1"/>
  <c r="R254" i="1"/>
  <c r="Q254" i="1"/>
  <c r="O254" i="1"/>
  <c r="S253" i="1"/>
  <c r="R253" i="1"/>
  <c r="Q253" i="1"/>
  <c r="O253" i="1"/>
  <c r="S252" i="1"/>
  <c r="R252" i="1"/>
  <c r="Q252" i="1"/>
  <c r="O252" i="1"/>
  <c r="S251" i="1"/>
  <c r="R251" i="1"/>
  <c r="Q251" i="1"/>
  <c r="O251" i="1"/>
  <c r="S250" i="1"/>
  <c r="R250" i="1"/>
  <c r="Q250" i="1"/>
  <c r="O250" i="1"/>
  <c r="S249" i="1"/>
  <c r="R249" i="1"/>
  <c r="Q249" i="1"/>
  <c r="O249" i="1"/>
  <c r="S248" i="1"/>
  <c r="R248" i="1"/>
  <c r="Q248" i="1"/>
  <c r="O248" i="1"/>
  <c r="S247" i="1"/>
  <c r="R247" i="1"/>
  <c r="Q247" i="1"/>
  <c r="O247" i="1"/>
  <c r="S246" i="1"/>
  <c r="R246" i="1"/>
  <c r="Q246" i="1"/>
  <c r="O246" i="1"/>
  <c r="S245" i="1"/>
  <c r="R245" i="1"/>
  <c r="Q245" i="1"/>
  <c r="O245" i="1"/>
  <c r="S244" i="1"/>
  <c r="R244" i="1"/>
  <c r="Q244" i="1"/>
  <c r="O244" i="1"/>
  <c r="S243" i="1"/>
  <c r="R243" i="1"/>
  <c r="Q243" i="1"/>
  <c r="O243" i="1"/>
  <c r="S242" i="1"/>
  <c r="R242" i="1"/>
  <c r="Q242" i="1"/>
  <c r="O242" i="1"/>
  <c r="S241" i="1"/>
  <c r="R241" i="1"/>
  <c r="Q241" i="1"/>
  <c r="O241" i="1"/>
  <c r="S240" i="1"/>
  <c r="R240" i="1"/>
  <c r="Q240" i="1"/>
  <c r="O240" i="1"/>
  <c r="S239" i="1"/>
  <c r="R239" i="1"/>
  <c r="Q239" i="1"/>
  <c r="O239" i="1"/>
  <c r="S238" i="1"/>
  <c r="R238" i="1"/>
  <c r="Q238" i="1"/>
  <c r="O238" i="1"/>
  <c r="S237" i="1"/>
  <c r="R237" i="1"/>
  <c r="Q237" i="1"/>
  <c r="O237" i="1"/>
  <c r="S236" i="1"/>
  <c r="R236" i="1"/>
  <c r="Q236" i="1"/>
  <c r="O236" i="1"/>
  <c r="S235" i="1"/>
  <c r="R235" i="1"/>
  <c r="Q235" i="1"/>
  <c r="O235" i="1"/>
  <c r="S234" i="1"/>
  <c r="R234" i="1"/>
  <c r="Q234" i="1"/>
  <c r="O234" i="1"/>
  <c r="S233" i="1"/>
  <c r="R233" i="1"/>
  <c r="Q233" i="1"/>
  <c r="O233" i="1"/>
  <c r="S232" i="1"/>
  <c r="R232" i="1"/>
  <c r="Q232" i="1"/>
  <c r="O232" i="1"/>
  <c r="S231" i="1"/>
  <c r="R231" i="1"/>
  <c r="Q231" i="1"/>
  <c r="O231" i="1"/>
  <c r="S230" i="1"/>
  <c r="R230" i="1"/>
  <c r="Q230" i="1"/>
  <c r="O230" i="1"/>
  <c r="S229" i="1"/>
  <c r="R229" i="1"/>
  <c r="Q229" i="1"/>
  <c r="O229" i="1"/>
  <c r="S228" i="1"/>
  <c r="R228" i="1"/>
  <c r="Q228" i="1"/>
  <c r="O228" i="1"/>
  <c r="S227" i="1"/>
  <c r="R227" i="1"/>
  <c r="Q227" i="1"/>
  <c r="O227" i="1"/>
  <c r="S226" i="1"/>
  <c r="R226" i="1"/>
  <c r="Q226" i="1"/>
  <c r="O226" i="1"/>
  <c r="S225" i="1"/>
  <c r="R225" i="1"/>
  <c r="Q225" i="1"/>
  <c r="O225" i="1"/>
  <c r="S224" i="1"/>
  <c r="R224" i="1"/>
  <c r="Q224" i="1"/>
  <c r="O224" i="1"/>
  <c r="S223" i="1"/>
  <c r="R223" i="1"/>
  <c r="Q223" i="1"/>
  <c r="O223" i="1"/>
  <c r="S222" i="1"/>
  <c r="R222" i="1"/>
  <c r="Q222" i="1"/>
  <c r="O222" i="1"/>
  <c r="S221" i="1"/>
  <c r="R221" i="1"/>
  <c r="Q221" i="1"/>
  <c r="O221" i="1"/>
  <c r="S220" i="1"/>
  <c r="R220" i="1"/>
  <c r="Q220" i="1"/>
  <c r="O220" i="1"/>
  <c r="S219" i="1"/>
  <c r="R219" i="1"/>
  <c r="Q219" i="1"/>
  <c r="O219" i="1"/>
  <c r="S218" i="1"/>
  <c r="R218" i="1"/>
  <c r="Q218" i="1"/>
  <c r="O218" i="1"/>
  <c r="S217" i="1"/>
  <c r="R217" i="1"/>
  <c r="Q217" i="1"/>
  <c r="O217" i="1"/>
  <c r="S216" i="1"/>
  <c r="R216" i="1"/>
  <c r="Q216" i="1"/>
  <c r="O216" i="1"/>
  <c r="S215" i="1"/>
  <c r="R215" i="1"/>
  <c r="Q215" i="1"/>
  <c r="O215" i="1"/>
  <c r="S214" i="1"/>
  <c r="R214" i="1"/>
  <c r="Q214" i="1"/>
  <c r="O214" i="1"/>
  <c r="S213" i="1"/>
  <c r="R213" i="1"/>
  <c r="Q213" i="1"/>
  <c r="O213" i="1"/>
  <c r="S212" i="1"/>
  <c r="R212" i="1"/>
  <c r="Q212" i="1"/>
  <c r="O212" i="1"/>
  <c r="S211" i="1"/>
  <c r="R211" i="1"/>
  <c r="Q211" i="1"/>
  <c r="O211" i="1"/>
  <c r="S210" i="1"/>
  <c r="R210" i="1"/>
  <c r="Q210" i="1"/>
  <c r="O210" i="1"/>
  <c r="S209" i="1"/>
  <c r="R209" i="1"/>
  <c r="Q209" i="1"/>
  <c r="O209" i="1"/>
  <c r="S208" i="1"/>
  <c r="R208" i="1"/>
  <c r="Q208" i="1"/>
  <c r="O208" i="1"/>
  <c r="S207" i="1"/>
  <c r="R207" i="1"/>
  <c r="Q207" i="1"/>
  <c r="O207" i="1"/>
  <c r="S206" i="1"/>
  <c r="R206" i="1"/>
  <c r="Q206" i="1"/>
  <c r="O206" i="1"/>
  <c r="S205" i="1"/>
  <c r="R205" i="1"/>
  <c r="Q205" i="1"/>
  <c r="O205" i="1"/>
  <c r="S204" i="1"/>
  <c r="R204" i="1"/>
  <c r="Q204" i="1"/>
  <c r="O204" i="1"/>
  <c r="S203" i="1"/>
  <c r="R203" i="1"/>
  <c r="Q203" i="1"/>
  <c r="O203" i="1"/>
  <c r="S202" i="1"/>
  <c r="R202" i="1"/>
  <c r="Q202" i="1"/>
  <c r="O202" i="1"/>
  <c r="S201" i="1"/>
  <c r="R201" i="1"/>
  <c r="Q201" i="1"/>
  <c r="O201" i="1"/>
  <c r="S200" i="1"/>
  <c r="R200" i="1"/>
  <c r="Q200" i="1"/>
  <c r="O200" i="1"/>
  <c r="S199" i="1"/>
  <c r="R199" i="1"/>
  <c r="Q199" i="1"/>
  <c r="O199" i="1"/>
  <c r="S198" i="1"/>
  <c r="R198" i="1"/>
  <c r="Q198" i="1"/>
  <c r="O198" i="1"/>
  <c r="S197" i="1"/>
  <c r="R197" i="1"/>
  <c r="Q197" i="1"/>
  <c r="O197" i="1"/>
  <c r="S196" i="1"/>
  <c r="R196" i="1"/>
  <c r="Q196" i="1"/>
  <c r="O196" i="1"/>
  <c r="S195" i="1"/>
  <c r="R195" i="1"/>
  <c r="Q195" i="1"/>
  <c r="O195" i="1"/>
  <c r="S194" i="1"/>
  <c r="R194" i="1"/>
  <c r="Q194" i="1"/>
  <c r="O194" i="1"/>
  <c r="S193" i="1"/>
  <c r="R193" i="1"/>
  <c r="Q193" i="1"/>
  <c r="O193" i="1"/>
  <c r="S192" i="1"/>
  <c r="R192" i="1"/>
  <c r="Q192" i="1"/>
  <c r="O192" i="1"/>
  <c r="S191" i="1"/>
  <c r="R191" i="1"/>
  <c r="Q191" i="1"/>
  <c r="O191" i="1"/>
  <c r="S190" i="1"/>
  <c r="R190" i="1"/>
  <c r="Q190" i="1"/>
  <c r="O190" i="1"/>
  <c r="S189" i="1"/>
  <c r="R189" i="1"/>
  <c r="Q189" i="1"/>
  <c r="O189" i="1"/>
  <c r="S188" i="1"/>
  <c r="R188" i="1"/>
  <c r="Q188" i="1"/>
  <c r="O188" i="1"/>
  <c r="S187" i="1"/>
  <c r="R187" i="1"/>
  <c r="Q187" i="1"/>
  <c r="O187" i="1"/>
  <c r="S186" i="1"/>
  <c r="R186" i="1"/>
  <c r="Q186" i="1"/>
  <c r="O186" i="1"/>
  <c r="S185" i="1"/>
  <c r="R185" i="1"/>
  <c r="Q185" i="1"/>
  <c r="O185" i="1"/>
  <c r="S184" i="1"/>
  <c r="R184" i="1"/>
  <c r="Q184" i="1"/>
  <c r="O184" i="1"/>
  <c r="S183" i="1"/>
  <c r="R183" i="1"/>
  <c r="Q183" i="1"/>
  <c r="O183" i="1"/>
  <c r="S182" i="1"/>
  <c r="R182" i="1"/>
  <c r="Q182" i="1"/>
  <c r="O182" i="1"/>
  <c r="S181" i="1"/>
  <c r="R181" i="1"/>
  <c r="Q181" i="1"/>
  <c r="O181" i="1"/>
  <c r="S180" i="1"/>
  <c r="R180" i="1"/>
  <c r="Q180" i="1"/>
  <c r="O180" i="1"/>
  <c r="S179" i="1"/>
  <c r="R179" i="1"/>
  <c r="Q179" i="1"/>
  <c r="O179" i="1"/>
  <c r="S178" i="1"/>
  <c r="R178" i="1"/>
  <c r="Q178" i="1"/>
  <c r="O178" i="1"/>
  <c r="S177" i="1"/>
  <c r="R177" i="1"/>
  <c r="Q177" i="1"/>
  <c r="O177" i="1"/>
  <c r="S176" i="1"/>
  <c r="R176" i="1"/>
  <c r="Q176" i="1"/>
  <c r="O176" i="1"/>
  <c r="S175" i="1"/>
  <c r="R175" i="1"/>
  <c r="Q175" i="1"/>
  <c r="O175" i="1"/>
  <c r="S174" i="1"/>
  <c r="R174" i="1"/>
  <c r="Q174" i="1"/>
  <c r="O174" i="1"/>
  <c r="S173" i="1"/>
  <c r="R173" i="1"/>
  <c r="Q173" i="1"/>
  <c r="O173" i="1"/>
  <c r="S172" i="1"/>
  <c r="R172" i="1"/>
  <c r="Q172" i="1"/>
  <c r="O172" i="1"/>
  <c r="S171" i="1"/>
  <c r="R171" i="1"/>
  <c r="Q171" i="1"/>
  <c r="O171" i="1"/>
  <c r="S170" i="1"/>
  <c r="R170" i="1"/>
  <c r="Q170" i="1"/>
  <c r="O170" i="1"/>
  <c r="S169" i="1"/>
  <c r="R169" i="1"/>
  <c r="Q169" i="1"/>
  <c r="O169" i="1"/>
  <c r="S168" i="1"/>
  <c r="R168" i="1"/>
  <c r="Q168" i="1"/>
  <c r="O168" i="1"/>
  <c r="S167" i="1"/>
  <c r="R167" i="1"/>
  <c r="Q167" i="1"/>
  <c r="O167" i="1"/>
  <c r="S166" i="1"/>
  <c r="R166" i="1"/>
  <c r="Q166" i="1"/>
  <c r="O166" i="1"/>
  <c r="S165" i="1"/>
  <c r="R165" i="1"/>
  <c r="Q165" i="1"/>
  <c r="O165" i="1"/>
  <c r="S164" i="1"/>
  <c r="R164" i="1"/>
  <c r="Q164" i="1"/>
  <c r="O164" i="1"/>
  <c r="S163" i="1"/>
  <c r="R163" i="1"/>
  <c r="Q163" i="1"/>
  <c r="O163" i="1"/>
  <c r="S162" i="1"/>
  <c r="R162" i="1"/>
  <c r="Q162" i="1"/>
  <c r="O162" i="1"/>
  <c r="S161" i="1"/>
  <c r="R161" i="1"/>
  <c r="Q161" i="1"/>
  <c r="O161" i="1"/>
  <c r="S160" i="1"/>
  <c r="R160" i="1"/>
  <c r="Q160" i="1"/>
  <c r="O160" i="1"/>
  <c r="S159" i="1"/>
  <c r="R159" i="1"/>
  <c r="Q159" i="1"/>
  <c r="O159" i="1"/>
  <c r="S158" i="1"/>
  <c r="R158" i="1"/>
  <c r="Q158" i="1"/>
  <c r="O158" i="1"/>
  <c r="S157" i="1"/>
  <c r="R157" i="1"/>
  <c r="Q157" i="1"/>
  <c r="O157" i="1"/>
  <c r="S156" i="1"/>
  <c r="R156" i="1"/>
  <c r="Q156" i="1"/>
  <c r="O156" i="1"/>
  <c r="S155" i="1"/>
  <c r="R155" i="1"/>
  <c r="Q155" i="1"/>
  <c r="O155" i="1"/>
  <c r="S154" i="1"/>
  <c r="R154" i="1"/>
  <c r="Q154" i="1"/>
  <c r="O154" i="1"/>
  <c r="S153" i="1"/>
  <c r="R153" i="1"/>
  <c r="Q153" i="1"/>
  <c r="O153" i="1"/>
  <c r="S152" i="1"/>
  <c r="R152" i="1"/>
  <c r="Q152" i="1"/>
  <c r="O152" i="1"/>
  <c r="S151" i="1"/>
  <c r="R151" i="1"/>
  <c r="Q151" i="1"/>
  <c r="O151" i="1"/>
  <c r="S150" i="1"/>
  <c r="R150" i="1"/>
  <c r="Q150" i="1"/>
  <c r="O150" i="1"/>
  <c r="S149" i="1"/>
  <c r="R149" i="1"/>
  <c r="Q149" i="1"/>
  <c r="O149" i="1"/>
  <c r="S148" i="1"/>
  <c r="R148" i="1"/>
  <c r="Q148" i="1"/>
  <c r="O148" i="1"/>
  <c r="S147" i="1"/>
  <c r="R147" i="1"/>
  <c r="Q147" i="1"/>
  <c r="O147" i="1"/>
  <c r="S146" i="1"/>
  <c r="R146" i="1"/>
  <c r="Q146" i="1"/>
  <c r="O146" i="1"/>
  <c r="S145" i="1"/>
  <c r="R145" i="1"/>
  <c r="Q145" i="1"/>
  <c r="O145" i="1"/>
  <c r="S144" i="1"/>
  <c r="R144" i="1"/>
  <c r="Q144" i="1"/>
  <c r="O144" i="1"/>
  <c r="S143" i="1"/>
  <c r="R143" i="1"/>
  <c r="Q143" i="1"/>
  <c r="O143" i="1"/>
  <c r="S142" i="1"/>
  <c r="R142" i="1"/>
  <c r="Q142" i="1"/>
  <c r="O142" i="1"/>
  <c r="S141" i="1"/>
  <c r="R141" i="1"/>
  <c r="Q141" i="1"/>
  <c r="O141" i="1"/>
  <c r="S140" i="1"/>
  <c r="R140" i="1"/>
  <c r="Q140" i="1"/>
  <c r="O140" i="1"/>
  <c r="S139" i="1"/>
  <c r="R139" i="1"/>
  <c r="Q139" i="1"/>
  <c r="O139" i="1"/>
  <c r="S138" i="1"/>
  <c r="R138" i="1"/>
  <c r="Q138" i="1"/>
  <c r="O138" i="1"/>
  <c r="S137" i="1"/>
  <c r="R137" i="1"/>
  <c r="Q137" i="1"/>
  <c r="O137" i="1"/>
  <c r="S136" i="1"/>
  <c r="R136" i="1"/>
  <c r="Q136" i="1"/>
  <c r="O136" i="1"/>
  <c r="S135" i="1"/>
  <c r="R135" i="1"/>
  <c r="Q135" i="1"/>
  <c r="O135" i="1"/>
  <c r="S134" i="1"/>
  <c r="R134" i="1"/>
  <c r="Q134" i="1"/>
  <c r="O134" i="1"/>
  <c r="S133" i="1"/>
  <c r="R133" i="1"/>
  <c r="Q133" i="1"/>
  <c r="O133" i="1"/>
  <c r="S132" i="1"/>
  <c r="R132" i="1"/>
  <c r="Q132" i="1"/>
  <c r="O132" i="1"/>
  <c r="S131" i="1"/>
  <c r="R131" i="1"/>
  <c r="Q131" i="1"/>
  <c r="O131" i="1"/>
  <c r="S130" i="1"/>
  <c r="R130" i="1"/>
  <c r="Q130" i="1"/>
  <c r="O130" i="1"/>
  <c r="S129" i="1"/>
  <c r="R129" i="1"/>
  <c r="Q129" i="1"/>
  <c r="O129" i="1"/>
  <c r="S128" i="1"/>
  <c r="R128" i="1"/>
  <c r="Q128" i="1"/>
  <c r="O128" i="1"/>
  <c r="S127" i="1"/>
  <c r="R127" i="1"/>
  <c r="Q127" i="1"/>
  <c r="O127" i="1"/>
  <c r="S126" i="1"/>
  <c r="R126" i="1"/>
  <c r="Q126" i="1"/>
  <c r="O126" i="1"/>
  <c r="S125" i="1"/>
  <c r="R125" i="1"/>
  <c r="Q125" i="1"/>
  <c r="O125" i="1"/>
  <c r="S124" i="1"/>
  <c r="R124" i="1"/>
  <c r="Q124" i="1"/>
  <c r="O124" i="1"/>
  <c r="S123" i="1"/>
  <c r="R123" i="1"/>
  <c r="Q123" i="1"/>
  <c r="O123" i="1"/>
  <c r="S122" i="1"/>
  <c r="R122" i="1"/>
  <c r="Q122" i="1"/>
  <c r="O122" i="1"/>
  <c r="S121" i="1"/>
  <c r="R121" i="1"/>
  <c r="Q121" i="1"/>
  <c r="O121" i="1"/>
  <c r="S120" i="1"/>
  <c r="R120" i="1"/>
  <c r="Q120" i="1"/>
  <c r="O120" i="1"/>
  <c r="S119" i="1"/>
  <c r="R119" i="1"/>
  <c r="Q119" i="1"/>
  <c r="O119" i="1"/>
  <c r="S118" i="1"/>
  <c r="R118" i="1"/>
  <c r="Q118" i="1"/>
  <c r="O118" i="1"/>
  <c r="S117" i="1"/>
  <c r="R117" i="1"/>
  <c r="Q117" i="1"/>
  <c r="O117" i="1"/>
  <c r="S116" i="1"/>
  <c r="R116" i="1"/>
  <c r="Q116" i="1"/>
  <c r="O116" i="1"/>
  <c r="S115" i="1"/>
  <c r="R115" i="1"/>
  <c r="Q115" i="1"/>
  <c r="O115" i="1"/>
  <c r="S114" i="1"/>
  <c r="R114" i="1"/>
  <c r="Q114" i="1"/>
  <c r="O114" i="1"/>
  <c r="S113" i="1"/>
  <c r="R113" i="1"/>
  <c r="Q113" i="1"/>
  <c r="O113" i="1"/>
  <c r="S112" i="1"/>
  <c r="R112" i="1"/>
  <c r="Q112" i="1"/>
  <c r="O112" i="1"/>
  <c r="S111" i="1"/>
  <c r="R111" i="1"/>
  <c r="Q111" i="1"/>
  <c r="O111" i="1"/>
  <c r="S110" i="1"/>
  <c r="R110" i="1"/>
  <c r="Q110" i="1"/>
  <c r="O110" i="1"/>
  <c r="S109" i="1"/>
  <c r="R109" i="1"/>
  <c r="Q109" i="1"/>
  <c r="O109" i="1"/>
  <c r="S108" i="1"/>
  <c r="R108" i="1"/>
  <c r="Q108" i="1"/>
  <c r="O108" i="1"/>
  <c r="S107" i="1"/>
  <c r="R107" i="1"/>
  <c r="Q107" i="1"/>
  <c r="O107" i="1"/>
  <c r="S106" i="1"/>
  <c r="R106" i="1"/>
  <c r="Q106" i="1"/>
  <c r="O106" i="1"/>
  <c r="S105" i="1"/>
  <c r="R105" i="1"/>
  <c r="Q105" i="1"/>
  <c r="O105" i="1"/>
  <c r="S104" i="1"/>
  <c r="R104" i="1"/>
  <c r="Q104" i="1"/>
  <c r="O104" i="1"/>
  <c r="S103" i="1"/>
  <c r="R103" i="1"/>
  <c r="Q103" i="1"/>
  <c r="O103" i="1"/>
  <c r="S102" i="1"/>
  <c r="R102" i="1"/>
  <c r="Q102" i="1"/>
  <c r="O102" i="1"/>
  <c r="S101" i="1"/>
  <c r="R101" i="1"/>
  <c r="Q101" i="1"/>
  <c r="O101" i="1"/>
  <c r="S100" i="1"/>
  <c r="R100" i="1"/>
  <c r="Q100" i="1"/>
  <c r="O100" i="1"/>
  <c r="S99" i="1"/>
  <c r="R99" i="1"/>
  <c r="Q99" i="1"/>
  <c r="O99" i="1"/>
  <c r="S98" i="1"/>
  <c r="R98" i="1"/>
  <c r="Q98" i="1"/>
  <c r="O98" i="1"/>
  <c r="S97" i="1"/>
  <c r="R97" i="1"/>
  <c r="Q97" i="1"/>
  <c r="O97" i="1"/>
  <c r="S96" i="1"/>
  <c r="R96" i="1"/>
  <c r="Q96" i="1"/>
  <c r="O96" i="1"/>
  <c r="S95" i="1"/>
  <c r="R95" i="1"/>
  <c r="Q95" i="1"/>
  <c r="O95" i="1"/>
  <c r="S94" i="1"/>
  <c r="R94" i="1"/>
  <c r="Q94" i="1"/>
  <c r="O94" i="1"/>
  <c r="S93" i="1"/>
  <c r="R93" i="1"/>
  <c r="Q93" i="1"/>
  <c r="O93" i="1"/>
  <c r="S92" i="1"/>
  <c r="R92" i="1"/>
  <c r="Q92" i="1"/>
  <c r="O92" i="1"/>
  <c r="S91" i="1"/>
  <c r="R91" i="1"/>
  <c r="Q91" i="1"/>
  <c r="O91" i="1"/>
  <c r="S90" i="1"/>
  <c r="R90" i="1"/>
  <c r="Q90" i="1"/>
  <c r="O90" i="1"/>
  <c r="S89" i="1"/>
  <c r="R89" i="1"/>
  <c r="Q89" i="1"/>
  <c r="O89" i="1"/>
  <c r="S88" i="1"/>
  <c r="R88" i="1"/>
  <c r="Q88" i="1"/>
  <c r="O88" i="1"/>
  <c r="S87" i="1"/>
  <c r="R87" i="1"/>
  <c r="Q87" i="1"/>
  <c r="O87" i="1"/>
  <c r="S86" i="1"/>
  <c r="R86" i="1"/>
  <c r="Q86" i="1"/>
  <c r="O86" i="1"/>
  <c r="S85" i="1"/>
  <c r="R85" i="1"/>
  <c r="Q85" i="1"/>
  <c r="O85" i="1"/>
  <c r="S84" i="1"/>
  <c r="R84" i="1"/>
  <c r="Q84" i="1"/>
  <c r="O84" i="1"/>
  <c r="S83" i="1"/>
  <c r="R83" i="1"/>
  <c r="Q83" i="1"/>
  <c r="O83" i="1"/>
  <c r="S82" i="1"/>
  <c r="R82" i="1"/>
  <c r="Q82" i="1"/>
  <c r="O82" i="1"/>
  <c r="S81" i="1"/>
  <c r="R81" i="1"/>
  <c r="Q81" i="1"/>
  <c r="O81" i="1"/>
  <c r="S80" i="1"/>
  <c r="R80" i="1"/>
  <c r="Q80" i="1"/>
  <c r="O80" i="1"/>
  <c r="S79" i="1"/>
  <c r="R79" i="1"/>
  <c r="Q79" i="1"/>
  <c r="O79" i="1"/>
  <c r="S78" i="1"/>
  <c r="R78" i="1"/>
  <c r="Q78" i="1"/>
  <c r="O78" i="1"/>
  <c r="S77" i="1"/>
  <c r="R77" i="1"/>
  <c r="Q77" i="1"/>
  <c r="O77" i="1"/>
  <c r="S76" i="1"/>
  <c r="R76" i="1"/>
  <c r="Q76" i="1"/>
  <c r="O76" i="1"/>
  <c r="S75" i="1"/>
  <c r="R75" i="1"/>
  <c r="Q75" i="1"/>
  <c r="O75" i="1"/>
  <c r="S74" i="1"/>
  <c r="R74" i="1"/>
  <c r="Q74" i="1"/>
  <c r="O74" i="1"/>
  <c r="S73" i="1"/>
  <c r="R73" i="1"/>
  <c r="Q73" i="1"/>
  <c r="O73" i="1"/>
  <c r="S72" i="1"/>
  <c r="R72" i="1"/>
  <c r="Q72" i="1"/>
  <c r="O72" i="1"/>
  <c r="S71" i="1"/>
  <c r="R71" i="1"/>
  <c r="Q71" i="1"/>
  <c r="O71" i="1"/>
  <c r="S70" i="1"/>
  <c r="R70" i="1"/>
  <c r="Q70" i="1"/>
  <c r="O70" i="1"/>
  <c r="S69" i="1"/>
  <c r="R69" i="1"/>
  <c r="Q69" i="1"/>
  <c r="O69" i="1"/>
  <c r="S68" i="1"/>
  <c r="R68" i="1"/>
  <c r="Q68" i="1"/>
  <c r="O68" i="1"/>
  <c r="S67" i="1"/>
  <c r="R67" i="1"/>
  <c r="Q67" i="1"/>
  <c r="O67" i="1"/>
  <c r="S66" i="1"/>
  <c r="R66" i="1"/>
  <c r="Q66" i="1"/>
  <c r="O66" i="1"/>
  <c r="S65" i="1"/>
  <c r="R65" i="1"/>
  <c r="Q65" i="1"/>
  <c r="O65" i="1"/>
  <c r="S64" i="1"/>
  <c r="R64" i="1"/>
  <c r="Q64" i="1"/>
  <c r="O64" i="1"/>
  <c r="S63" i="1"/>
  <c r="R63" i="1"/>
  <c r="Q63" i="1"/>
  <c r="O63" i="1"/>
  <c r="S62" i="1"/>
  <c r="R62" i="1"/>
  <c r="Q62" i="1"/>
  <c r="O62" i="1"/>
  <c r="S61" i="1"/>
  <c r="R61" i="1"/>
  <c r="Q61" i="1"/>
  <c r="O61" i="1"/>
  <c r="S60" i="1"/>
  <c r="R60" i="1"/>
  <c r="Q60" i="1"/>
  <c r="O60" i="1"/>
  <c r="S59" i="1"/>
  <c r="R59" i="1"/>
  <c r="Q59" i="1"/>
  <c r="O59" i="1"/>
  <c r="S58" i="1"/>
  <c r="R58" i="1"/>
  <c r="Q58" i="1"/>
  <c r="O58" i="1"/>
  <c r="S57" i="1"/>
  <c r="R57" i="1"/>
  <c r="Q57" i="1"/>
  <c r="O57" i="1"/>
  <c r="S56" i="1"/>
  <c r="R56" i="1"/>
  <c r="Q56" i="1"/>
  <c r="O56" i="1"/>
  <c r="S55" i="1"/>
  <c r="R55" i="1"/>
  <c r="Q55" i="1"/>
  <c r="O55" i="1"/>
  <c r="S54" i="1"/>
  <c r="R54" i="1"/>
  <c r="Q54" i="1"/>
  <c r="O54" i="1"/>
  <c r="S53" i="1"/>
  <c r="R53" i="1"/>
  <c r="Q53" i="1"/>
  <c r="O53" i="1"/>
  <c r="S52" i="1"/>
  <c r="R52" i="1"/>
  <c r="Q52" i="1"/>
  <c r="O52" i="1"/>
  <c r="S51" i="1"/>
  <c r="R51" i="1"/>
  <c r="Q51" i="1"/>
  <c r="O51" i="1"/>
  <c r="S50" i="1"/>
  <c r="R50" i="1"/>
  <c r="Q50" i="1"/>
  <c r="O50" i="1"/>
  <c r="S49" i="1"/>
  <c r="R49" i="1"/>
  <c r="Q49" i="1"/>
  <c r="O49" i="1"/>
  <c r="S48" i="1"/>
  <c r="R48" i="1"/>
  <c r="Q48" i="1"/>
  <c r="O48" i="1"/>
  <c r="S47" i="1"/>
  <c r="R47" i="1"/>
  <c r="Q47" i="1"/>
  <c r="O47" i="1"/>
  <c r="S46" i="1"/>
  <c r="R46" i="1"/>
  <c r="Q46" i="1"/>
  <c r="O46" i="1"/>
  <c r="S45" i="1"/>
  <c r="R45" i="1"/>
  <c r="Q45" i="1"/>
  <c r="O45" i="1"/>
  <c r="S44" i="1"/>
  <c r="R44" i="1"/>
  <c r="Q44" i="1"/>
  <c r="O44" i="1"/>
  <c r="S43" i="1"/>
  <c r="R43" i="1"/>
  <c r="Q43" i="1"/>
  <c r="O43" i="1"/>
  <c r="S42" i="1"/>
  <c r="R42" i="1"/>
  <c r="Q42" i="1"/>
  <c r="O42" i="1"/>
  <c r="S41" i="1"/>
  <c r="R41" i="1"/>
  <c r="Q41" i="1"/>
  <c r="O41" i="1"/>
  <c r="S40" i="1"/>
  <c r="R40" i="1"/>
  <c r="Q40" i="1"/>
  <c r="O40" i="1"/>
  <c r="S39" i="1"/>
  <c r="R39" i="1"/>
  <c r="Q39" i="1"/>
  <c r="O39" i="1"/>
  <c r="S38" i="1"/>
  <c r="R38" i="1"/>
  <c r="Q38" i="1"/>
  <c r="O38" i="1"/>
  <c r="S37" i="1"/>
  <c r="R37" i="1"/>
  <c r="Q37" i="1"/>
  <c r="O37" i="1"/>
  <c r="S36" i="1"/>
  <c r="R36" i="1"/>
  <c r="Q36" i="1"/>
  <c r="O36" i="1"/>
  <c r="S35" i="1"/>
  <c r="R35" i="1"/>
  <c r="Q35" i="1"/>
  <c r="O35" i="1"/>
  <c r="S34" i="1"/>
  <c r="R34" i="1"/>
  <c r="Q34" i="1"/>
  <c r="O34" i="1"/>
  <c r="S33" i="1"/>
  <c r="R33" i="1"/>
  <c r="Q33" i="1"/>
  <c r="O33" i="1"/>
  <c r="S32" i="1"/>
  <c r="R32" i="1"/>
  <c r="Q32" i="1"/>
  <c r="O32" i="1"/>
  <c r="S31" i="1"/>
  <c r="R31" i="1"/>
  <c r="Q31" i="1"/>
  <c r="O31" i="1"/>
  <c r="S30" i="1"/>
  <c r="R30" i="1"/>
  <c r="Q30" i="1"/>
  <c r="O30" i="1"/>
  <c r="S29" i="1"/>
  <c r="R29" i="1"/>
  <c r="Q29" i="1"/>
  <c r="O29" i="1"/>
  <c r="S28" i="1"/>
  <c r="R28" i="1"/>
  <c r="Q28" i="1"/>
  <c r="O28" i="1"/>
  <c r="S27" i="1"/>
  <c r="R27" i="1"/>
  <c r="Q27" i="1"/>
  <c r="O27" i="1"/>
  <c r="S26" i="1"/>
  <c r="R26" i="1"/>
  <c r="Q26" i="1"/>
  <c r="O26" i="1"/>
  <c r="S25" i="1"/>
  <c r="R25" i="1"/>
  <c r="Q25" i="1"/>
  <c r="O25" i="1"/>
  <c r="S24" i="1"/>
  <c r="R24" i="1"/>
  <c r="Q24" i="1"/>
  <c r="O24" i="1"/>
  <c r="S23" i="1"/>
  <c r="R23" i="1"/>
  <c r="Q23" i="1"/>
  <c r="O23" i="1"/>
  <c r="S22" i="1"/>
  <c r="R22" i="1"/>
  <c r="Q22" i="1"/>
  <c r="O22" i="1"/>
  <c r="S21" i="1"/>
  <c r="R21" i="1"/>
  <c r="Q21" i="1"/>
  <c r="O21" i="1"/>
  <c r="S20" i="1"/>
  <c r="R20" i="1"/>
  <c r="Q20" i="1"/>
  <c r="O20" i="1"/>
  <c r="S19" i="1"/>
  <c r="R19" i="1"/>
  <c r="Q19" i="1"/>
  <c r="O19" i="1"/>
  <c r="S18" i="1"/>
  <c r="R18" i="1"/>
  <c r="Q18" i="1"/>
  <c r="O18" i="1"/>
  <c r="S17" i="1"/>
  <c r="R17" i="1"/>
  <c r="Q17" i="1"/>
  <c r="O17" i="1"/>
  <c r="S16" i="1"/>
  <c r="R16" i="1"/>
  <c r="Q16" i="1"/>
  <c r="O16" i="1"/>
  <c r="S15" i="1"/>
  <c r="R15" i="1"/>
  <c r="Q15" i="1"/>
  <c r="O15" i="1"/>
  <c r="S14" i="1"/>
  <c r="R14" i="1"/>
  <c r="Q14" i="1"/>
  <c r="O14" i="1"/>
  <c r="S13" i="1"/>
  <c r="R13" i="1"/>
  <c r="Q13" i="1"/>
  <c r="O13" i="1"/>
  <c r="S12" i="1"/>
  <c r="R12" i="1"/>
  <c r="Q12" i="1"/>
  <c r="O12" i="1"/>
  <c r="S11" i="1"/>
  <c r="R11" i="1"/>
  <c r="Q11" i="1"/>
  <c r="O11" i="1"/>
  <c r="S10" i="1"/>
  <c r="R10" i="1"/>
  <c r="Q10" i="1"/>
  <c r="O10" i="1"/>
  <c r="S9" i="1"/>
  <c r="R9" i="1"/>
  <c r="Q9" i="1"/>
  <c r="O9" i="1"/>
  <c r="S8" i="1"/>
  <c r="R8" i="1"/>
  <c r="Q8" i="1"/>
  <c r="O8" i="1"/>
  <c r="S7" i="1"/>
  <c r="R7" i="1"/>
  <c r="Q7" i="1"/>
  <c r="O7" i="1"/>
  <c r="S6" i="1"/>
  <c r="R6" i="1"/>
  <c r="Q6" i="1"/>
  <c r="O6" i="1"/>
  <c r="S5" i="1"/>
  <c r="R5" i="1"/>
  <c r="Q5" i="1"/>
  <c r="O5" i="1"/>
  <c r="S4" i="1"/>
  <c r="R4" i="1"/>
  <c r="Q4" i="1"/>
  <c r="O4" i="1"/>
  <c r="S3" i="1"/>
  <c r="R3" i="1"/>
  <c r="Q3" i="1"/>
  <c r="O3" i="1"/>
  <c r="S2" i="1"/>
  <c r="R2" i="1"/>
  <c r="Q2" i="1"/>
  <c r="O2" i="1"/>
  <c r="L233" i="4"/>
  <c r="K233" i="4"/>
  <c r="L232" i="4"/>
  <c r="K232" i="4"/>
  <c r="L231" i="4"/>
  <c r="K231" i="4"/>
  <c r="L230" i="4"/>
  <c r="K230" i="4"/>
  <c r="L229" i="4"/>
  <c r="K229" i="4"/>
  <c r="L228" i="4"/>
  <c r="K228" i="4"/>
  <c r="L227" i="4"/>
  <c r="K227" i="4"/>
  <c r="L226" i="4"/>
  <c r="K226" i="4"/>
  <c r="L225" i="4"/>
  <c r="K225" i="4"/>
  <c r="L224" i="4"/>
  <c r="K224" i="4"/>
  <c r="L223" i="4"/>
  <c r="K223" i="4"/>
  <c r="L222" i="4"/>
  <c r="K222" i="4"/>
  <c r="M222" i="4" s="1"/>
  <c r="L221" i="4"/>
  <c r="K221" i="4"/>
  <c r="L220" i="4"/>
  <c r="K220" i="4"/>
  <c r="L219" i="4"/>
  <c r="K219" i="4"/>
  <c r="L218" i="4"/>
  <c r="K218" i="4"/>
  <c r="L217" i="4"/>
  <c r="K217" i="4"/>
  <c r="L216" i="4"/>
  <c r="M217" i="4" s="1"/>
  <c r="K216" i="4"/>
  <c r="L215" i="4"/>
  <c r="K215" i="4"/>
  <c r="L214" i="4"/>
  <c r="K214" i="4"/>
  <c r="L213" i="4"/>
  <c r="K213" i="4"/>
  <c r="L212" i="4"/>
  <c r="K212" i="4"/>
  <c r="L211" i="4"/>
  <c r="K211" i="4"/>
  <c r="L210" i="4"/>
  <c r="M211" i="4" s="1"/>
  <c r="K210" i="4"/>
  <c r="M210" i="4" s="1"/>
  <c r="L209" i="4"/>
  <c r="K209" i="4"/>
  <c r="L208" i="4"/>
  <c r="K208" i="4"/>
  <c r="L207" i="4"/>
  <c r="K207" i="4"/>
  <c r="L206" i="4"/>
  <c r="K206" i="4"/>
  <c r="L205" i="4"/>
  <c r="K205" i="4"/>
  <c r="L204" i="4"/>
  <c r="M205" i="4" s="1"/>
  <c r="K204" i="4"/>
  <c r="L203" i="4"/>
  <c r="K203" i="4"/>
  <c r="L202" i="4"/>
  <c r="K202" i="4"/>
  <c r="L201" i="4"/>
  <c r="K201" i="4"/>
  <c r="L200" i="4"/>
  <c r="K200" i="4"/>
  <c r="L199" i="4"/>
  <c r="K199" i="4"/>
  <c r="L198" i="4"/>
  <c r="K198" i="4"/>
  <c r="M198" i="4" s="1"/>
  <c r="L197" i="4"/>
  <c r="K197" i="4"/>
  <c r="L196" i="4"/>
  <c r="K196" i="4"/>
  <c r="L195" i="4"/>
  <c r="K195" i="4"/>
  <c r="L194" i="4"/>
  <c r="K194" i="4"/>
  <c r="L193" i="4"/>
  <c r="K193" i="4"/>
  <c r="L192" i="4"/>
  <c r="M193" i="4" s="1"/>
  <c r="K192" i="4"/>
  <c r="L191" i="4"/>
  <c r="K191" i="4"/>
  <c r="L190" i="4"/>
  <c r="K190" i="4"/>
  <c r="L189" i="4"/>
  <c r="K189" i="4"/>
  <c r="L188" i="4"/>
  <c r="K188" i="4"/>
  <c r="L187" i="4"/>
  <c r="K187" i="4"/>
  <c r="L186" i="4"/>
  <c r="M187" i="4" s="1"/>
  <c r="K186" i="4"/>
  <c r="M186" i="4" s="1"/>
  <c r="L185" i="4"/>
  <c r="K185" i="4"/>
  <c r="L184" i="4"/>
  <c r="K184" i="4"/>
  <c r="L183" i="4"/>
  <c r="K183" i="4"/>
  <c r="L182" i="4"/>
  <c r="K182" i="4"/>
  <c r="L181" i="4"/>
  <c r="K181" i="4"/>
  <c r="L180" i="4"/>
  <c r="K180" i="4"/>
  <c r="L179" i="4"/>
  <c r="K179" i="4"/>
  <c r="L178" i="4"/>
  <c r="K178" i="4"/>
  <c r="L177" i="4"/>
  <c r="K177" i="4"/>
  <c r="L176" i="4"/>
  <c r="K176" i="4"/>
  <c r="L175" i="4"/>
  <c r="K175" i="4"/>
  <c r="L174" i="4"/>
  <c r="M175" i="4" s="1"/>
  <c r="K174" i="4"/>
  <c r="M174" i="4" s="1"/>
  <c r="L173" i="4"/>
  <c r="K173" i="4"/>
  <c r="L172" i="4"/>
  <c r="K172" i="4"/>
  <c r="L171" i="4"/>
  <c r="K171" i="4"/>
  <c r="L170" i="4"/>
  <c r="K170" i="4"/>
  <c r="L169" i="4"/>
  <c r="K169" i="4"/>
  <c r="L168" i="4"/>
  <c r="M169" i="4" s="1"/>
  <c r="K168" i="4"/>
  <c r="L167" i="4"/>
  <c r="K167" i="4"/>
  <c r="L166" i="4"/>
  <c r="K166" i="4"/>
  <c r="L165" i="4"/>
  <c r="K165" i="4"/>
  <c r="L164" i="4"/>
  <c r="K164" i="4"/>
  <c r="L163" i="4"/>
  <c r="K163" i="4"/>
  <c r="L162" i="4"/>
  <c r="K162" i="4"/>
  <c r="M162" i="4" s="1"/>
  <c r="L161" i="4"/>
  <c r="K161" i="4"/>
  <c r="L160" i="4"/>
  <c r="K160" i="4"/>
  <c r="L159" i="4"/>
  <c r="K159" i="4"/>
  <c r="L158" i="4"/>
  <c r="K158" i="4"/>
  <c r="L157" i="4"/>
  <c r="K157" i="4"/>
  <c r="L156" i="4"/>
  <c r="K156" i="4"/>
  <c r="L155" i="4"/>
  <c r="K155" i="4"/>
  <c r="L154" i="4"/>
  <c r="K154" i="4"/>
  <c r="L153" i="4"/>
  <c r="K153" i="4"/>
  <c r="L152" i="4"/>
  <c r="K152" i="4"/>
  <c r="L151" i="4"/>
  <c r="M152" i="4" s="1"/>
  <c r="K151" i="4"/>
  <c r="L150" i="4"/>
  <c r="K150" i="4"/>
  <c r="M150" i="4" s="1"/>
  <c r="L149" i="4"/>
  <c r="K149" i="4"/>
  <c r="L148" i="4"/>
  <c r="K148" i="4"/>
  <c r="L147" i="4"/>
  <c r="K147" i="4"/>
  <c r="L146" i="4"/>
  <c r="K146" i="4"/>
  <c r="L145" i="4"/>
  <c r="K145" i="4"/>
  <c r="L144" i="4"/>
  <c r="K144" i="4"/>
  <c r="L143" i="4"/>
  <c r="K143" i="4"/>
  <c r="L142" i="4"/>
  <c r="K142" i="4"/>
  <c r="L141" i="4"/>
  <c r="K141" i="4"/>
  <c r="L140" i="4"/>
  <c r="K140" i="4"/>
  <c r="L139" i="4"/>
  <c r="M140" i="4" s="1"/>
  <c r="K139" i="4"/>
  <c r="L138" i="4"/>
  <c r="K138" i="4"/>
  <c r="M138" i="4" s="1"/>
  <c r="L137" i="4"/>
  <c r="K137" i="4"/>
  <c r="L136" i="4"/>
  <c r="K136" i="4"/>
  <c r="L135" i="4"/>
  <c r="K135" i="4"/>
  <c r="L134" i="4"/>
  <c r="M135" i="4" s="1"/>
  <c r="K134" i="4"/>
  <c r="L133" i="4"/>
  <c r="K133" i="4"/>
  <c r="L132" i="4"/>
  <c r="K132" i="4"/>
  <c r="L131" i="4"/>
  <c r="K131" i="4"/>
  <c r="L130" i="4"/>
  <c r="K130" i="4"/>
  <c r="L129" i="4"/>
  <c r="K129" i="4"/>
  <c r="L128" i="4"/>
  <c r="K128" i="4"/>
  <c r="L127" i="4"/>
  <c r="M128" i="4" s="1"/>
  <c r="K127" i="4"/>
  <c r="L126" i="4"/>
  <c r="K126" i="4"/>
  <c r="M126" i="4" s="1"/>
  <c r="L125" i="4"/>
  <c r="K125" i="4"/>
  <c r="L124" i="4"/>
  <c r="K124" i="4"/>
  <c r="L123" i="4"/>
  <c r="K123" i="4"/>
  <c r="L122" i="4"/>
  <c r="M123" i="4" s="1"/>
  <c r="K122" i="4"/>
  <c r="L121" i="4"/>
  <c r="K121" i="4"/>
  <c r="L120" i="4"/>
  <c r="K120" i="4"/>
  <c r="L119" i="4"/>
  <c r="K119" i="4"/>
  <c r="L118" i="4"/>
  <c r="K118" i="4"/>
  <c r="L117" i="4"/>
  <c r="K117" i="4"/>
  <c r="L116" i="4"/>
  <c r="M117" i="4" s="1"/>
  <c r="K116" i="4"/>
  <c r="L115" i="4"/>
  <c r="M116" i="4" s="1"/>
  <c r="K115" i="4"/>
  <c r="L114" i="4"/>
  <c r="K114" i="4"/>
  <c r="M114" i="4" s="1"/>
  <c r="L113" i="4"/>
  <c r="K113" i="4"/>
  <c r="L112" i="4"/>
  <c r="M113" i="4" s="1"/>
  <c r="K112" i="4"/>
  <c r="L111" i="4"/>
  <c r="K111" i="4"/>
  <c r="L110" i="4"/>
  <c r="M111" i="4" s="1"/>
  <c r="K110" i="4"/>
  <c r="L109" i="4"/>
  <c r="K109" i="4"/>
  <c r="L108" i="4"/>
  <c r="K108" i="4"/>
  <c r="L107" i="4"/>
  <c r="K107" i="4"/>
  <c r="L106" i="4"/>
  <c r="K106" i="4"/>
  <c r="L105" i="4"/>
  <c r="K105" i="4"/>
  <c r="L104" i="4"/>
  <c r="M105" i="4" s="1"/>
  <c r="K104" i="4"/>
  <c r="L103" i="4"/>
  <c r="M104" i="4" s="1"/>
  <c r="K103" i="4"/>
  <c r="L102" i="4"/>
  <c r="K102" i="4"/>
  <c r="M102" i="4" s="1"/>
  <c r="L101" i="4"/>
  <c r="K101" i="4"/>
  <c r="L100" i="4"/>
  <c r="M101" i="4" s="1"/>
  <c r="K100" i="4"/>
  <c r="L99" i="4"/>
  <c r="K99" i="4"/>
  <c r="L98" i="4"/>
  <c r="M99" i="4" s="1"/>
  <c r="K98" i="4"/>
  <c r="L97" i="4"/>
  <c r="K97" i="4"/>
  <c r="L96" i="4"/>
  <c r="K96" i="4"/>
  <c r="L95" i="4"/>
  <c r="K95" i="4"/>
  <c r="L94" i="4"/>
  <c r="M95" i="4" s="1"/>
  <c r="K94" i="4"/>
  <c r="L93" i="4"/>
  <c r="K93" i="4"/>
  <c r="L92" i="4"/>
  <c r="M93" i="4" s="1"/>
  <c r="K92" i="4"/>
  <c r="L91" i="4"/>
  <c r="K91" i="4"/>
  <c r="L90" i="4"/>
  <c r="K90" i="4"/>
  <c r="M90" i="4" s="1"/>
  <c r="L89" i="4"/>
  <c r="K89" i="4"/>
  <c r="L88" i="4"/>
  <c r="M89" i="4" s="1"/>
  <c r="K88" i="4"/>
  <c r="L87" i="4"/>
  <c r="K87" i="4"/>
  <c r="L86" i="4"/>
  <c r="K86" i="4"/>
  <c r="L85" i="4"/>
  <c r="M86" i="4" s="1"/>
  <c r="K85" i="4"/>
  <c r="L84" i="4"/>
  <c r="K84" i="4"/>
  <c r="L83" i="4"/>
  <c r="K83" i="4"/>
  <c r="L82" i="4"/>
  <c r="K82" i="4"/>
  <c r="L81" i="4"/>
  <c r="K81" i="4"/>
  <c r="L80" i="4"/>
  <c r="M81" i="4" s="1"/>
  <c r="K80" i="4"/>
  <c r="L79" i="4"/>
  <c r="M80" i="4" s="1"/>
  <c r="K79" i="4"/>
  <c r="L78" i="4"/>
  <c r="K78" i="4"/>
  <c r="L77" i="4"/>
  <c r="K77" i="4"/>
  <c r="L76" i="4"/>
  <c r="M77" i="4" s="1"/>
  <c r="K76" i="4"/>
  <c r="L75" i="4"/>
  <c r="K75" i="4"/>
  <c r="L74" i="4"/>
  <c r="M75" i="4" s="1"/>
  <c r="K74" i="4"/>
  <c r="L73" i="4"/>
  <c r="M74" i="4" s="1"/>
  <c r="K73" i="4"/>
  <c r="L72" i="4"/>
  <c r="K72" i="4"/>
  <c r="L71" i="4"/>
  <c r="K71" i="4"/>
  <c r="L70" i="4"/>
  <c r="K70" i="4"/>
  <c r="L69" i="4"/>
  <c r="K69" i="4"/>
  <c r="L68" i="4"/>
  <c r="M69" i="4" s="1"/>
  <c r="K68" i="4"/>
  <c r="L67" i="4"/>
  <c r="M68" i="4" s="1"/>
  <c r="K67" i="4"/>
  <c r="L66" i="4"/>
  <c r="K66" i="4"/>
  <c r="L65" i="4"/>
  <c r="K65" i="4"/>
  <c r="L64" i="4"/>
  <c r="M65" i="4" s="1"/>
  <c r="K64" i="4"/>
  <c r="L63" i="4"/>
  <c r="K63" i="4"/>
  <c r="L62" i="4"/>
  <c r="M63" i="4" s="1"/>
  <c r="K62" i="4"/>
  <c r="L61" i="4"/>
  <c r="M62" i="4" s="1"/>
  <c r="K61" i="4"/>
  <c r="L60" i="4"/>
  <c r="K60" i="4"/>
  <c r="L59" i="4"/>
  <c r="K59" i="4"/>
  <c r="L58" i="4"/>
  <c r="M59" i="4" s="1"/>
  <c r="K58" i="4"/>
  <c r="L57" i="4"/>
  <c r="K57" i="4"/>
  <c r="L56" i="4"/>
  <c r="K56" i="4"/>
  <c r="L55" i="4"/>
  <c r="M56" i="4" s="1"/>
  <c r="K55" i="4"/>
  <c r="L54" i="4"/>
  <c r="K54" i="4"/>
  <c r="L53" i="4"/>
  <c r="K53" i="4"/>
  <c r="L52" i="4"/>
  <c r="M53" i="4" s="1"/>
  <c r="K52" i="4"/>
  <c r="L51" i="4"/>
  <c r="K51" i="4"/>
  <c r="L50" i="4"/>
  <c r="K50" i="4"/>
  <c r="L49" i="4"/>
  <c r="M50" i="4" s="1"/>
  <c r="K49" i="4"/>
  <c r="L48" i="4"/>
  <c r="K48" i="4"/>
  <c r="L47" i="4"/>
  <c r="K47" i="4"/>
  <c r="L46" i="4"/>
  <c r="M47" i="4" s="1"/>
  <c r="K46" i="4"/>
  <c r="L45" i="4"/>
  <c r="M46" i="4" s="1"/>
  <c r="K45" i="4"/>
  <c r="L44" i="4"/>
  <c r="K44" i="4"/>
  <c r="L43" i="4"/>
  <c r="M44" i="4" s="1"/>
  <c r="K43" i="4"/>
  <c r="L42" i="4"/>
  <c r="K42" i="4"/>
  <c r="L41" i="4"/>
  <c r="K41" i="4"/>
  <c r="L40" i="4"/>
  <c r="K40" i="4"/>
  <c r="L39" i="4"/>
  <c r="K39" i="4"/>
  <c r="L38" i="4"/>
  <c r="M39" i="4" s="1"/>
  <c r="K38" i="4"/>
  <c r="L37" i="4"/>
  <c r="M38" i="4" s="1"/>
  <c r="K37" i="4"/>
  <c r="L36" i="4"/>
  <c r="K36" i="4"/>
  <c r="L35" i="4"/>
  <c r="K35" i="4"/>
  <c r="L34" i="4"/>
  <c r="M35" i="4" s="1"/>
  <c r="K34" i="4"/>
  <c r="L33" i="4"/>
  <c r="M34" i="4" s="1"/>
  <c r="K33" i="4"/>
  <c r="L32" i="4"/>
  <c r="M33" i="4" s="1"/>
  <c r="K32" i="4"/>
  <c r="L31" i="4"/>
  <c r="M32" i="4" s="1"/>
  <c r="K31" i="4"/>
  <c r="L30" i="4"/>
  <c r="K30" i="4"/>
  <c r="L29" i="4"/>
  <c r="K29" i="4"/>
  <c r="L28" i="4"/>
  <c r="M29" i="4" s="1"/>
  <c r="K28" i="4"/>
  <c r="L27" i="4"/>
  <c r="M28" i="4" s="1"/>
  <c r="K27" i="4"/>
  <c r="L26" i="4"/>
  <c r="M27" i="4" s="1"/>
  <c r="K26" i="4"/>
  <c r="L25" i="4"/>
  <c r="M26" i="4" s="1"/>
  <c r="K25" i="4"/>
  <c r="L24" i="4"/>
  <c r="K24" i="4"/>
  <c r="L23" i="4"/>
  <c r="K23" i="4"/>
  <c r="L22" i="4"/>
  <c r="M23" i="4" s="1"/>
  <c r="K22" i="4"/>
  <c r="L21" i="4"/>
  <c r="M22" i="4" s="1"/>
  <c r="K21" i="4"/>
  <c r="L20" i="4"/>
  <c r="M21" i="4" s="1"/>
  <c r="K20" i="4"/>
  <c r="L19" i="4"/>
  <c r="M20" i="4" s="1"/>
  <c r="K19" i="4"/>
  <c r="L18" i="4"/>
  <c r="K18" i="4"/>
  <c r="L17" i="4"/>
  <c r="K17" i="4"/>
  <c r="L16" i="4"/>
  <c r="M17" i="4" s="1"/>
  <c r="K16" i="4"/>
  <c r="L15" i="4"/>
  <c r="M16" i="4" s="1"/>
  <c r="K15" i="4"/>
  <c r="L14" i="4"/>
  <c r="M15" i="4" s="1"/>
  <c r="K14" i="4"/>
  <c r="L13" i="4"/>
  <c r="M14" i="4" s="1"/>
  <c r="K13" i="4"/>
  <c r="L12" i="4"/>
  <c r="K12" i="4"/>
  <c r="L11" i="4"/>
  <c r="K11" i="4"/>
  <c r="L10" i="4"/>
  <c r="M11" i="4" s="1"/>
  <c r="K10" i="4"/>
  <c r="L9" i="4"/>
  <c r="M10" i="4" s="1"/>
  <c r="K9" i="4"/>
  <c r="L8" i="4"/>
  <c r="M9" i="4" s="1"/>
  <c r="K8" i="4"/>
  <c r="L7" i="4"/>
  <c r="M8" i="4" s="1"/>
  <c r="K7" i="4"/>
  <c r="L6" i="4"/>
  <c r="K6" i="4"/>
  <c r="L5" i="4"/>
  <c r="K5" i="4"/>
  <c r="L4" i="4"/>
  <c r="M5" i="4" s="1"/>
  <c r="K4" i="4"/>
  <c r="L3" i="4"/>
  <c r="K3" i="4"/>
  <c r="M3" i="4"/>
  <c r="L2" i="4"/>
  <c r="K2" i="4"/>
  <c r="L343" i="3"/>
  <c r="K343" i="3"/>
  <c r="L342" i="3"/>
  <c r="K342" i="3"/>
  <c r="L341" i="3"/>
  <c r="K341" i="3"/>
  <c r="L340" i="3"/>
  <c r="K340" i="3"/>
  <c r="L339" i="3"/>
  <c r="K339" i="3"/>
  <c r="L338" i="3"/>
  <c r="K338" i="3"/>
  <c r="L337" i="3"/>
  <c r="K337" i="3"/>
  <c r="L336" i="3"/>
  <c r="K336" i="3"/>
  <c r="L335" i="3"/>
  <c r="K335" i="3"/>
  <c r="M335" i="3" s="1"/>
  <c r="L334" i="3"/>
  <c r="K334" i="3"/>
  <c r="L333" i="3"/>
  <c r="K333" i="3"/>
  <c r="L332" i="3"/>
  <c r="K332" i="3"/>
  <c r="L331" i="3"/>
  <c r="K331" i="3"/>
  <c r="L330" i="3"/>
  <c r="K330" i="3"/>
  <c r="L329" i="3"/>
  <c r="K329" i="3"/>
  <c r="L328" i="3"/>
  <c r="K328" i="3"/>
  <c r="L327" i="3"/>
  <c r="K327" i="3"/>
  <c r="L326" i="3"/>
  <c r="K326" i="3"/>
  <c r="L325" i="3"/>
  <c r="K325" i="3"/>
  <c r="L324" i="3"/>
  <c r="K324" i="3"/>
  <c r="L323" i="3"/>
  <c r="K323" i="3"/>
  <c r="L322" i="3"/>
  <c r="K322" i="3"/>
  <c r="L321" i="3"/>
  <c r="K321" i="3"/>
  <c r="L320" i="3"/>
  <c r="K320" i="3"/>
  <c r="L319" i="3"/>
  <c r="K319" i="3"/>
  <c r="L318" i="3"/>
  <c r="K318" i="3"/>
  <c r="L317" i="3"/>
  <c r="K317" i="3"/>
  <c r="L316" i="3"/>
  <c r="K316" i="3"/>
  <c r="L315" i="3"/>
  <c r="K315" i="3"/>
  <c r="L314" i="3"/>
  <c r="K314" i="3"/>
  <c r="L313" i="3"/>
  <c r="K313" i="3"/>
  <c r="M312" i="3"/>
  <c r="L312" i="3"/>
  <c r="K312" i="3"/>
  <c r="L311" i="3"/>
  <c r="K311" i="3"/>
  <c r="L310" i="3"/>
  <c r="K310" i="3"/>
  <c r="L309" i="3"/>
  <c r="K309" i="3"/>
  <c r="L308" i="3"/>
  <c r="K308" i="3"/>
  <c r="L307" i="3"/>
  <c r="K307" i="3"/>
  <c r="M307" i="3" s="1"/>
  <c r="L306" i="3"/>
  <c r="K306" i="3"/>
  <c r="L305" i="3"/>
  <c r="K305" i="3"/>
  <c r="L304" i="3"/>
  <c r="K304" i="3"/>
  <c r="L303" i="3"/>
  <c r="K303" i="3"/>
  <c r="L302" i="3"/>
  <c r="K302" i="3"/>
  <c r="L301" i="3"/>
  <c r="K301" i="3"/>
  <c r="L300" i="3"/>
  <c r="K300" i="3"/>
  <c r="L299" i="3"/>
  <c r="K299" i="3"/>
  <c r="L298" i="3"/>
  <c r="K298" i="3"/>
  <c r="L297" i="3"/>
  <c r="K297" i="3"/>
  <c r="L296" i="3"/>
  <c r="K296" i="3"/>
  <c r="L295" i="3"/>
  <c r="K295" i="3"/>
  <c r="L294" i="3"/>
  <c r="K294" i="3"/>
  <c r="L293" i="3"/>
  <c r="K293" i="3"/>
  <c r="L292" i="3"/>
  <c r="K292" i="3"/>
  <c r="L291" i="3"/>
  <c r="K291" i="3"/>
  <c r="L290" i="3"/>
  <c r="K290" i="3"/>
  <c r="L289" i="3"/>
  <c r="K289" i="3"/>
  <c r="L288" i="3"/>
  <c r="K288" i="3"/>
  <c r="M288" i="3" s="1"/>
  <c r="L287" i="3"/>
  <c r="K287" i="3"/>
  <c r="L286" i="3"/>
  <c r="K286" i="3"/>
  <c r="L285" i="3"/>
  <c r="K285" i="3"/>
  <c r="L284" i="3"/>
  <c r="K284" i="3"/>
  <c r="L283" i="3"/>
  <c r="K283" i="3"/>
  <c r="L282" i="3"/>
  <c r="K282" i="3"/>
  <c r="L281" i="3"/>
  <c r="K281" i="3"/>
  <c r="L280" i="3"/>
  <c r="K280" i="3"/>
  <c r="L279" i="3"/>
  <c r="K279" i="3"/>
  <c r="L278" i="3"/>
  <c r="K278" i="3"/>
  <c r="L277" i="3"/>
  <c r="K277" i="3"/>
  <c r="L276" i="3"/>
  <c r="K276" i="3"/>
  <c r="L275" i="3"/>
  <c r="K275" i="3"/>
  <c r="L274" i="3"/>
  <c r="K274" i="3"/>
  <c r="L273" i="3"/>
  <c r="K273" i="3"/>
  <c r="L272" i="3"/>
  <c r="K272" i="3"/>
  <c r="L271" i="3"/>
  <c r="K271" i="3"/>
  <c r="L270" i="3"/>
  <c r="K270" i="3"/>
  <c r="L269" i="3"/>
  <c r="K269" i="3"/>
  <c r="L268" i="3"/>
  <c r="K268" i="3"/>
  <c r="L267" i="3"/>
  <c r="K267" i="3"/>
  <c r="L266" i="3"/>
  <c r="K266" i="3"/>
  <c r="L265" i="3"/>
  <c r="K265" i="3"/>
  <c r="L264" i="3"/>
  <c r="K264" i="3"/>
  <c r="L263" i="3"/>
  <c r="K263" i="3"/>
  <c r="L262" i="3"/>
  <c r="K262" i="3"/>
  <c r="L261" i="3"/>
  <c r="K261" i="3"/>
  <c r="L260" i="3"/>
  <c r="K260" i="3"/>
  <c r="L259" i="3"/>
  <c r="K259" i="3"/>
  <c r="M259" i="3" s="1"/>
  <c r="L258" i="3"/>
  <c r="K258" i="3"/>
  <c r="L257" i="3"/>
  <c r="K257" i="3"/>
  <c r="L256" i="3"/>
  <c r="K256" i="3"/>
  <c r="L255" i="3"/>
  <c r="K255" i="3"/>
  <c r="L254" i="3"/>
  <c r="K254" i="3"/>
  <c r="L253" i="3"/>
  <c r="K253" i="3"/>
  <c r="L252" i="3"/>
  <c r="K252" i="3"/>
  <c r="L251" i="3"/>
  <c r="K251" i="3"/>
  <c r="L250" i="3"/>
  <c r="K250" i="3"/>
  <c r="L249" i="3"/>
  <c r="K249" i="3"/>
  <c r="L248" i="3"/>
  <c r="K248" i="3"/>
  <c r="L247" i="3"/>
  <c r="K247" i="3"/>
  <c r="L246" i="3"/>
  <c r="K246" i="3"/>
  <c r="L245" i="3"/>
  <c r="K245" i="3"/>
  <c r="L244" i="3"/>
  <c r="K244" i="3"/>
  <c r="L243" i="3"/>
  <c r="K243" i="3"/>
  <c r="L242" i="3"/>
  <c r="K242" i="3"/>
  <c r="L241" i="3"/>
  <c r="K241" i="3"/>
  <c r="L240" i="3"/>
  <c r="K240" i="3"/>
  <c r="L239" i="3"/>
  <c r="K239" i="3"/>
  <c r="L238" i="3"/>
  <c r="K238" i="3"/>
  <c r="L237" i="3"/>
  <c r="K237" i="3"/>
  <c r="L236" i="3"/>
  <c r="K236" i="3"/>
  <c r="L235" i="3"/>
  <c r="K235" i="3"/>
  <c r="L234" i="3"/>
  <c r="K234" i="3"/>
  <c r="L233" i="3"/>
  <c r="K233" i="3"/>
  <c r="L232" i="3"/>
  <c r="K232" i="3"/>
  <c r="M232" i="3" s="1"/>
  <c r="L231" i="3"/>
  <c r="K231" i="3"/>
  <c r="L230" i="3"/>
  <c r="K230" i="3"/>
  <c r="L229" i="3"/>
  <c r="K229" i="3"/>
  <c r="L228" i="3"/>
  <c r="K228" i="3"/>
  <c r="L227" i="3"/>
  <c r="K227" i="3"/>
  <c r="L226" i="3"/>
  <c r="K226" i="3"/>
  <c r="L225" i="3"/>
  <c r="K225" i="3"/>
  <c r="L224" i="3"/>
  <c r="K224" i="3"/>
  <c r="L223" i="3"/>
  <c r="K223" i="3"/>
  <c r="L222" i="3"/>
  <c r="K222" i="3"/>
  <c r="L221" i="3"/>
  <c r="K221" i="3"/>
  <c r="L220" i="3"/>
  <c r="K220" i="3"/>
  <c r="L219" i="3"/>
  <c r="K219" i="3"/>
  <c r="L218" i="3"/>
  <c r="K218" i="3"/>
  <c r="L217" i="3"/>
  <c r="K217" i="3"/>
  <c r="L216" i="3"/>
  <c r="K216" i="3"/>
  <c r="L215" i="3"/>
  <c r="K215" i="3"/>
  <c r="L214" i="3"/>
  <c r="K214" i="3"/>
  <c r="L213" i="3"/>
  <c r="K213" i="3"/>
  <c r="L212" i="3"/>
  <c r="K212" i="3"/>
  <c r="L211" i="3"/>
  <c r="K211" i="3"/>
  <c r="L210" i="3"/>
  <c r="K210" i="3"/>
  <c r="L209" i="3"/>
  <c r="K209" i="3"/>
  <c r="L208" i="3"/>
  <c r="K208" i="3"/>
  <c r="L207" i="3"/>
  <c r="K207" i="3"/>
  <c r="L206" i="3"/>
  <c r="K206" i="3"/>
  <c r="L205" i="3"/>
  <c r="K205" i="3"/>
  <c r="L204" i="3"/>
  <c r="K204" i="3"/>
  <c r="L203" i="3"/>
  <c r="K203" i="3"/>
  <c r="L202" i="3"/>
  <c r="K202" i="3"/>
  <c r="L201" i="3"/>
  <c r="K201" i="3"/>
  <c r="L200" i="3"/>
  <c r="M201" i="3" s="1"/>
  <c r="K200" i="3"/>
  <c r="L199" i="3"/>
  <c r="K199" i="3"/>
  <c r="L198" i="3"/>
  <c r="K198" i="3"/>
  <c r="L197" i="3"/>
  <c r="K197" i="3"/>
  <c r="L196" i="3"/>
  <c r="K196" i="3"/>
  <c r="L195" i="3"/>
  <c r="K195" i="3"/>
  <c r="L194" i="3"/>
  <c r="K194" i="3"/>
  <c r="L193" i="3"/>
  <c r="K193" i="3"/>
  <c r="L192" i="3"/>
  <c r="K192" i="3"/>
  <c r="L191" i="3"/>
  <c r="K191" i="3"/>
  <c r="L190" i="3"/>
  <c r="K190" i="3"/>
  <c r="L189" i="3"/>
  <c r="K189" i="3"/>
  <c r="L188" i="3"/>
  <c r="K188" i="3"/>
  <c r="L187" i="3"/>
  <c r="K187" i="3"/>
  <c r="L186" i="3"/>
  <c r="K186" i="3"/>
  <c r="L185" i="3"/>
  <c r="K185" i="3"/>
  <c r="L184" i="3"/>
  <c r="K184" i="3"/>
  <c r="L183" i="3"/>
  <c r="K183" i="3"/>
  <c r="L182" i="3"/>
  <c r="K182" i="3"/>
  <c r="L181" i="3"/>
  <c r="K181" i="3"/>
  <c r="L180" i="3"/>
  <c r="K180" i="3"/>
  <c r="L179" i="3"/>
  <c r="K179" i="3"/>
  <c r="L178" i="3"/>
  <c r="K178" i="3"/>
  <c r="L177" i="3"/>
  <c r="K177" i="3"/>
  <c r="L176" i="3"/>
  <c r="K176" i="3"/>
  <c r="L175" i="3"/>
  <c r="K175" i="3"/>
  <c r="L174" i="3"/>
  <c r="K174" i="3"/>
  <c r="L173" i="3"/>
  <c r="K173" i="3"/>
  <c r="L172" i="3"/>
  <c r="K172" i="3"/>
  <c r="L171" i="3"/>
  <c r="K171" i="3"/>
  <c r="L170" i="3"/>
  <c r="K170" i="3"/>
  <c r="L169" i="3"/>
  <c r="K169" i="3"/>
  <c r="L168" i="3"/>
  <c r="K168" i="3"/>
  <c r="L167" i="3"/>
  <c r="K167" i="3"/>
  <c r="L166" i="3"/>
  <c r="K166" i="3"/>
  <c r="L165" i="3"/>
  <c r="K165" i="3"/>
  <c r="L164" i="3"/>
  <c r="K164" i="3"/>
  <c r="L163" i="3"/>
  <c r="K163" i="3"/>
  <c r="L162" i="3"/>
  <c r="K162" i="3"/>
  <c r="L161" i="3"/>
  <c r="K161" i="3"/>
  <c r="L160" i="3"/>
  <c r="K160" i="3"/>
  <c r="L159" i="3"/>
  <c r="K159" i="3"/>
  <c r="L158" i="3"/>
  <c r="K158" i="3"/>
  <c r="L157" i="3"/>
  <c r="K157" i="3"/>
  <c r="L156" i="3"/>
  <c r="K156" i="3"/>
  <c r="L155" i="3"/>
  <c r="K155" i="3"/>
  <c r="L154" i="3"/>
  <c r="K154" i="3"/>
  <c r="L153" i="3"/>
  <c r="K153" i="3"/>
  <c r="L152" i="3"/>
  <c r="K152" i="3"/>
  <c r="L151" i="3"/>
  <c r="K151" i="3"/>
  <c r="L150" i="3"/>
  <c r="K150" i="3"/>
  <c r="L149" i="3"/>
  <c r="K149" i="3"/>
  <c r="L148" i="3"/>
  <c r="K148" i="3"/>
  <c r="L147" i="3"/>
  <c r="K147" i="3"/>
  <c r="L146" i="3"/>
  <c r="K146" i="3"/>
  <c r="L145" i="3"/>
  <c r="K145" i="3"/>
  <c r="L144" i="3"/>
  <c r="K144" i="3"/>
  <c r="M144" i="3" s="1"/>
  <c r="L143" i="3"/>
  <c r="K143" i="3"/>
  <c r="L142" i="3"/>
  <c r="K142" i="3"/>
  <c r="L141" i="3"/>
  <c r="K141" i="3"/>
  <c r="L140" i="3"/>
  <c r="K140" i="3"/>
  <c r="L139" i="3"/>
  <c r="K139" i="3"/>
  <c r="L138" i="3"/>
  <c r="K138" i="3"/>
  <c r="L137" i="3"/>
  <c r="K137" i="3"/>
  <c r="L136" i="3"/>
  <c r="K136" i="3"/>
  <c r="M136" i="3" s="1"/>
  <c r="L135" i="3"/>
  <c r="K135" i="3"/>
  <c r="L134" i="3"/>
  <c r="K134" i="3"/>
  <c r="L133" i="3"/>
  <c r="K133" i="3"/>
  <c r="L132" i="3"/>
  <c r="K132" i="3"/>
  <c r="L131" i="3"/>
  <c r="K131" i="3"/>
  <c r="L130" i="3"/>
  <c r="K130" i="3"/>
  <c r="L129" i="3"/>
  <c r="K129" i="3"/>
  <c r="L128" i="3"/>
  <c r="K128" i="3"/>
  <c r="L127" i="3"/>
  <c r="K127" i="3"/>
  <c r="L126" i="3"/>
  <c r="K126" i="3"/>
  <c r="L125" i="3"/>
  <c r="K125" i="3"/>
  <c r="L124" i="3"/>
  <c r="K124" i="3"/>
  <c r="M124" i="3" s="1"/>
  <c r="L123" i="3"/>
  <c r="K123" i="3"/>
  <c r="L122" i="3"/>
  <c r="K122" i="3"/>
  <c r="L121" i="3"/>
  <c r="K121" i="3"/>
  <c r="L120" i="3"/>
  <c r="K120" i="3"/>
  <c r="M120" i="3" s="1"/>
  <c r="L119" i="3"/>
  <c r="K119" i="3"/>
  <c r="L118" i="3"/>
  <c r="K118" i="3"/>
  <c r="L117" i="3"/>
  <c r="K117" i="3"/>
  <c r="L116" i="3"/>
  <c r="K116" i="3"/>
  <c r="L115" i="3"/>
  <c r="K115" i="3"/>
  <c r="L114" i="3"/>
  <c r="K114" i="3"/>
  <c r="L113" i="3"/>
  <c r="K113" i="3"/>
  <c r="L112" i="3"/>
  <c r="K112" i="3"/>
  <c r="L111" i="3"/>
  <c r="K111" i="3"/>
  <c r="L110" i="3"/>
  <c r="K110" i="3"/>
  <c r="L109" i="3"/>
  <c r="K109" i="3"/>
  <c r="L108" i="3"/>
  <c r="K108" i="3"/>
  <c r="L107" i="3"/>
  <c r="K107" i="3"/>
  <c r="L106" i="3"/>
  <c r="K106" i="3"/>
  <c r="L105" i="3"/>
  <c r="K105" i="3"/>
  <c r="L104" i="3"/>
  <c r="K104" i="3"/>
  <c r="L103" i="3"/>
  <c r="M104" i="3" s="1"/>
  <c r="K103" i="3"/>
  <c r="L102" i="3"/>
  <c r="K102" i="3"/>
  <c r="L101" i="3"/>
  <c r="K101" i="3"/>
  <c r="L100" i="3"/>
  <c r="K100" i="3"/>
  <c r="L99" i="3"/>
  <c r="K99" i="3"/>
  <c r="L98" i="3"/>
  <c r="K98" i="3"/>
  <c r="L97" i="3"/>
  <c r="K97" i="3"/>
  <c r="L96" i="3"/>
  <c r="K96" i="3"/>
  <c r="L95" i="3"/>
  <c r="K95" i="3"/>
  <c r="L94" i="3"/>
  <c r="K94" i="3"/>
  <c r="L93" i="3"/>
  <c r="K93" i="3"/>
  <c r="L92" i="3"/>
  <c r="K92" i="3"/>
  <c r="L91" i="3"/>
  <c r="K91" i="3"/>
  <c r="L90" i="3"/>
  <c r="K90" i="3"/>
  <c r="L89" i="3"/>
  <c r="K89" i="3"/>
  <c r="L88" i="3"/>
  <c r="K88" i="3"/>
  <c r="L87" i="3"/>
  <c r="K87" i="3"/>
  <c r="L86" i="3"/>
  <c r="K86" i="3"/>
  <c r="L85" i="3"/>
  <c r="K85" i="3"/>
  <c r="L84" i="3"/>
  <c r="K84" i="3"/>
  <c r="L83" i="3"/>
  <c r="K83" i="3"/>
  <c r="L82" i="3"/>
  <c r="K82" i="3"/>
  <c r="L81" i="3"/>
  <c r="K81" i="3"/>
  <c r="L80" i="3"/>
  <c r="K80" i="3"/>
  <c r="L79" i="3"/>
  <c r="K79" i="3"/>
  <c r="L78" i="3"/>
  <c r="K78" i="3"/>
  <c r="L77" i="3"/>
  <c r="K77" i="3"/>
  <c r="L76" i="3"/>
  <c r="M77" i="3" s="1"/>
  <c r="K76" i="3"/>
  <c r="L75" i="3"/>
  <c r="K75" i="3"/>
  <c r="L74" i="3"/>
  <c r="K74" i="3"/>
  <c r="L73" i="3"/>
  <c r="K73" i="3"/>
  <c r="L72" i="3"/>
  <c r="K72" i="3"/>
  <c r="L71" i="3"/>
  <c r="K71" i="3"/>
  <c r="L70" i="3"/>
  <c r="K70" i="3"/>
  <c r="L69" i="3"/>
  <c r="K69" i="3"/>
  <c r="L68" i="3"/>
  <c r="K68" i="3"/>
  <c r="L67" i="3"/>
  <c r="M68" i="3" s="1"/>
  <c r="K67" i="3"/>
  <c r="L66" i="3"/>
  <c r="K66" i="3"/>
  <c r="L65" i="3"/>
  <c r="K65" i="3"/>
  <c r="L64" i="3"/>
  <c r="K64" i="3"/>
  <c r="L63" i="3"/>
  <c r="K63" i="3"/>
  <c r="L62" i="3"/>
  <c r="K62" i="3"/>
  <c r="L61" i="3"/>
  <c r="K61" i="3"/>
  <c r="L60" i="3"/>
  <c r="K60" i="3"/>
  <c r="L59" i="3"/>
  <c r="K59" i="3"/>
  <c r="L58" i="3"/>
  <c r="K58" i="3"/>
  <c r="L57" i="3"/>
  <c r="K57" i="3"/>
  <c r="L56" i="3"/>
  <c r="K56" i="3"/>
  <c r="L55" i="3"/>
  <c r="K55" i="3"/>
  <c r="L54" i="3"/>
  <c r="K54" i="3"/>
  <c r="L53" i="3"/>
  <c r="K53" i="3"/>
  <c r="L52" i="3"/>
  <c r="K52" i="3"/>
  <c r="L51" i="3"/>
  <c r="K51" i="3"/>
  <c r="L50" i="3"/>
  <c r="K50" i="3"/>
  <c r="L49" i="3"/>
  <c r="K49" i="3"/>
  <c r="L48" i="3"/>
  <c r="K48" i="3"/>
  <c r="L47" i="3"/>
  <c r="K47" i="3"/>
  <c r="L46" i="3"/>
  <c r="K46" i="3"/>
  <c r="L45" i="3"/>
  <c r="K45" i="3"/>
  <c r="L44" i="3"/>
  <c r="K44" i="3"/>
  <c r="L43" i="3"/>
  <c r="K43" i="3"/>
  <c r="L42" i="3"/>
  <c r="K42" i="3"/>
  <c r="L41" i="3"/>
  <c r="K41" i="3"/>
  <c r="L40" i="3"/>
  <c r="K40" i="3"/>
  <c r="L39" i="3"/>
  <c r="M40" i="3" s="1"/>
  <c r="K39" i="3"/>
  <c r="L38" i="3"/>
  <c r="K38" i="3"/>
  <c r="L37" i="3"/>
  <c r="K37" i="3"/>
  <c r="L36" i="3"/>
  <c r="K36" i="3"/>
  <c r="L35" i="3"/>
  <c r="K35" i="3"/>
  <c r="L34" i="3"/>
  <c r="K34" i="3"/>
  <c r="L33" i="3"/>
  <c r="K33" i="3"/>
  <c r="L32" i="3"/>
  <c r="K32" i="3"/>
  <c r="L31" i="3"/>
  <c r="K31" i="3"/>
  <c r="L30" i="3"/>
  <c r="K30" i="3"/>
  <c r="L29" i="3"/>
  <c r="K29" i="3"/>
  <c r="L28" i="3"/>
  <c r="K28" i="3"/>
  <c r="L27" i="3"/>
  <c r="K27" i="3"/>
  <c r="L26" i="3"/>
  <c r="K26" i="3"/>
  <c r="L25" i="3"/>
  <c r="K25" i="3"/>
  <c r="L24" i="3"/>
  <c r="K24" i="3"/>
  <c r="L23" i="3"/>
  <c r="K23" i="3"/>
  <c r="L22" i="3"/>
  <c r="K22" i="3"/>
  <c r="L21" i="3"/>
  <c r="K21" i="3"/>
  <c r="L20" i="3"/>
  <c r="K20" i="3"/>
  <c r="L19" i="3"/>
  <c r="M20" i="3" s="1"/>
  <c r="K19" i="3"/>
  <c r="L18" i="3"/>
  <c r="K18" i="3"/>
  <c r="L17" i="3"/>
  <c r="K17" i="3"/>
  <c r="L16" i="3"/>
  <c r="K16" i="3"/>
  <c r="L15" i="3"/>
  <c r="K15" i="3"/>
  <c r="L14" i="3"/>
  <c r="K14" i="3"/>
  <c r="L13" i="3"/>
  <c r="K13" i="3"/>
  <c r="L12" i="3"/>
  <c r="K12" i="3"/>
  <c r="L11" i="3"/>
  <c r="K11" i="3"/>
  <c r="L10" i="3"/>
  <c r="K10" i="3"/>
  <c r="L9" i="3"/>
  <c r="K9" i="3"/>
  <c r="L8" i="3"/>
  <c r="K8" i="3"/>
  <c r="L7" i="3"/>
  <c r="K7" i="3"/>
  <c r="L5" i="3"/>
  <c r="K5" i="3"/>
  <c r="L4" i="3"/>
  <c r="K4" i="3"/>
  <c r="L3" i="3"/>
  <c r="K3" i="3"/>
  <c r="L2" i="3"/>
  <c r="K2" i="3"/>
  <c r="K6" i="3"/>
  <c r="M6" i="3" s="1"/>
  <c r="L6" i="3"/>
  <c r="L242" i="2"/>
  <c r="K242" i="2"/>
  <c r="M242" i="2" s="1"/>
  <c r="L241" i="2"/>
  <c r="K241" i="2"/>
  <c r="M241" i="2" s="1"/>
  <c r="L240" i="2"/>
  <c r="K240" i="2"/>
  <c r="M240" i="2" s="1"/>
  <c r="L239" i="2"/>
  <c r="K239" i="2"/>
  <c r="M239" i="2" s="1"/>
  <c r="L238" i="2"/>
  <c r="K238" i="2"/>
  <c r="M238" i="2" s="1"/>
  <c r="L237" i="2"/>
  <c r="K237" i="2"/>
  <c r="M237" i="2" s="1"/>
  <c r="L236" i="2"/>
  <c r="K236" i="2"/>
  <c r="M236" i="2" s="1"/>
  <c r="L235" i="2"/>
  <c r="K235" i="2"/>
  <c r="M235" i="2" s="1"/>
  <c r="L234" i="2"/>
  <c r="K234" i="2"/>
  <c r="M234" i="2" s="1"/>
  <c r="L233" i="2"/>
  <c r="K233" i="2"/>
  <c r="M233" i="2" s="1"/>
  <c r="L232" i="2"/>
  <c r="K232" i="2"/>
  <c r="M232" i="2" s="1"/>
  <c r="L231" i="2"/>
  <c r="K231" i="2"/>
  <c r="M231" i="2" s="1"/>
  <c r="L230" i="2"/>
  <c r="K230" i="2"/>
  <c r="M230" i="2" s="1"/>
  <c r="L229" i="2"/>
  <c r="K229" i="2"/>
  <c r="M229" i="2" s="1"/>
  <c r="L228" i="2"/>
  <c r="K228" i="2"/>
  <c r="M228" i="2" s="1"/>
  <c r="L227" i="2"/>
  <c r="K227" i="2"/>
  <c r="M227" i="2" s="1"/>
  <c r="L226" i="2"/>
  <c r="K226" i="2"/>
  <c r="M226" i="2" s="1"/>
  <c r="L225" i="2"/>
  <c r="K225" i="2"/>
  <c r="M225" i="2" s="1"/>
  <c r="L224" i="2"/>
  <c r="K224" i="2"/>
  <c r="M224" i="2" s="1"/>
  <c r="L223" i="2"/>
  <c r="K223" i="2"/>
  <c r="M223" i="2" s="1"/>
  <c r="L222" i="2"/>
  <c r="K222" i="2"/>
  <c r="M222" i="2" s="1"/>
  <c r="L221" i="2"/>
  <c r="K221" i="2"/>
  <c r="M221" i="2" s="1"/>
  <c r="L220" i="2"/>
  <c r="K220" i="2"/>
  <c r="M220" i="2" s="1"/>
  <c r="L219" i="2"/>
  <c r="K219" i="2"/>
  <c r="M219" i="2" s="1"/>
  <c r="L218" i="2"/>
  <c r="K218" i="2"/>
  <c r="M218" i="2" s="1"/>
  <c r="L217" i="2"/>
  <c r="K217" i="2"/>
  <c r="M217" i="2" s="1"/>
  <c r="L216" i="2"/>
  <c r="K216" i="2"/>
  <c r="M216" i="2" s="1"/>
  <c r="L215" i="2"/>
  <c r="K215" i="2"/>
  <c r="M215" i="2" s="1"/>
  <c r="L214" i="2"/>
  <c r="K214" i="2"/>
  <c r="M214" i="2" s="1"/>
  <c r="L213" i="2"/>
  <c r="K213" i="2"/>
  <c r="M213" i="2" s="1"/>
  <c r="L212" i="2"/>
  <c r="K212" i="2"/>
  <c r="M212" i="2" s="1"/>
  <c r="L211" i="2"/>
  <c r="K211" i="2"/>
  <c r="M211" i="2" s="1"/>
  <c r="L210" i="2"/>
  <c r="K210" i="2"/>
  <c r="L209" i="2"/>
  <c r="K209" i="2"/>
  <c r="M209" i="2" s="1"/>
  <c r="L208" i="2"/>
  <c r="K208" i="2"/>
  <c r="M208" i="2" s="1"/>
  <c r="L207" i="2"/>
  <c r="K207" i="2"/>
  <c r="M207" i="2" s="1"/>
  <c r="L206" i="2"/>
  <c r="K206" i="2"/>
  <c r="M206" i="2" s="1"/>
  <c r="L205" i="2"/>
  <c r="K205" i="2"/>
  <c r="M205" i="2" s="1"/>
  <c r="L204" i="2"/>
  <c r="K204" i="2"/>
  <c r="M204" i="2" s="1"/>
  <c r="L203" i="2"/>
  <c r="K203" i="2"/>
  <c r="M203" i="2" s="1"/>
  <c r="L202" i="2"/>
  <c r="K202" i="2"/>
  <c r="M202" i="2" s="1"/>
  <c r="L201" i="2"/>
  <c r="K201" i="2"/>
  <c r="M201" i="2" s="1"/>
  <c r="L200" i="2"/>
  <c r="K200" i="2"/>
  <c r="M200" i="2" s="1"/>
  <c r="L199" i="2"/>
  <c r="K199" i="2"/>
  <c r="M199" i="2" s="1"/>
  <c r="L198" i="2"/>
  <c r="K198" i="2"/>
  <c r="M198" i="2" s="1"/>
  <c r="L197" i="2"/>
  <c r="K197" i="2"/>
  <c r="M197" i="2" s="1"/>
  <c r="L196" i="2"/>
  <c r="K196" i="2"/>
  <c r="M196" i="2" s="1"/>
  <c r="L195" i="2"/>
  <c r="K195" i="2"/>
  <c r="M195" i="2" s="1"/>
  <c r="L194" i="2"/>
  <c r="K194" i="2"/>
  <c r="M194" i="2" s="1"/>
  <c r="L193" i="2"/>
  <c r="K193" i="2"/>
  <c r="M193" i="2" s="1"/>
  <c r="L192" i="2"/>
  <c r="K192" i="2"/>
  <c r="M192" i="2" s="1"/>
  <c r="L191" i="2"/>
  <c r="K191" i="2"/>
  <c r="M191" i="2" s="1"/>
  <c r="L190" i="2"/>
  <c r="K190" i="2"/>
  <c r="M190" i="2" s="1"/>
  <c r="L189" i="2"/>
  <c r="K189" i="2"/>
  <c r="M189" i="2" s="1"/>
  <c r="L188" i="2"/>
  <c r="K188" i="2"/>
  <c r="M188" i="2" s="1"/>
  <c r="L187" i="2"/>
  <c r="K187" i="2"/>
  <c r="M187" i="2" s="1"/>
  <c r="L186" i="2"/>
  <c r="K186" i="2"/>
  <c r="M186" i="2" s="1"/>
  <c r="L185" i="2"/>
  <c r="K185" i="2"/>
  <c r="M185" i="2" s="1"/>
  <c r="L184" i="2"/>
  <c r="K184" i="2"/>
  <c r="M184" i="2" s="1"/>
  <c r="L183" i="2"/>
  <c r="K183" i="2"/>
  <c r="M183" i="2" s="1"/>
  <c r="L182" i="2"/>
  <c r="K182" i="2"/>
  <c r="M182" i="2" s="1"/>
  <c r="L181" i="2"/>
  <c r="K181" i="2"/>
  <c r="M181" i="2" s="1"/>
  <c r="L180" i="2"/>
  <c r="K180" i="2"/>
  <c r="M180" i="2" s="1"/>
  <c r="L179" i="2"/>
  <c r="K179" i="2"/>
  <c r="M179" i="2" s="1"/>
  <c r="L178" i="2"/>
  <c r="K178" i="2"/>
  <c r="M178" i="2" s="1"/>
  <c r="L177" i="2"/>
  <c r="K177" i="2"/>
  <c r="M177" i="2" s="1"/>
  <c r="L176" i="2"/>
  <c r="K176" i="2"/>
  <c r="M176" i="2" s="1"/>
  <c r="L175" i="2"/>
  <c r="K175" i="2"/>
  <c r="M175" i="2" s="1"/>
  <c r="L174" i="2"/>
  <c r="K174" i="2"/>
  <c r="M174" i="2" s="1"/>
  <c r="L173" i="2"/>
  <c r="K173" i="2"/>
  <c r="M173" i="2" s="1"/>
  <c r="L172" i="2"/>
  <c r="K172" i="2"/>
  <c r="M172" i="2" s="1"/>
  <c r="L171" i="2"/>
  <c r="K171" i="2"/>
  <c r="M171" i="2" s="1"/>
  <c r="L170" i="2"/>
  <c r="K170" i="2"/>
  <c r="M170" i="2" s="1"/>
  <c r="L169" i="2"/>
  <c r="K169" i="2"/>
  <c r="M169" i="2" s="1"/>
  <c r="L168" i="2"/>
  <c r="K168" i="2"/>
  <c r="M168" i="2" s="1"/>
  <c r="L167" i="2"/>
  <c r="K167" i="2"/>
  <c r="M167" i="2" s="1"/>
  <c r="L166" i="2"/>
  <c r="K166" i="2"/>
  <c r="M166" i="2" s="1"/>
  <c r="L165" i="2"/>
  <c r="K165" i="2"/>
  <c r="M165" i="2" s="1"/>
  <c r="L164" i="2"/>
  <c r="K164" i="2"/>
  <c r="M164" i="2" s="1"/>
  <c r="L163" i="2"/>
  <c r="K163" i="2"/>
  <c r="M163" i="2" s="1"/>
  <c r="L162" i="2"/>
  <c r="K162" i="2"/>
  <c r="M162" i="2" s="1"/>
  <c r="L161" i="2"/>
  <c r="K161" i="2"/>
  <c r="M161" i="2" s="1"/>
  <c r="L160" i="2"/>
  <c r="K160" i="2"/>
  <c r="M160" i="2" s="1"/>
  <c r="L159" i="2"/>
  <c r="K159" i="2"/>
  <c r="M159" i="2" s="1"/>
  <c r="L158" i="2"/>
  <c r="K158" i="2"/>
  <c r="M158" i="2" s="1"/>
  <c r="L157" i="2"/>
  <c r="K157" i="2"/>
  <c r="M157" i="2" s="1"/>
  <c r="L156" i="2"/>
  <c r="K156" i="2"/>
  <c r="M156" i="2" s="1"/>
  <c r="L155" i="2"/>
  <c r="K155" i="2"/>
  <c r="M155" i="2" s="1"/>
  <c r="L154" i="2"/>
  <c r="K154" i="2"/>
  <c r="M154" i="2" s="1"/>
  <c r="L153" i="2"/>
  <c r="K153" i="2"/>
  <c r="M153" i="2" s="1"/>
  <c r="L152" i="2"/>
  <c r="K152" i="2"/>
  <c r="M152" i="2" s="1"/>
  <c r="L151" i="2"/>
  <c r="K151" i="2"/>
  <c r="M151" i="2" s="1"/>
  <c r="L150" i="2"/>
  <c r="K150" i="2"/>
  <c r="M150" i="2" s="1"/>
  <c r="L149" i="2"/>
  <c r="K149" i="2"/>
  <c r="L148" i="2"/>
  <c r="K148" i="2"/>
  <c r="M148" i="2" s="1"/>
  <c r="L147" i="2"/>
  <c r="K147" i="2"/>
  <c r="M147" i="2" s="1"/>
  <c r="L146" i="2"/>
  <c r="K146" i="2"/>
  <c r="M146" i="2" s="1"/>
  <c r="L145" i="2"/>
  <c r="K145" i="2"/>
  <c r="M145" i="2" s="1"/>
  <c r="L144" i="2"/>
  <c r="K144" i="2"/>
  <c r="M144" i="2" s="1"/>
  <c r="L143" i="2"/>
  <c r="K143" i="2"/>
  <c r="M143" i="2" s="1"/>
  <c r="L142" i="2"/>
  <c r="K142" i="2"/>
  <c r="L141" i="2"/>
  <c r="K141" i="2"/>
  <c r="M141" i="2" s="1"/>
  <c r="L140" i="2"/>
  <c r="K140" i="2"/>
  <c r="M140" i="2" s="1"/>
  <c r="L139" i="2"/>
  <c r="K139" i="2"/>
  <c r="M139" i="2" s="1"/>
  <c r="L138" i="2"/>
  <c r="K138" i="2"/>
  <c r="M138" i="2" s="1"/>
  <c r="L137" i="2"/>
  <c r="K137" i="2"/>
  <c r="M137" i="2" s="1"/>
  <c r="L136" i="2"/>
  <c r="K136" i="2"/>
  <c r="M136" i="2" s="1"/>
  <c r="L135" i="2"/>
  <c r="K135" i="2"/>
  <c r="M135" i="2" s="1"/>
  <c r="L134" i="2"/>
  <c r="K134" i="2"/>
  <c r="M134" i="2" s="1"/>
  <c r="L133" i="2"/>
  <c r="K133" i="2"/>
  <c r="M133" i="2" s="1"/>
  <c r="L132" i="2"/>
  <c r="K132" i="2"/>
  <c r="M132" i="2" s="1"/>
  <c r="L131" i="2"/>
  <c r="K131" i="2"/>
  <c r="M131" i="2" s="1"/>
  <c r="L130" i="2"/>
  <c r="K130" i="2"/>
  <c r="M130" i="2" s="1"/>
  <c r="L129" i="2"/>
  <c r="K129" i="2"/>
  <c r="M129" i="2" s="1"/>
  <c r="L128" i="2"/>
  <c r="K128" i="2"/>
  <c r="M128" i="2" s="1"/>
  <c r="L127" i="2"/>
  <c r="K127" i="2"/>
  <c r="M127" i="2" s="1"/>
  <c r="L126" i="2"/>
  <c r="K126" i="2"/>
  <c r="M126" i="2" s="1"/>
  <c r="L125" i="2"/>
  <c r="K125" i="2"/>
  <c r="M125" i="2" s="1"/>
  <c r="L124" i="2"/>
  <c r="K124" i="2"/>
  <c r="M124" i="2" s="1"/>
  <c r="L123" i="2"/>
  <c r="K123" i="2"/>
  <c r="M123" i="2" s="1"/>
  <c r="L122" i="2"/>
  <c r="K122" i="2"/>
  <c r="M122" i="2" s="1"/>
  <c r="L121" i="2"/>
  <c r="K121" i="2"/>
  <c r="M121" i="2" s="1"/>
  <c r="L120" i="2"/>
  <c r="K120" i="2"/>
  <c r="M120" i="2" s="1"/>
  <c r="L119" i="2"/>
  <c r="K119" i="2"/>
  <c r="M119" i="2" s="1"/>
  <c r="L118" i="2"/>
  <c r="K118" i="2"/>
  <c r="M118" i="2" s="1"/>
  <c r="L117" i="2"/>
  <c r="K117" i="2"/>
  <c r="M117" i="2" s="1"/>
  <c r="L116" i="2"/>
  <c r="K116" i="2"/>
  <c r="M116" i="2" s="1"/>
  <c r="L115" i="2"/>
  <c r="K115" i="2"/>
  <c r="M115" i="2" s="1"/>
  <c r="L114" i="2"/>
  <c r="K114" i="2"/>
  <c r="M114" i="2" s="1"/>
  <c r="L113" i="2"/>
  <c r="K113" i="2"/>
  <c r="M113" i="2" s="1"/>
  <c r="L112" i="2"/>
  <c r="K112" i="2"/>
  <c r="M112" i="2" s="1"/>
  <c r="L111" i="2"/>
  <c r="K111" i="2"/>
  <c r="M111" i="2" s="1"/>
  <c r="L110" i="2"/>
  <c r="K110" i="2"/>
  <c r="M110" i="2" s="1"/>
  <c r="L109" i="2"/>
  <c r="K109" i="2"/>
  <c r="M109" i="2" s="1"/>
  <c r="L108" i="2"/>
  <c r="K108" i="2"/>
  <c r="M108" i="2" s="1"/>
  <c r="L107" i="2"/>
  <c r="K107" i="2"/>
  <c r="M107" i="2" s="1"/>
  <c r="L106" i="2"/>
  <c r="K106" i="2"/>
  <c r="M106" i="2" s="1"/>
  <c r="L105" i="2"/>
  <c r="K105" i="2"/>
  <c r="M105" i="2" s="1"/>
  <c r="L104" i="2"/>
  <c r="K104" i="2"/>
  <c r="L103" i="2"/>
  <c r="K103" i="2"/>
  <c r="M103" i="2" s="1"/>
  <c r="L102" i="2"/>
  <c r="K102" i="2"/>
  <c r="M102" i="2" s="1"/>
  <c r="L101" i="2"/>
  <c r="K101" i="2"/>
  <c r="M101" i="2" s="1"/>
  <c r="L100" i="2"/>
  <c r="K100" i="2"/>
  <c r="M100" i="2" s="1"/>
  <c r="L99" i="2"/>
  <c r="K99" i="2"/>
  <c r="M99" i="2" s="1"/>
  <c r="L98" i="2"/>
  <c r="K98" i="2"/>
  <c r="M98" i="2" s="1"/>
  <c r="L97" i="2"/>
  <c r="K97" i="2"/>
  <c r="M97" i="2" s="1"/>
  <c r="L96" i="2"/>
  <c r="K96" i="2"/>
  <c r="M96" i="2" s="1"/>
  <c r="L95" i="2"/>
  <c r="K95" i="2"/>
  <c r="M95" i="2" s="1"/>
  <c r="L94" i="2"/>
  <c r="K94" i="2"/>
  <c r="M94" i="2" s="1"/>
  <c r="L93" i="2"/>
  <c r="K93" i="2"/>
  <c r="M93" i="2" s="1"/>
  <c r="L92" i="2"/>
  <c r="K92" i="2"/>
  <c r="M92" i="2" s="1"/>
  <c r="L91" i="2"/>
  <c r="K91" i="2"/>
  <c r="M91" i="2" s="1"/>
  <c r="L90" i="2"/>
  <c r="K90" i="2"/>
  <c r="M90" i="2" s="1"/>
  <c r="L89" i="2"/>
  <c r="K89" i="2"/>
  <c r="M89" i="2" s="1"/>
  <c r="L88" i="2"/>
  <c r="K88" i="2"/>
  <c r="M88" i="2" s="1"/>
  <c r="L87" i="2"/>
  <c r="K87" i="2"/>
  <c r="M87" i="2" s="1"/>
  <c r="L86" i="2"/>
  <c r="K86" i="2"/>
  <c r="M86" i="2" s="1"/>
  <c r="L85" i="2"/>
  <c r="K85" i="2"/>
  <c r="M85" i="2" s="1"/>
  <c r="L84" i="2"/>
  <c r="K84" i="2"/>
  <c r="M84" i="2" s="1"/>
  <c r="L83" i="2"/>
  <c r="K83" i="2"/>
  <c r="M83" i="2" s="1"/>
  <c r="L82" i="2"/>
  <c r="K82" i="2"/>
  <c r="M82" i="2" s="1"/>
  <c r="L81" i="2"/>
  <c r="K81" i="2"/>
  <c r="M81" i="2" s="1"/>
  <c r="L80" i="2"/>
  <c r="K80" i="2"/>
  <c r="M80" i="2" s="1"/>
  <c r="L79" i="2"/>
  <c r="K79" i="2"/>
  <c r="M79" i="2" s="1"/>
  <c r="L78" i="2"/>
  <c r="K78" i="2"/>
  <c r="M78" i="2" s="1"/>
  <c r="L77" i="2"/>
  <c r="K77" i="2"/>
  <c r="M77" i="2" s="1"/>
  <c r="L76" i="2"/>
  <c r="K76" i="2"/>
  <c r="M76" i="2" s="1"/>
  <c r="L75" i="2"/>
  <c r="K75" i="2"/>
  <c r="M75" i="2" s="1"/>
  <c r="L74" i="2"/>
  <c r="K74" i="2"/>
  <c r="M74" i="2" s="1"/>
  <c r="L73" i="2"/>
  <c r="K73" i="2"/>
  <c r="L72" i="2"/>
  <c r="K72" i="2"/>
  <c r="M72" i="2" s="1"/>
  <c r="L71" i="2"/>
  <c r="K71" i="2"/>
  <c r="M71" i="2" s="1"/>
  <c r="L70" i="2"/>
  <c r="K70" i="2"/>
  <c r="M70" i="2" s="1"/>
  <c r="L69" i="2"/>
  <c r="K69" i="2"/>
  <c r="M69" i="2" s="1"/>
  <c r="L68" i="2"/>
  <c r="K68" i="2"/>
  <c r="M68" i="2" s="1"/>
  <c r="L67" i="2"/>
  <c r="K67" i="2"/>
  <c r="M67" i="2" s="1"/>
  <c r="L66" i="2"/>
  <c r="K66" i="2"/>
  <c r="M66" i="2" s="1"/>
  <c r="L65" i="2"/>
  <c r="K65" i="2"/>
  <c r="M65" i="2" s="1"/>
  <c r="L64" i="2"/>
  <c r="K64" i="2"/>
  <c r="M64" i="2" s="1"/>
  <c r="L63" i="2"/>
  <c r="K63" i="2"/>
  <c r="M63" i="2" s="1"/>
  <c r="L62" i="2"/>
  <c r="K62" i="2"/>
  <c r="M62" i="2" s="1"/>
  <c r="L61" i="2"/>
  <c r="K61" i="2"/>
  <c r="M61" i="2" s="1"/>
  <c r="L60" i="2"/>
  <c r="K60" i="2"/>
  <c r="M60" i="2" s="1"/>
  <c r="L59" i="2"/>
  <c r="K59" i="2"/>
  <c r="M59" i="2" s="1"/>
  <c r="L58" i="2"/>
  <c r="K58" i="2"/>
  <c r="M58" i="2" s="1"/>
  <c r="L57" i="2"/>
  <c r="K57" i="2"/>
  <c r="M57" i="2" s="1"/>
  <c r="L56" i="2"/>
  <c r="K56" i="2"/>
  <c r="M56" i="2" s="1"/>
  <c r="L55" i="2"/>
  <c r="K55" i="2"/>
  <c r="M55" i="2" s="1"/>
  <c r="L54" i="2"/>
  <c r="K54" i="2"/>
  <c r="M54" i="2" s="1"/>
  <c r="L53" i="2"/>
  <c r="K53" i="2"/>
  <c r="M53" i="2" s="1"/>
  <c r="L52" i="2"/>
  <c r="K52" i="2"/>
  <c r="M52" i="2" s="1"/>
  <c r="L51" i="2"/>
  <c r="K51" i="2"/>
  <c r="M51" i="2" s="1"/>
  <c r="L50" i="2"/>
  <c r="K50" i="2"/>
  <c r="M50" i="2" s="1"/>
  <c r="L49" i="2"/>
  <c r="K49" i="2"/>
  <c r="M49" i="2" s="1"/>
  <c r="L48" i="2"/>
  <c r="K48" i="2"/>
  <c r="M48" i="2" s="1"/>
  <c r="L47" i="2"/>
  <c r="K47" i="2"/>
  <c r="M47" i="2" s="1"/>
  <c r="L46" i="2"/>
  <c r="K46" i="2"/>
  <c r="M46" i="2" s="1"/>
  <c r="L45" i="2"/>
  <c r="K45" i="2"/>
  <c r="M45" i="2" s="1"/>
  <c r="L44" i="2"/>
  <c r="K44" i="2"/>
  <c r="M44" i="2" s="1"/>
  <c r="L43" i="2"/>
  <c r="K43" i="2"/>
  <c r="M43" i="2" s="1"/>
  <c r="L42" i="2"/>
  <c r="K42" i="2"/>
  <c r="M42" i="2" s="1"/>
  <c r="L41" i="2"/>
  <c r="K41" i="2"/>
  <c r="M41" i="2" s="1"/>
  <c r="L40" i="2"/>
  <c r="K40" i="2"/>
  <c r="M40" i="2" s="1"/>
  <c r="L39" i="2"/>
  <c r="K39" i="2"/>
  <c r="M39" i="2" s="1"/>
  <c r="L38" i="2"/>
  <c r="K38" i="2"/>
  <c r="M38" i="2" s="1"/>
  <c r="L37" i="2"/>
  <c r="K37" i="2"/>
  <c r="M37" i="2" s="1"/>
  <c r="L36" i="2"/>
  <c r="K36" i="2"/>
  <c r="M36" i="2" s="1"/>
  <c r="L35" i="2"/>
  <c r="K35" i="2"/>
  <c r="M35" i="2" s="1"/>
  <c r="L34" i="2"/>
  <c r="K34" i="2"/>
  <c r="M34" i="2" s="1"/>
  <c r="L33" i="2"/>
  <c r="K33" i="2"/>
  <c r="M33" i="2" s="1"/>
  <c r="L32" i="2"/>
  <c r="K32" i="2"/>
  <c r="M32" i="2" s="1"/>
  <c r="L31" i="2"/>
  <c r="K31" i="2"/>
  <c r="M31" i="2" s="1"/>
  <c r="L30" i="2"/>
  <c r="K30" i="2"/>
  <c r="M30" i="2" s="1"/>
  <c r="L29" i="2"/>
  <c r="K29" i="2"/>
  <c r="M29" i="2" s="1"/>
  <c r="L28" i="2"/>
  <c r="K28" i="2"/>
  <c r="M28" i="2" s="1"/>
  <c r="L27" i="2"/>
  <c r="K27" i="2"/>
  <c r="M27" i="2" s="1"/>
  <c r="L26" i="2"/>
  <c r="K26" i="2"/>
  <c r="M26" i="2" s="1"/>
  <c r="L25" i="2"/>
  <c r="K25" i="2"/>
  <c r="M25" i="2" s="1"/>
  <c r="L24" i="2"/>
  <c r="K24" i="2"/>
  <c r="M24" i="2" s="1"/>
  <c r="L23" i="2"/>
  <c r="K23" i="2"/>
  <c r="M23" i="2" s="1"/>
  <c r="L22" i="2"/>
  <c r="K22" i="2"/>
  <c r="M22" i="2" s="1"/>
  <c r="L21" i="2"/>
  <c r="K21" i="2"/>
  <c r="M21" i="2" s="1"/>
  <c r="L20" i="2"/>
  <c r="K20" i="2"/>
  <c r="M20" i="2" s="1"/>
  <c r="L19" i="2"/>
  <c r="K19" i="2"/>
  <c r="M19" i="2" s="1"/>
  <c r="L18" i="2"/>
  <c r="K18" i="2"/>
  <c r="M18" i="2" s="1"/>
  <c r="L17" i="2"/>
  <c r="K17" i="2"/>
  <c r="M17" i="2" s="1"/>
  <c r="L16" i="2"/>
  <c r="K16" i="2"/>
  <c r="M16" i="2" s="1"/>
  <c r="L15" i="2"/>
  <c r="K15" i="2"/>
  <c r="M15" i="2" s="1"/>
  <c r="L14" i="2"/>
  <c r="K14" i="2"/>
  <c r="M14" i="2" s="1"/>
  <c r="L13" i="2"/>
  <c r="K13" i="2"/>
  <c r="M13" i="2" s="1"/>
  <c r="L12" i="2"/>
  <c r="K12" i="2"/>
  <c r="M12" i="2" s="1"/>
  <c r="L11" i="2"/>
  <c r="K11" i="2"/>
  <c r="L10" i="2"/>
  <c r="K10" i="2"/>
  <c r="L9" i="2"/>
  <c r="K9" i="2"/>
  <c r="L8" i="2"/>
  <c r="K8" i="2"/>
  <c r="M8" i="2" s="1"/>
  <c r="L7" i="2"/>
  <c r="K7" i="2"/>
  <c r="M7" i="2" s="1"/>
  <c r="L6" i="2"/>
  <c r="K6" i="2"/>
  <c r="L5" i="2"/>
  <c r="K5" i="2"/>
  <c r="L4" i="2"/>
  <c r="K4" i="2"/>
  <c r="L3" i="2"/>
  <c r="K3" i="2"/>
  <c r="M3" i="2" s="1"/>
  <c r="L2" i="2"/>
  <c r="K2" i="2"/>
  <c r="L356" i="1"/>
  <c r="U356" i="1" s="1"/>
  <c r="K356" i="1"/>
  <c r="L355" i="1"/>
  <c r="U355" i="1" s="1"/>
  <c r="K355" i="1"/>
  <c r="T355" i="1" s="1"/>
  <c r="L354" i="1"/>
  <c r="U354" i="1" s="1"/>
  <c r="K354" i="1"/>
  <c r="T354" i="1" s="1"/>
  <c r="L353" i="1"/>
  <c r="U353" i="1" s="1"/>
  <c r="K353" i="1"/>
  <c r="T353" i="1" s="1"/>
  <c r="L352" i="1"/>
  <c r="U352" i="1" s="1"/>
  <c r="K352" i="1"/>
  <c r="L351" i="1"/>
  <c r="U351" i="1" s="1"/>
  <c r="K351" i="1"/>
  <c r="T351" i="1" s="1"/>
  <c r="L350" i="1"/>
  <c r="U350" i="1" s="1"/>
  <c r="K350" i="1"/>
  <c r="L349" i="1"/>
  <c r="U349" i="1" s="1"/>
  <c r="K349" i="1"/>
  <c r="T349" i="1" s="1"/>
  <c r="L348" i="1"/>
  <c r="U348" i="1" s="1"/>
  <c r="K348" i="1"/>
  <c r="T348" i="1" s="1"/>
  <c r="L347" i="1"/>
  <c r="U347" i="1" s="1"/>
  <c r="K347" i="1"/>
  <c r="T347" i="1" s="1"/>
  <c r="L346" i="1"/>
  <c r="U346" i="1" s="1"/>
  <c r="K346" i="1"/>
  <c r="L345" i="1"/>
  <c r="U345" i="1" s="1"/>
  <c r="K345" i="1"/>
  <c r="L344" i="1"/>
  <c r="U344" i="1" s="1"/>
  <c r="K344" i="1"/>
  <c r="L343" i="1"/>
  <c r="U343" i="1" s="1"/>
  <c r="K343" i="1"/>
  <c r="T343" i="1" s="1"/>
  <c r="L342" i="1"/>
  <c r="U342" i="1" s="1"/>
  <c r="K342" i="1"/>
  <c r="T342" i="1" s="1"/>
  <c r="L341" i="1"/>
  <c r="U341" i="1" s="1"/>
  <c r="K341" i="1"/>
  <c r="T341" i="1" s="1"/>
  <c r="L340" i="1"/>
  <c r="U340" i="1" s="1"/>
  <c r="K340" i="1"/>
  <c r="L339" i="1"/>
  <c r="U339" i="1" s="1"/>
  <c r="K339" i="1"/>
  <c r="T339" i="1" s="1"/>
  <c r="L338" i="1"/>
  <c r="U338" i="1" s="1"/>
  <c r="K338" i="1"/>
  <c r="L337" i="1"/>
  <c r="U337" i="1" s="1"/>
  <c r="K337" i="1"/>
  <c r="T337" i="1" s="1"/>
  <c r="L336" i="1"/>
  <c r="U336" i="1" s="1"/>
  <c r="K336" i="1"/>
  <c r="T336" i="1" s="1"/>
  <c r="L335" i="1"/>
  <c r="U335" i="1" s="1"/>
  <c r="K335" i="1"/>
  <c r="T335" i="1" s="1"/>
  <c r="L334" i="1"/>
  <c r="U334" i="1" s="1"/>
  <c r="K334" i="1"/>
  <c r="L333" i="1"/>
  <c r="U333" i="1" s="1"/>
  <c r="K333" i="1"/>
  <c r="L332" i="1"/>
  <c r="U332" i="1" s="1"/>
  <c r="K332" i="1"/>
  <c r="L331" i="1"/>
  <c r="U331" i="1" s="1"/>
  <c r="K331" i="1"/>
  <c r="T331" i="1" s="1"/>
  <c r="L330" i="1"/>
  <c r="U330" i="1" s="1"/>
  <c r="K330" i="1"/>
  <c r="T330" i="1" s="1"/>
  <c r="L329" i="1"/>
  <c r="U329" i="1" s="1"/>
  <c r="K329" i="1"/>
  <c r="T329" i="1" s="1"/>
  <c r="L328" i="1"/>
  <c r="U328" i="1" s="1"/>
  <c r="K328" i="1"/>
  <c r="L327" i="1"/>
  <c r="U327" i="1" s="1"/>
  <c r="K327" i="1"/>
  <c r="T327" i="1" s="1"/>
  <c r="L326" i="1"/>
  <c r="U326" i="1" s="1"/>
  <c r="K326" i="1"/>
  <c r="L325" i="1"/>
  <c r="U325" i="1" s="1"/>
  <c r="K325" i="1"/>
  <c r="T325" i="1" s="1"/>
  <c r="L324" i="1"/>
  <c r="U324" i="1" s="1"/>
  <c r="K324" i="1"/>
  <c r="T324" i="1" s="1"/>
  <c r="L323" i="1"/>
  <c r="U323" i="1" s="1"/>
  <c r="K323" i="1"/>
  <c r="T323" i="1" s="1"/>
  <c r="L322" i="1"/>
  <c r="U322" i="1" s="1"/>
  <c r="K322" i="1"/>
  <c r="L321" i="1"/>
  <c r="U321" i="1" s="1"/>
  <c r="K321" i="1"/>
  <c r="L320" i="1"/>
  <c r="U320" i="1" s="1"/>
  <c r="K320" i="1"/>
  <c r="L319" i="1"/>
  <c r="U319" i="1" s="1"/>
  <c r="K319" i="1"/>
  <c r="T319" i="1" s="1"/>
  <c r="L318" i="1"/>
  <c r="U318" i="1" s="1"/>
  <c r="K318" i="1"/>
  <c r="T318" i="1" s="1"/>
  <c r="L317" i="1"/>
  <c r="U317" i="1" s="1"/>
  <c r="K317" i="1"/>
  <c r="T317" i="1" s="1"/>
  <c r="L316" i="1"/>
  <c r="U316" i="1" s="1"/>
  <c r="K316" i="1"/>
  <c r="L315" i="1"/>
  <c r="U315" i="1" s="1"/>
  <c r="K315" i="1"/>
  <c r="L314" i="1"/>
  <c r="U314" i="1" s="1"/>
  <c r="K314" i="1"/>
  <c r="L313" i="1"/>
  <c r="U313" i="1" s="1"/>
  <c r="K313" i="1"/>
  <c r="T313" i="1" s="1"/>
  <c r="L312" i="1"/>
  <c r="U312" i="1" s="1"/>
  <c r="K312" i="1"/>
  <c r="T312" i="1" s="1"/>
  <c r="L311" i="1"/>
  <c r="U311" i="1" s="1"/>
  <c r="K311" i="1"/>
  <c r="T311" i="1" s="1"/>
  <c r="L310" i="1"/>
  <c r="U310" i="1" s="1"/>
  <c r="K310" i="1"/>
  <c r="L309" i="1"/>
  <c r="U309" i="1" s="1"/>
  <c r="K309" i="1"/>
  <c r="L308" i="1"/>
  <c r="U308" i="1" s="1"/>
  <c r="K308" i="1"/>
  <c r="L307" i="1"/>
  <c r="U307" i="1" s="1"/>
  <c r="K307" i="1"/>
  <c r="T307" i="1" s="1"/>
  <c r="L306" i="1"/>
  <c r="U306" i="1" s="1"/>
  <c r="K306" i="1"/>
  <c r="T306" i="1" s="1"/>
  <c r="L305" i="1"/>
  <c r="U305" i="1" s="1"/>
  <c r="K305" i="1"/>
  <c r="T305" i="1" s="1"/>
  <c r="L304" i="1"/>
  <c r="U304" i="1" s="1"/>
  <c r="K304" i="1"/>
  <c r="L303" i="1"/>
  <c r="U303" i="1" s="1"/>
  <c r="K303" i="1"/>
  <c r="L302" i="1"/>
  <c r="U302" i="1" s="1"/>
  <c r="K302" i="1"/>
  <c r="L301" i="1"/>
  <c r="U301" i="1" s="1"/>
  <c r="K301" i="1"/>
  <c r="T301" i="1" s="1"/>
  <c r="L300" i="1"/>
  <c r="U300" i="1" s="1"/>
  <c r="K300" i="1"/>
  <c r="T300" i="1" s="1"/>
  <c r="L299" i="1"/>
  <c r="U299" i="1" s="1"/>
  <c r="K299" i="1"/>
  <c r="T299" i="1" s="1"/>
  <c r="L298" i="1"/>
  <c r="U298" i="1" s="1"/>
  <c r="K298" i="1"/>
  <c r="L297" i="1"/>
  <c r="U297" i="1" s="1"/>
  <c r="K297" i="1"/>
  <c r="T297" i="1" s="1"/>
  <c r="L296" i="1"/>
  <c r="U296" i="1" s="1"/>
  <c r="K296" i="1"/>
  <c r="L295" i="1"/>
  <c r="U295" i="1" s="1"/>
  <c r="K295" i="1"/>
  <c r="T295" i="1" s="1"/>
  <c r="L294" i="1"/>
  <c r="U294" i="1" s="1"/>
  <c r="K294" i="1"/>
  <c r="T294" i="1" s="1"/>
  <c r="L293" i="1"/>
  <c r="U293" i="1" s="1"/>
  <c r="K293" i="1"/>
  <c r="T293" i="1" s="1"/>
  <c r="L292" i="1"/>
  <c r="U292" i="1" s="1"/>
  <c r="K292" i="1"/>
  <c r="L291" i="1"/>
  <c r="U291" i="1" s="1"/>
  <c r="K291" i="1"/>
  <c r="L290" i="1"/>
  <c r="U290" i="1" s="1"/>
  <c r="K290" i="1"/>
  <c r="L289" i="1"/>
  <c r="U289" i="1" s="1"/>
  <c r="K289" i="1"/>
  <c r="T289" i="1" s="1"/>
  <c r="L288" i="1"/>
  <c r="U288" i="1" s="1"/>
  <c r="K288" i="1"/>
  <c r="T288" i="1" s="1"/>
  <c r="L287" i="1"/>
  <c r="U287" i="1" s="1"/>
  <c r="K287" i="1"/>
  <c r="T287" i="1" s="1"/>
  <c r="L286" i="1"/>
  <c r="U286" i="1" s="1"/>
  <c r="K286" i="1"/>
  <c r="L285" i="1"/>
  <c r="U285" i="1" s="1"/>
  <c r="K285" i="1"/>
  <c r="L284" i="1"/>
  <c r="U284" i="1" s="1"/>
  <c r="K284" i="1"/>
  <c r="L283" i="1"/>
  <c r="U283" i="1" s="1"/>
  <c r="K283" i="1"/>
  <c r="T283" i="1" s="1"/>
  <c r="L282" i="1"/>
  <c r="U282" i="1" s="1"/>
  <c r="K282" i="1"/>
  <c r="T282" i="1" s="1"/>
  <c r="L281" i="1"/>
  <c r="U281" i="1" s="1"/>
  <c r="K281" i="1"/>
  <c r="T281" i="1" s="1"/>
  <c r="L280" i="1"/>
  <c r="U280" i="1" s="1"/>
  <c r="K280" i="1"/>
  <c r="L279" i="1"/>
  <c r="U279" i="1" s="1"/>
  <c r="K279" i="1"/>
  <c r="L278" i="1"/>
  <c r="U278" i="1" s="1"/>
  <c r="K278" i="1"/>
  <c r="L277" i="1"/>
  <c r="U277" i="1" s="1"/>
  <c r="K277" i="1"/>
  <c r="T277" i="1" s="1"/>
  <c r="L276" i="1"/>
  <c r="U276" i="1" s="1"/>
  <c r="K276" i="1"/>
  <c r="T276" i="1" s="1"/>
  <c r="L275" i="1"/>
  <c r="U275" i="1" s="1"/>
  <c r="K275" i="1"/>
  <c r="T275" i="1" s="1"/>
  <c r="L274" i="1"/>
  <c r="U274" i="1" s="1"/>
  <c r="K274" i="1"/>
  <c r="T274" i="1" s="1"/>
  <c r="L273" i="1"/>
  <c r="U273" i="1" s="1"/>
  <c r="K273" i="1"/>
  <c r="L272" i="1"/>
  <c r="U272" i="1" s="1"/>
  <c r="K272" i="1"/>
  <c r="L271" i="1"/>
  <c r="U271" i="1" s="1"/>
  <c r="K271" i="1"/>
  <c r="T271" i="1" s="1"/>
  <c r="L270" i="1"/>
  <c r="U270" i="1" s="1"/>
  <c r="K270" i="1"/>
  <c r="T270" i="1" s="1"/>
  <c r="L269" i="1"/>
  <c r="U269" i="1" s="1"/>
  <c r="K269" i="1"/>
  <c r="T269" i="1" s="1"/>
  <c r="L268" i="1"/>
  <c r="U268" i="1" s="1"/>
  <c r="K268" i="1"/>
  <c r="L267" i="1"/>
  <c r="U267" i="1" s="1"/>
  <c r="K267" i="1"/>
  <c r="L266" i="1"/>
  <c r="U266" i="1" s="1"/>
  <c r="K266" i="1"/>
  <c r="L265" i="1"/>
  <c r="U265" i="1" s="1"/>
  <c r="K265" i="1"/>
  <c r="T265" i="1" s="1"/>
  <c r="L264" i="1"/>
  <c r="U264" i="1" s="1"/>
  <c r="K264" i="1"/>
  <c r="T264" i="1" s="1"/>
  <c r="L263" i="1"/>
  <c r="U263" i="1" s="1"/>
  <c r="K263" i="1"/>
  <c r="T263" i="1" s="1"/>
  <c r="L262" i="1"/>
  <c r="U262" i="1" s="1"/>
  <c r="K262" i="1"/>
  <c r="L261" i="1"/>
  <c r="U261" i="1" s="1"/>
  <c r="K261" i="1"/>
  <c r="L260" i="1"/>
  <c r="U260" i="1" s="1"/>
  <c r="K260" i="1"/>
  <c r="L259" i="1"/>
  <c r="U259" i="1" s="1"/>
  <c r="K259" i="1"/>
  <c r="L258" i="1"/>
  <c r="U258" i="1" s="1"/>
  <c r="K258" i="1"/>
  <c r="T258" i="1" s="1"/>
  <c r="L257" i="1"/>
  <c r="U257" i="1" s="1"/>
  <c r="K257" i="1"/>
  <c r="T257" i="1" s="1"/>
  <c r="L256" i="1"/>
  <c r="U256" i="1" s="1"/>
  <c r="K256" i="1"/>
  <c r="L255" i="1"/>
  <c r="U255" i="1" s="1"/>
  <c r="K255" i="1"/>
  <c r="L254" i="1"/>
  <c r="U254" i="1" s="1"/>
  <c r="K254" i="1"/>
  <c r="L253" i="1"/>
  <c r="U253" i="1" s="1"/>
  <c r="K253" i="1"/>
  <c r="L252" i="1"/>
  <c r="U252" i="1" s="1"/>
  <c r="K252" i="1"/>
  <c r="T252" i="1" s="1"/>
  <c r="L251" i="1"/>
  <c r="U251" i="1" s="1"/>
  <c r="K251" i="1"/>
  <c r="T251" i="1" s="1"/>
  <c r="L250" i="1"/>
  <c r="U250" i="1" s="1"/>
  <c r="K250" i="1"/>
  <c r="L249" i="1"/>
  <c r="U249" i="1" s="1"/>
  <c r="K249" i="1"/>
  <c r="L248" i="1"/>
  <c r="U248" i="1" s="1"/>
  <c r="K248" i="1"/>
  <c r="L247" i="1"/>
  <c r="U247" i="1" s="1"/>
  <c r="K247" i="1"/>
  <c r="L246" i="1"/>
  <c r="U246" i="1" s="1"/>
  <c r="K246" i="1"/>
  <c r="T246" i="1" s="1"/>
  <c r="L245" i="1"/>
  <c r="U245" i="1" s="1"/>
  <c r="K245" i="1"/>
  <c r="T245" i="1" s="1"/>
  <c r="L244" i="1"/>
  <c r="U244" i="1" s="1"/>
  <c r="K244" i="1"/>
  <c r="L243" i="1"/>
  <c r="U243" i="1" s="1"/>
  <c r="K243" i="1"/>
  <c r="L242" i="1"/>
  <c r="U242" i="1" s="1"/>
  <c r="K242" i="1"/>
  <c r="L241" i="1"/>
  <c r="U241" i="1" s="1"/>
  <c r="K241" i="1"/>
  <c r="L240" i="1"/>
  <c r="U240" i="1" s="1"/>
  <c r="K240" i="1"/>
  <c r="T240" i="1" s="1"/>
  <c r="L239" i="1"/>
  <c r="U239" i="1" s="1"/>
  <c r="K239" i="1"/>
  <c r="T239" i="1" s="1"/>
  <c r="L238" i="1"/>
  <c r="U238" i="1" s="1"/>
  <c r="K238" i="1"/>
  <c r="L237" i="1"/>
  <c r="U237" i="1" s="1"/>
  <c r="K237" i="1"/>
  <c r="L236" i="1"/>
  <c r="U236" i="1" s="1"/>
  <c r="K236" i="1"/>
  <c r="L235" i="1"/>
  <c r="U235" i="1" s="1"/>
  <c r="K235" i="1"/>
  <c r="L234" i="1"/>
  <c r="U234" i="1" s="1"/>
  <c r="K234" i="1"/>
  <c r="T234" i="1" s="1"/>
  <c r="L233" i="1"/>
  <c r="U233" i="1" s="1"/>
  <c r="K233" i="1"/>
  <c r="T233" i="1" s="1"/>
  <c r="L232" i="1"/>
  <c r="U232" i="1" s="1"/>
  <c r="K232" i="1"/>
  <c r="L231" i="1"/>
  <c r="U231" i="1" s="1"/>
  <c r="K231" i="1"/>
  <c r="L230" i="1"/>
  <c r="U230" i="1" s="1"/>
  <c r="K230" i="1"/>
  <c r="L229" i="1"/>
  <c r="U229" i="1" s="1"/>
  <c r="K229" i="1"/>
  <c r="L228" i="1"/>
  <c r="U228" i="1" s="1"/>
  <c r="K228" i="1"/>
  <c r="T228" i="1" s="1"/>
  <c r="L227" i="1"/>
  <c r="U227" i="1" s="1"/>
  <c r="K227" i="1"/>
  <c r="T227" i="1" s="1"/>
  <c r="L226" i="1"/>
  <c r="U226" i="1" s="1"/>
  <c r="K226" i="1"/>
  <c r="L225" i="1"/>
  <c r="U225" i="1" s="1"/>
  <c r="K225" i="1"/>
  <c r="L224" i="1"/>
  <c r="U224" i="1" s="1"/>
  <c r="K224" i="1"/>
  <c r="L223" i="1"/>
  <c r="U223" i="1" s="1"/>
  <c r="K223" i="1"/>
  <c r="L222" i="1"/>
  <c r="U222" i="1" s="1"/>
  <c r="K222" i="1"/>
  <c r="T222" i="1" s="1"/>
  <c r="L221" i="1"/>
  <c r="U221" i="1" s="1"/>
  <c r="K221" i="1"/>
  <c r="T221" i="1" s="1"/>
  <c r="L220" i="1"/>
  <c r="U220" i="1" s="1"/>
  <c r="K220" i="1"/>
  <c r="L219" i="1"/>
  <c r="U219" i="1" s="1"/>
  <c r="K219" i="1"/>
  <c r="L218" i="1"/>
  <c r="U218" i="1" s="1"/>
  <c r="K218" i="1"/>
  <c r="L217" i="1"/>
  <c r="U217" i="1" s="1"/>
  <c r="K217" i="1"/>
  <c r="L216" i="1"/>
  <c r="U216" i="1" s="1"/>
  <c r="K216" i="1"/>
  <c r="T216" i="1" s="1"/>
  <c r="L215" i="1"/>
  <c r="U215" i="1" s="1"/>
  <c r="K215" i="1"/>
  <c r="T215" i="1" s="1"/>
  <c r="L214" i="1"/>
  <c r="U214" i="1" s="1"/>
  <c r="K214" i="1"/>
  <c r="L213" i="1"/>
  <c r="U213" i="1" s="1"/>
  <c r="K213" i="1"/>
  <c r="T213" i="1" s="1"/>
  <c r="L212" i="1"/>
  <c r="U212" i="1" s="1"/>
  <c r="K212" i="1"/>
  <c r="L211" i="1"/>
  <c r="U211" i="1" s="1"/>
  <c r="K211" i="1"/>
  <c r="L210" i="1"/>
  <c r="U210" i="1" s="1"/>
  <c r="K210" i="1"/>
  <c r="T210" i="1" s="1"/>
  <c r="L209" i="1"/>
  <c r="U209" i="1" s="1"/>
  <c r="K209" i="1"/>
  <c r="T209" i="1" s="1"/>
  <c r="L208" i="1"/>
  <c r="U208" i="1" s="1"/>
  <c r="K208" i="1"/>
  <c r="L207" i="1"/>
  <c r="U207" i="1" s="1"/>
  <c r="K207" i="1"/>
  <c r="L206" i="1"/>
  <c r="U206" i="1" s="1"/>
  <c r="K206" i="1"/>
  <c r="L205" i="1"/>
  <c r="U205" i="1" s="1"/>
  <c r="K205" i="1"/>
  <c r="L204" i="1"/>
  <c r="U204" i="1" s="1"/>
  <c r="K204" i="1"/>
  <c r="T204" i="1" s="1"/>
  <c r="L203" i="1"/>
  <c r="U203" i="1" s="1"/>
  <c r="K203" i="1"/>
  <c r="T203" i="1" s="1"/>
  <c r="L202" i="1"/>
  <c r="U202" i="1" s="1"/>
  <c r="K202" i="1"/>
  <c r="L201" i="1"/>
  <c r="U201" i="1" s="1"/>
  <c r="K201" i="1"/>
  <c r="T201" i="1" s="1"/>
  <c r="L200" i="1"/>
  <c r="U200" i="1" s="1"/>
  <c r="K200" i="1"/>
  <c r="L199" i="1"/>
  <c r="U199" i="1" s="1"/>
  <c r="K199" i="1"/>
  <c r="L198" i="1"/>
  <c r="U198" i="1" s="1"/>
  <c r="K198" i="1"/>
  <c r="T198" i="1" s="1"/>
  <c r="L197" i="1"/>
  <c r="U197" i="1" s="1"/>
  <c r="K197" i="1"/>
  <c r="T197" i="1" s="1"/>
  <c r="L196" i="1"/>
  <c r="U196" i="1" s="1"/>
  <c r="K196" i="1"/>
  <c r="L195" i="1"/>
  <c r="U195" i="1" s="1"/>
  <c r="K195" i="1"/>
  <c r="L194" i="1"/>
  <c r="U194" i="1" s="1"/>
  <c r="K194" i="1"/>
  <c r="L193" i="1"/>
  <c r="U193" i="1" s="1"/>
  <c r="K193" i="1"/>
  <c r="L192" i="1"/>
  <c r="U192" i="1" s="1"/>
  <c r="K192" i="1"/>
  <c r="T192" i="1" s="1"/>
  <c r="L191" i="1"/>
  <c r="U191" i="1" s="1"/>
  <c r="K191" i="1"/>
  <c r="L190" i="1"/>
  <c r="U190" i="1" s="1"/>
  <c r="K190" i="1"/>
  <c r="L189" i="1"/>
  <c r="U189" i="1" s="1"/>
  <c r="K189" i="1"/>
  <c r="L188" i="1"/>
  <c r="U188" i="1" s="1"/>
  <c r="K188" i="1"/>
  <c r="L187" i="1"/>
  <c r="U187" i="1" s="1"/>
  <c r="K187" i="1"/>
  <c r="L186" i="1"/>
  <c r="U186" i="1" s="1"/>
  <c r="K186" i="1"/>
  <c r="T186" i="1" s="1"/>
  <c r="L185" i="1"/>
  <c r="U185" i="1" s="1"/>
  <c r="K185" i="1"/>
  <c r="T185" i="1" s="1"/>
  <c r="L184" i="1"/>
  <c r="U184" i="1" s="1"/>
  <c r="K184" i="1"/>
  <c r="L183" i="1"/>
  <c r="U183" i="1" s="1"/>
  <c r="K183" i="1"/>
  <c r="L182" i="1"/>
  <c r="U182" i="1" s="1"/>
  <c r="K182" i="1"/>
  <c r="L181" i="1"/>
  <c r="U181" i="1" s="1"/>
  <c r="K181" i="1"/>
  <c r="L180" i="1"/>
  <c r="U180" i="1" s="1"/>
  <c r="K180" i="1"/>
  <c r="T180" i="1" s="1"/>
  <c r="L179" i="1"/>
  <c r="U179" i="1" s="1"/>
  <c r="K179" i="1"/>
  <c r="T179" i="1" s="1"/>
  <c r="L178" i="1"/>
  <c r="U178" i="1" s="1"/>
  <c r="K178" i="1"/>
  <c r="L177" i="1"/>
  <c r="U177" i="1" s="1"/>
  <c r="K177" i="1"/>
  <c r="T177" i="1" s="1"/>
  <c r="L176" i="1"/>
  <c r="U176" i="1" s="1"/>
  <c r="K176" i="1"/>
  <c r="L175" i="1"/>
  <c r="U175" i="1" s="1"/>
  <c r="K175" i="1"/>
  <c r="L174" i="1"/>
  <c r="U174" i="1" s="1"/>
  <c r="K174" i="1"/>
  <c r="T174" i="1" s="1"/>
  <c r="L173" i="1"/>
  <c r="U173" i="1" s="1"/>
  <c r="K173" i="1"/>
  <c r="T173" i="1" s="1"/>
  <c r="L172" i="1"/>
  <c r="U172" i="1" s="1"/>
  <c r="K172" i="1"/>
  <c r="L171" i="1"/>
  <c r="U171" i="1" s="1"/>
  <c r="K171" i="1"/>
  <c r="L170" i="1"/>
  <c r="U170" i="1" s="1"/>
  <c r="K170" i="1"/>
  <c r="L169" i="1"/>
  <c r="U169" i="1" s="1"/>
  <c r="K169" i="1"/>
  <c r="L168" i="1"/>
  <c r="U168" i="1" s="1"/>
  <c r="K168" i="1"/>
  <c r="T168" i="1" s="1"/>
  <c r="L167" i="1"/>
  <c r="U167" i="1" s="1"/>
  <c r="K167" i="1"/>
  <c r="T167" i="1" s="1"/>
  <c r="L166" i="1"/>
  <c r="U166" i="1" s="1"/>
  <c r="K166" i="1"/>
  <c r="L165" i="1"/>
  <c r="U165" i="1" s="1"/>
  <c r="K165" i="1"/>
  <c r="L164" i="1"/>
  <c r="U164" i="1" s="1"/>
  <c r="K164" i="1"/>
  <c r="L163" i="1"/>
  <c r="U163" i="1" s="1"/>
  <c r="K163" i="1"/>
  <c r="L162" i="1"/>
  <c r="U162" i="1" s="1"/>
  <c r="K162" i="1"/>
  <c r="T162" i="1" s="1"/>
  <c r="L161" i="1"/>
  <c r="U161" i="1" s="1"/>
  <c r="K161" i="1"/>
  <c r="T161" i="1" s="1"/>
  <c r="L160" i="1"/>
  <c r="U160" i="1" s="1"/>
  <c r="K160" i="1"/>
  <c r="L159" i="1"/>
  <c r="U159" i="1" s="1"/>
  <c r="K159" i="1"/>
  <c r="L158" i="1"/>
  <c r="U158" i="1" s="1"/>
  <c r="K158" i="1"/>
  <c r="L157" i="1"/>
  <c r="U157" i="1" s="1"/>
  <c r="K157" i="1"/>
  <c r="L156" i="1"/>
  <c r="U156" i="1" s="1"/>
  <c r="K156" i="1"/>
  <c r="T156" i="1" s="1"/>
  <c r="L155" i="1"/>
  <c r="U155" i="1" s="1"/>
  <c r="K155" i="1"/>
  <c r="T155" i="1" s="1"/>
  <c r="L154" i="1"/>
  <c r="U154" i="1" s="1"/>
  <c r="K154" i="1"/>
  <c r="L153" i="1"/>
  <c r="U153" i="1" s="1"/>
  <c r="K153" i="1"/>
  <c r="L152" i="1"/>
  <c r="U152" i="1" s="1"/>
  <c r="K152" i="1"/>
  <c r="L151" i="1"/>
  <c r="U151" i="1" s="1"/>
  <c r="K151" i="1"/>
  <c r="L150" i="1"/>
  <c r="U150" i="1" s="1"/>
  <c r="K150" i="1"/>
  <c r="T150" i="1" s="1"/>
  <c r="L149" i="1"/>
  <c r="U149" i="1" s="1"/>
  <c r="K149" i="1"/>
  <c r="T149" i="1" s="1"/>
  <c r="L148" i="1"/>
  <c r="U148" i="1" s="1"/>
  <c r="K148" i="1"/>
  <c r="L147" i="1"/>
  <c r="U147" i="1" s="1"/>
  <c r="K147" i="1"/>
  <c r="L146" i="1"/>
  <c r="U146" i="1" s="1"/>
  <c r="K146" i="1"/>
  <c r="L145" i="1"/>
  <c r="U145" i="1" s="1"/>
  <c r="K145" i="1"/>
  <c r="L144" i="1"/>
  <c r="U144" i="1" s="1"/>
  <c r="K144" i="1"/>
  <c r="T144" i="1" s="1"/>
  <c r="L143" i="1"/>
  <c r="U143" i="1" s="1"/>
  <c r="K143" i="1"/>
  <c r="T143" i="1" s="1"/>
  <c r="L142" i="1"/>
  <c r="U142" i="1" s="1"/>
  <c r="K142" i="1"/>
  <c r="L141" i="1"/>
  <c r="U141" i="1" s="1"/>
  <c r="K141" i="1"/>
  <c r="L140" i="1"/>
  <c r="U140" i="1" s="1"/>
  <c r="K140" i="1"/>
  <c r="L139" i="1"/>
  <c r="U139" i="1" s="1"/>
  <c r="K139" i="1"/>
  <c r="L138" i="1"/>
  <c r="U138" i="1" s="1"/>
  <c r="K138" i="1"/>
  <c r="T138" i="1" s="1"/>
  <c r="L137" i="1"/>
  <c r="U137" i="1" s="1"/>
  <c r="K137" i="1"/>
  <c r="T137" i="1" s="1"/>
  <c r="L136" i="1"/>
  <c r="U136" i="1" s="1"/>
  <c r="K136" i="1"/>
  <c r="L135" i="1"/>
  <c r="U135" i="1" s="1"/>
  <c r="K135" i="1"/>
  <c r="L134" i="1"/>
  <c r="U134" i="1" s="1"/>
  <c r="K134" i="1"/>
  <c r="L133" i="1"/>
  <c r="U133" i="1" s="1"/>
  <c r="K133" i="1"/>
  <c r="L132" i="1"/>
  <c r="U132" i="1" s="1"/>
  <c r="K132" i="1"/>
  <c r="T132" i="1" s="1"/>
  <c r="L131" i="1"/>
  <c r="U131" i="1" s="1"/>
  <c r="K131" i="1"/>
  <c r="T131" i="1" s="1"/>
  <c r="L130" i="1"/>
  <c r="U130" i="1" s="1"/>
  <c r="K130" i="1"/>
  <c r="L129" i="1"/>
  <c r="U129" i="1" s="1"/>
  <c r="K129" i="1"/>
  <c r="T129" i="1" s="1"/>
  <c r="L128" i="1"/>
  <c r="U128" i="1" s="1"/>
  <c r="K128" i="1"/>
  <c r="L127" i="1"/>
  <c r="U127" i="1" s="1"/>
  <c r="K127" i="1"/>
  <c r="L126" i="1"/>
  <c r="U126" i="1" s="1"/>
  <c r="K126" i="1"/>
  <c r="T126" i="1" s="1"/>
  <c r="L125" i="1"/>
  <c r="U125" i="1" s="1"/>
  <c r="K125" i="1"/>
  <c r="T125" i="1" s="1"/>
  <c r="L124" i="1"/>
  <c r="U124" i="1" s="1"/>
  <c r="K124" i="1"/>
  <c r="L123" i="1"/>
  <c r="U123" i="1" s="1"/>
  <c r="K123" i="1"/>
  <c r="L122" i="1"/>
  <c r="U122" i="1" s="1"/>
  <c r="K122" i="1"/>
  <c r="L121" i="1"/>
  <c r="U121" i="1" s="1"/>
  <c r="K121" i="1"/>
  <c r="L120" i="1"/>
  <c r="U120" i="1" s="1"/>
  <c r="K120" i="1"/>
  <c r="T120" i="1" s="1"/>
  <c r="L119" i="1"/>
  <c r="U119" i="1" s="1"/>
  <c r="K119" i="1"/>
  <c r="T119" i="1" s="1"/>
  <c r="L118" i="1"/>
  <c r="U118" i="1" s="1"/>
  <c r="K118" i="1"/>
  <c r="L117" i="1"/>
  <c r="U117" i="1" s="1"/>
  <c r="K117" i="1"/>
  <c r="L116" i="1"/>
  <c r="U116" i="1" s="1"/>
  <c r="K116" i="1"/>
  <c r="L115" i="1"/>
  <c r="U115" i="1" s="1"/>
  <c r="K115" i="1"/>
  <c r="L114" i="1"/>
  <c r="U114" i="1" s="1"/>
  <c r="K114" i="1"/>
  <c r="T114" i="1" s="1"/>
  <c r="L113" i="1"/>
  <c r="U113" i="1" s="1"/>
  <c r="K113" i="1"/>
  <c r="T113" i="1" s="1"/>
  <c r="L112" i="1"/>
  <c r="U112" i="1" s="1"/>
  <c r="K112" i="1"/>
  <c r="L111" i="1"/>
  <c r="U111" i="1" s="1"/>
  <c r="K111" i="1"/>
  <c r="L110" i="1"/>
  <c r="U110" i="1" s="1"/>
  <c r="K110" i="1"/>
  <c r="L109" i="1"/>
  <c r="U109" i="1" s="1"/>
  <c r="K109" i="1"/>
  <c r="L108" i="1"/>
  <c r="U108" i="1" s="1"/>
  <c r="K108" i="1"/>
  <c r="T108" i="1" s="1"/>
  <c r="L107" i="1"/>
  <c r="U107" i="1" s="1"/>
  <c r="K107" i="1"/>
  <c r="T107" i="1" s="1"/>
  <c r="L106" i="1"/>
  <c r="U106" i="1" s="1"/>
  <c r="K106" i="1"/>
  <c r="L105" i="1"/>
  <c r="U105" i="1" s="1"/>
  <c r="K105" i="1"/>
  <c r="T105" i="1" s="1"/>
  <c r="L104" i="1"/>
  <c r="U104" i="1" s="1"/>
  <c r="K104" i="1"/>
  <c r="L103" i="1"/>
  <c r="U103" i="1" s="1"/>
  <c r="K103" i="1"/>
  <c r="L102" i="1"/>
  <c r="U102" i="1" s="1"/>
  <c r="K102" i="1"/>
  <c r="T102" i="1" s="1"/>
  <c r="L101" i="1"/>
  <c r="U101" i="1" s="1"/>
  <c r="K101" i="1"/>
  <c r="T101" i="1" s="1"/>
  <c r="L100" i="1"/>
  <c r="U100" i="1" s="1"/>
  <c r="K100" i="1"/>
  <c r="T100" i="1" s="1"/>
  <c r="L99" i="1"/>
  <c r="U99" i="1" s="1"/>
  <c r="K99" i="1"/>
  <c r="L98" i="1"/>
  <c r="U98" i="1" s="1"/>
  <c r="K98" i="1"/>
  <c r="L97" i="1"/>
  <c r="U97" i="1" s="1"/>
  <c r="K97" i="1"/>
  <c r="L96" i="1"/>
  <c r="U96" i="1" s="1"/>
  <c r="K96" i="1"/>
  <c r="T96" i="1" s="1"/>
  <c r="L95" i="1"/>
  <c r="U95" i="1" s="1"/>
  <c r="K95" i="1"/>
  <c r="T95" i="1" s="1"/>
  <c r="L94" i="1"/>
  <c r="U94" i="1" s="1"/>
  <c r="K94" i="1"/>
  <c r="L93" i="1"/>
  <c r="U93" i="1" s="1"/>
  <c r="K93" i="1"/>
  <c r="L92" i="1"/>
  <c r="U92" i="1" s="1"/>
  <c r="K92" i="1"/>
  <c r="L91" i="1"/>
  <c r="U91" i="1" s="1"/>
  <c r="K91" i="1"/>
  <c r="L90" i="1"/>
  <c r="U90" i="1" s="1"/>
  <c r="K90" i="1"/>
  <c r="T90" i="1" s="1"/>
  <c r="L89" i="1"/>
  <c r="U89" i="1" s="1"/>
  <c r="K89" i="1"/>
  <c r="T89" i="1" s="1"/>
  <c r="L88" i="1"/>
  <c r="U88" i="1" s="1"/>
  <c r="K88" i="1"/>
  <c r="L87" i="1"/>
  <c r="U87" i="1" s="1"/>
  <c r="K87" i="1"/>
  <c r="L86" i="1"/>
  <c r="U86" i="1" s="1"/>
  <c r="K86" i="1"/>
  <c r="L85" i="1"/>
  <c r="U85" i="1" s="1"/>
  <c r="K85" i="1"/>
  <c r="L84" i="1"/>
  <c r="U84" i="1" s="1"/>
  <c r="K84" i="1"/>
  <c r="T84" i="1" s="1"/>
  <c r="L83" i="1"/>
  <c r="U83" i="1" s="1"/>
  <c r="K83" i="1"/>
  <c r="T83" i="1" s="1"/>
  <c r="L82" i="1"/>
  <c r="U82" i="1" s="1"/>
  <c r="K82" i="1"/>
  <c r="L81" i="1"/>
  <c r="U81" i="1" s="1"/>
  <c r="K81" i="1"/>
  <c r="L80" i="1"/>
  <c r="U80" i="1" s="1"/>
  <c r="K80" i="1"/>
  <c r="T80" i="1" s="1"/>
  <c r="L79" i="1"/>
  <c r="U79" i="1" s="1"/>
  <c r="K79" i="1"/>
  <c r="L78" i="1"/>
  <c r="U78" i="1" s="1"/>
  <c r="K78" i="1"/>
  <c r="T78" i="1" s="1"/>
  <c r="L77" i="1"/>
  <c r="U77" i="1" s="1"/>
  <c r="K77" i="1"/>
  <c r="T77" i="1" s="1"/>
  <c r="L76" i="1"/>
  <c r="U76" i="1" s="1"/>
  <c r="K76" i="1"/>
  <c r="L75" i="1"/>
  <c r="U75" i="1" s="1"/>
  <c r="K75" i="1"/>
  <c r="L74" i="1"/>
  <c r="U74" i="1" s="1"/>
  <c r="K74" i="1"/>
  <c r="L73" i="1"/>
  <c r="U73" i="1" s="1"/>
  <c r="K73" i="1"/>
  <c r="L72" i="1"/>
  <c r="U72" i="1" s="1"/>
  <c r="K72" i="1"/>
  <c r="T72" i="1" s="1"/>
  <c r="L71" i="1"/>
  <c r="U71" i="1" s="1"/>
  <c r="K71" i="1"/>
  <c r="T71" i="1" s="1"/>
  <c r="L70" i="1"/>
  <c r="U70" i="1" s="1"/>
  <c r="K70" i="1"/>
  <c r="L69" i="1"/>
  <c r="U69" i="1" s="1"/>
  <c r="K69" i="1"/>
  <c r="T69" i="1" s="1"/>
  <c r="L68" i="1"/>
  <c r="U68" i="1" s="1"/>
  <c r="K68" i="1"/>
  <c r="L67" i="1"/>
  <c r="U67" i="1" s="1"/>
  <c r="K67" i="1"/>
  <c r="L66" i="1"/>
  <c r="U66" i="1" s="1"/>
  <c r="K66" i="1"/>
  <c r="T66" i="1" s="1"/>
  <c r="L65" i="1"/>
  <c r="U65" i="1" s="1"/>
  <c r="K65" i="1"/>
  <c r="T65" i="1" s="1"/>
  <c r="L64" i="1"/>
  <c r="U64" i="1" s="1"/>
  <c r="K64" i="1"/>
  <c r="L63" i="1"/>
  <c r="U63" i="1" s="1"/>
  <c r="K63" i="1"/>
  <c r="L62" i="1"/>
  <c r="U62" i="1" s="1"/>
  <c r="K62" i="1"/>
  <c r="L61" i="1"/>
  <c r="U61" i="1" s="1"/>
  <c r="K61" i="1"/>
  <c r="L60" i="1"/>
  <c r="U60" i="1" s="1"/>
  <c r="K60" i="1"/>
  <c r="T60" i="1" s="1"/>
  <c r="L59" i="1"/>
  <c r="U59" i="1" s="1"/>
  <c r="K59" i="1"/>
  <c r="T59" i="1" s="1"/>
  <c r="L58" i="1"/>
  <c r="U58" i="1" s="1"/>
  <c r="K58" i="1"/>
  <c r="L57" i="1"/>
  <c r="U57" i="1" s="1"/>
  <c r="K57" i="1"/>
  <c r="L56" i="1"/>
  <c r="U56" i="1" s="1"/>
  <c r="K56" i="1"/>
  <c r="L55" i="1"/>
  <c r="U55" i="1" s="1"/>
  <c r="K55" i="1"/>
  <c r="L54" i="1"/>
  <c r="U54" i="1" s="1"/>
  <c r="K54" i="1"/>
  <c r="T54" i="1" s="1"/>
  <c r="L53" i="1"/>
  <c r="U53" i="1" s="1"/>
  <c r="K53" i="1"/>
  <c r="T53" i="1" s="1"/>
  <c r="L52" i="1"/>
  <c r="U52" i="1" s="1"/>
  <c r="K52" i="1"/>
  <c r="L51" i="1"/>
  <c r="U51" i="1" s="1"/>
  <c r="K51" i="1"/>
  <c r="L50" i="1"/>
  <c r="U50" i="1" s="1"/>
  <c r="K50" i="1"/>
  <c r="L49" i="1"/>
  <c r="U49" i="1" s="1"/>
  <c r="K49" i="1"/>
  <c r="L48" i="1"/>
  <c r="U48" i="1" s="1"/>
  <c r="K48" i="1"/>
  <c r="T48" i="1" s="1"/>
  <c r="L47" i="1"/>
  <c r="U47" i="1" s="1"/>
  <c r="K47" i="1"/>
  <c r="T47" i="1" s="1"/>
  <c r="L46" i="1"/>
  <c r="U46" i="1" s="1"/>
  <c r="K46" i="1"/>
  <c r="T46" i="1" s="1"/>
  <c r="L45" i="1"/>
  <c r="U45" i="1" s="1"/>
  <c r="K45" i="1"/>
  <c r="M45" i="1" s="1"/>
  <c r="L44" i="1"/>
  <c r="U44" i="1" s="1"/>
  <c r="K44" i="1"/>
  <c r="M44" i="1" s="1"/>
  <c r="L43" i="1"/>
  <c r="U43" i="1" s="1"/>
  <c r="K43" i="1"/>
  <c r="L42" i="1"/>
  <c r="U42" i="1" s="1"/>
  <c r="K42" i="1"/>
  <c r="T42" i="1" s="1"/>
  <c r="L41" i="1"/>
  <c r="U41" i="1" s="1"/>
  <c r="K41" i="1"/>
  <c r="T41" i="1" s="1"/>
  <c r="L40" i="1"/>
  <c r="U40" i="1" s="1"/>
  <c r="K40" i="1"/>
  <c r="T40" i="1" s="1"/>
  <c r="L39" i="1"/>
  <c r="U39" i="1" s="1"/>
  <c r="K39" i="1"/>
  <c r="M39" i="1" s="1"/>
  <c r="L38" i="1"/>
  <c r="U38" i="1" s="1"/>
  <c r="K38" i="1"/>
  <c r="T38" i="1" s="1"/>
  <c r="L37" i="1"/>
  <c r="U37" i="1" s="1"/>
  <c r="K37" i="1"/>
  <c r="T37" i="1" s="1"/>
  <c r="L36" i="1"/>
  <c r="U36" i="1" s="1"/>
  <c r="K36" i="1"/>
  <c r="T36" i="1" s="1"/>
  <c r="L35" i="1"/>
  <c r="U35" i="1" s="1"/>
  <c r="K35" i="1"/>
  <c r="T35" i="1" s="1"/>
  <c r="L34" i="1"/>
  <c r="U34" i="1" s="1"/>
  <c r="K34" i="1"/>
  <c r="T34" i="1" s="1"/>
  <c r="L33" i="1"/>
  <c r="U33" i="1" s="1"/>
  <c r="K33" i="1"/>
  <c r="M33" i="1" s="1"/>
  <c r="L32" i="1"/>
  <c r="U32" i="1" s="1"/>
  <c r="K32" i="1"/>
  <c r="M32" i="1" s="1"/>
  <c r="L31" i="1"/>
  <c r="U31" i="1" s="1"/>
  <c r="K31" i="1"/>
  <c r="L30" i="1"/>
  <c r="U30" i="1" s="1"/>
  <c r="K30" i="1"/>
  <c r="T30" i="1" s="1"/>
  <c r="L29" i="1"/>
  <c r="U29" i="1" s="1"/>
  <c r="K29" i="1"/>
  <c r="T29" i="1" s="1"/>
  <c r="L28" i="1"/>
  <c r="U28" i="1" s="1"/>
  <c r="K28" i="1"/>
  <c r="T28" i="1" s="1"/>
  <c r="L27" i="1"/>
  <c r="U27" i="1" s="1"/>
  <c r="K27" i="1"/>
  <c r="M27" i="1" s="1"/>
  <c r="L26" i="1"/>
  <c r="U26" i="1" s="1"/>
  <c r="K26" i="1"/>
  <c r="M26" i="1" s="1"/>
  <c r="L25" i="1"/>
  <c r="U25" i="1" s="1"/>
  <c r="K25" i="1"/>
  <c r="L24" i="1"/>
  <c r="U24" i="1" s="1"/>
  <c r="K24" i="1"/>
  <c r="T24" i="1" s="1"/>
  <c r="L23" i="1"/>
  <c r="U23" i="1" s="1"/>
  <c r="K23" i="1"/>
  <c r="T23" i="1" s="1"/>
  <c r="L22" i="1"/>
  <c r="U22" i="1" s="1"/>
  <c r="K22" i="1"/>
  <c r="T22" i="1" s="1"/>
  <c r="L21" i="1"/>
  <c r="U21" i="1" s="1"/>
  <c r="K21" i="1"/>
  <c r="M21" i="1" s="1"/>
  <c r="L20" i="1"/>
  <c r="U20" i="1" s="1"/>
  <c r="K20" i="1"/>
  <c r="M20" i="1" s="1"/>
  <c r="L19" i="1"/>
  <c r="U19" i="1" s="1"/>
  <c r="K19" i="1"/>
  <c r="L18" i="1"/>
  <c r="U18" i="1" s="1"/>
  <c r="K18" i="1"/>
  <c r="T18" i="1" s="1"/>
  <c r="L17" i="1"/>
  <c r="U17" i="1" s="1"/>
  <c r="K17" i="1"/>
  <c r="T17" i="1" s="1"/>
  <c r="L16" i="1"/>
  <c r="U16" i="1" s="1"/>
  <c r="K16" i="1"/>
  <c r="T16" i="1" s="1"/>
  <c r="L15" i="1"/>
  <c r="U15" i="1" s="1"/>
  <c r="K15" i="1"/>
  <c r="M15" i="1" s="1"/>
  <c r="L14" i="1"/>
  <c r="U14" i="1" s="1"/>
  <c r="K14" i="1"/>
  <c r="M14" i="1" s="1"/>
  <c r="L13" i="1"/>
  <c r="U13" i="1" s="1"/>
  <c r="K13" i="1"/>
  <c r="L12" i="1"/>
  <c r="U12" i="1" s="1"/>
  <c r="K12" i="1"/>
  <c r="T12" i="1" s="1"/>
  <c r="L11" i="1"/>
  <c r="U11" i="1" s="1"/>
  <c r="K11" i="1"/>
  <c r="T11" i="1" s="1"/>
  <c r="L10" i="1"/>
  <c r="U10" i="1" s="1"/>
  <c r="K10" i="1"/>
  <c r="T10" i="1" s="1"/>
  <c r="L9" i="1"/>
  <c r="U9" i="1" s="1"/>
  <c r="K9" i="1"/>
  <c r="M9" i="1" s="1"/>
  <c r="L8" i="1"/>
  <c r="U8" i="1" s="1"/>
  <c r="K8" i="1"/>
  <c r="M8" i="1" s="1"/>
  <c r="L7" i="1"/>
  <c r="U7" i="1" s="1"/>
  <c r="K7" i="1"/>
  <c r="L6" i="1"/>
  <c r="U6" i="1" s="1"/>
  <c r="K6" i="1"/>
  <c r="T6" i="1" s="1"/>
  <c r="L5" i="1"/>
  <c r="U5" i="1" s="1"/>
  <c r="K5" i="1"/>
  <c r="T5" i="1" s="1"/>
  <c r="L4" i="1"/>
  <c r="U4" i="1" s="1"/>
  <c r="K4" i="1"/>
  <c r="T4" i="1" s="1"/>
  <c r="L3" i="1"/>
  <c r="U3" i="1" s="1"/>
  <c r="K3" i="1"/>
  <c r="M3" i="1" s="1"/>
  <c r="L2" i="1"/>
  <c r="U2" i="1" s="1"/>
  <c r="K2" i="1"/>
  <c r="T2" i="1" s="1"/>
  <c r="M9" i="2" l="1"/>
  <c r="M13" i="1"/>
  <c r="M19" i="1"/>
  <c r="M25" i="1"/>
  <c r="M31" i="1"/>
  <c r="M43" i="1"/>
  <c r="M49" i="1"/>
  <c r="T49" i="1"/>
  <c r="M55" i="1"/>
  <c r="T55" i="1"/>
  <c r="M61" i="1"/>
  <c r="T61" i="1"/>
  <c r="M67" i="1"/>
  <c r="T67" i="1"/>
  <c r="M73" i="1"/>
  <c r="T73" i="1"/>
  <c r="M79" i="1"/>
  <c r="T79" i="1"/>
  <c r="M85" i="1"/>
  <c r="T85" i="1"/>
  <c r="M91" i="1"/>
  <c r="T91" i="1"/>
  <c r="M97" i="1"/>
  <c r="T97" i="1"/>
  <c r="M103" i="1"/>
  <c r="T103" i="1"/>
  <c r="M109" i="1"/>
  <c r="T109" i="1"/>
  <c r="M115" i="1"/>
  <c r="T115" i="1"/>
  <c r="M121" i="1"/>
  <c r="T121" i="1"/>
  <c r="M127" i="1"/>
  <c r="T127" i="1"/>
  <c r="M133" i="1"/>
  <c r="T133" i="1"/>
  <c r="M139" i="1"/>
  <c r="T139" i="1"/>
  <c r="M145" i="1"/>
  <c r="T145" i="1"/>
  <c r="M151" i="1"/>
  <c r="T151" i="1"/>
  <c r="M157" i="1"/>
  <c r="T157" i="1"/>
  <c r="M163" i="1"/>
  <c r="T163" i="1"/>
  <c r="M169" i="1"/>
  <c r="T169" i="1"/>
  <c r="M175" i="1"/>
  <c r="T175" i="1"/>
  <c r="M181" i="1"/>
  <c r="T181" i="1"/>
  <c r="M187" i="1"/>
  <c r="T187" i="1"/>
  <c r="M193" i="1"/>
  <c r="T193" i="1"/>
  <c r="M199" i="1"/>
  <c r="T199" i="1"/>
  <c r="M205" i="1"/>
  <c r="T205" i="1"/>
  <c r="M211" i="1"/>
  <c r="T211" i="1"/>
  <c r="M217" i="1"/>
  <c r="T217" i="1"/>
  <c r="M223" i="1"/>
  <c r="T223" i="1"/>
  <c r="M229" i="1"/>
  <c r="T229" i="1"/>
  <c r="M235" i="1"/>
  <c r="T235" i="1"/>
  <c r="M241" i="1"/>
  <c r="T241" i="1"/>
  <c r="M247" i="1"/>
  <c r="T247" i="1"/>
  <c r="M253" i="1"/>
  <c r="T253" i="1"/>
  <c r="M259" i="1"/>
  <c r="T259" i="1"/>
  <c r="M7" i="1"/>
  <c r="T8" i="1"/>
  <c r="T14" i="1"/>
  <c r="T20" i="1"/>
  <c r="T26" i="1"/>
  <c r="T32" i="1"/>
  <c r="T44" i="1"/>
  <c r="M50" i="1"/>
  <c r="T50" i="1"/>
  <c r="M74" i="1"/>
  <c r="T74" i="1"/>
  <c r="M110" i="1"/>
  <c r="T110" i="1"/>
  <c r="M140" i="1"/>
  <c r="T140" i="1"/>
  <c r="M170" i="1"/>
  <c r="T170" i="1"/>
  <c r="M194" i="1"/>
  <c r="T194" i="1"/>
  <c r="M218" i="1"/>
  <c r="T218" i="1"/>
  <c r="M242" i="1"/>
  <c r="T242" i="1"/>
  <c r="M260" i="1"/>
  <c r="T260" i="1"/>
  <c r="M266" i="1"/>
  <c r="T266" i="1"/>
  <c r="M272" i="1"/>
  <c r="T272" i="1"/>
  <c r="M278" i="1"/>
  <c r="T278" i="1"/>
  <c r="M284" i="1"/>
  <c r="T284" i="1"/>
  <c r="M302" i="1"/>
  <c r="T302" i="1"/>
  <c r="M314" i="1"/>
  <c r="T314" i="1"/>
  <c r="M320" i="1"/>
  <c r="T320" i="1"/>
  <c r="M326" i="1"/>
  <c r="T326" i="1"/>
  <c r="M332" i="1"/>
  <c r="T332" i="1"/>
  <c r="M338" i="1"/>
  <c r="T338" i="1"/>
  <c r="M344" i="1"/>
  <c r="T344" i="1"/>
  <c r="M350" i="1"/>
  <c r="T350" i="1"/>
  <c r="M356" i="1"/>
  <c r="T356" i="1"/>
  <c r="M56" i="1"/>
  <c r="T56" i="1"/>
  <c r="M92" i="1"/>
  <c r="T92" i="1"/>
  <c r="M128" i="1"/>
  <c r="T128" i="1"/>
  <c r="M176" i="1"/>
  <c r="T176" i="1"/>
  <c r="M212" i="1"/>
  <c r="T212" i="1"/>
  <c r="M290" i="1"/>
  <c r="T290" i="1"/>
  <c r="M57" i="1"/>
  <c r="T57" i="1"/>
  <c r="M81" i="1"/>
  <c r="T81" i="1"/>
  <c r="M87" i="1"/>
  <c r="T87" i="1"/>
  <c r="M93" i="1"/>
  <c r="T93" i="1"/>
  <c r="M99" i="1"/>
  <c r="T99" i="1"/>
  <c r="M111" i="1"/>
  <c r="T111" i="1"/>
  <c r="M117" i="1"/>
  <c r="T117" i="1"/>
  <c r="M123" i="1"/>
  <c r="T123" i="1"/>
  <c r="M135" i="1"/>
  <c r="T135" i="1"/>
  <c r="M141" i="1"/>
  <c r="T141" i="1"/>
  <c r="M147" i="1"/>
  <c r="T147" i="1"/>
  <c r="M153" i="1"/>
  <c r="T153" i="1"/>
  <c r="M159" i="1"/>
  <c r="T159" i="1"/>
  <c r="M165" i="1"/>
  <c r="T165" i="1"/>
  <c r="M171" i="1"/>
  <c r="T171" i="1"/>
  <c r="M183" i="1"/>
  <c r="T183" i="1"/>
  <c r="M189" i="1"/>
  <c r="T189" i="1"/>
  <c r="M195" i="1"/>
  <c r="T195" i="1"/>
  <c r="M207" i="1"/>
  <c r="T207" i="1"/>
  <c r="M219" i="1"/>
  <c r="T219" i="1"/>
  <c r="M225" i="1"/>
  <c r="T225" i="1"/>
  <c r="M231" i="1"/>
  <c r="T231" i="1"/>
  <c r="M237" i="1"/>
  <c r="T237" i="1"/>
  <c r="M243" i="1"/>
  <c r="T243" i="1"/>
  <c r="M249" i="1"/>
  <c r="T249" i="1"/>
  <c r="M255" i="1"/>
  <c r="T255" i="1"/>
  <c r="M261" i="1"/>
  <c r="T261" i="1"/>
  <c r="M267" i="1"/>
  <c r="T267" i="1"/>
  <c r="M273" i="1"/>
  <c r="T273" i="1"/>
  <c r="M279" i="1"/>
  <c r="T279" i="1"/>
  <c r="M285" i="1"/>
  <c r="T285" i="1"/>
  <c r="M291" i="1"/>
  <c r="T291" i="1"/>
  <c r="M303" i="1"/>
  <c r="T303" i="1"/>
  <c r="M309" i="1"/>
  <c r="T309" i="1"/>
  <c r="M315" i="1"/>
  <c r="T315" i="1"/>
  <c r="M321" i="1"/>
  <c r="T321" i="1"/>
  <c r="M333" i="1"/>
  <c r="T333" i="1"/>
  <c r="M345" i="1"/>
  <c r="T345" i="1"/>
  <c r="M68" i="1"/>
  <c r="T68" i="1"/>
  <c r="M104" i="1"/>
  <c r="T104" i="1"/>
  <c r="M122" i="1"/>
  <c r="T122" i="1"/>
  <c r="M146" i="1"/>
  <c r="T146" i="1"/>
  <c r="M182" i="1"/>
  <c r="T182" i="1"/>
  <c r="M200" i="1"/>
  <c r="T200" i="1"/>
  <c r="M230" i="1"/>
  <c r="T230" i="1"/>
  <c r="M296" i="1"/>
  <c r="T296" i="1"/>
  <c r="M51" i="1"/>
  <c r="T51" i="1"/>
  <c r="M75" i="1"/>
  <c r="T75" i="1"/>
  <c r="M69" i="1"/>
  <c r="M116" i="1"/>
  <c r="T116" i="1"/>
  <c r="M134" i="1"/>
  <c r="T134" i="1"/>
  <c r="M164" i="1"/>
  <c r="T164" i="1"/>
  <c r="M188" i="1"/>
  <c r="T188" i="1"/>
  <c r="M206" i="1"/>
  <c r="T206" i="1"/>
  <c r="M224" i="1"/>
  <c r="T224" i="1"/>
  <c r="M254" i="1"/>
  <c r="T254" i="1"/>
  <c r="M308" i="1"/>
  <c r="T308" i="1"/>
  <c r="M63" i="1"/>
  <c r="T63" i="1"/>
  <c r="M4" i="1"/>
  <c r="M10" i="1"/>
  <c r="M16" i="1"/>
  <c r="M22" i="1"/>
  <c r="M28" i="1"/>
  <c r="M34" i="1"/>
  <c r="M40" i="1"/>
  <c r="M46" i="1"/>
  <c r="M52" i="1"/>
  <c r="T52" i="1"/>
  <c r="M58" i="1"/>
  <c r="T58" i="1"/>
  <c r="M64" i="1"/>
  <c r="T64" i="1"/>
  <c r="M70" i="1"/>
  <c r="T70" i="1"/>
  <c r="M76" i="1"/>
  <c r="T76" i="1"/>
  <c r="M82" i="1"/>
  <c r="T82" i="1"/>
  <c r="M88" i="1"/>
  <c r="T88" i="1"/>
  <c r="M94" i="1"/>
  <c r="T94" i="1"/>
  <c r="M106" i="1"/>
  <c r="T106" i="1"/>
  <c r="M112" i="1"/>
  <c r="T112" i="1"/>
  <c r="M118" i="1"/>
  <c r="T118" i="1"/>
  <c r="M124" i="1"/>
  <c r="T124" i="1"/>
  <c r="M130" i="1"/>
  <c r="T130" i="1"/>
  <c r="M136" i="1"/>
  <c r="T136" i="1"/>
  <c r="M142" i="1"/>
  <c r="T142" i="1"/>
  <c r="M148" i="1"/>
  <c r="T148" i="1"/>
  <c r="M154" i="1"/>
  <c r="T154" i="1"/>
  <c r="M160" i="1"/>
  <c r="T160" i="1"/>
  <c r="M166" i="1"/>
  <c r="T166" i="1"/>
  <c r="M172" i="1"/>
  <c r="T172" i="1"/>
  <c r="M178" i="1"/>
  <c r="T178" i="1"/>
  <c r="M184" i="1"/>
  <c r="T184" i="1"/>
  <c r="M190" i="1"/>
  <c r="T190" i="1"/>
  <c r="M196" i="1"/>
  <c r="T196" i="1"/>
  <c r="M202" i="1"/>
  <c r="T202" i="1"/>
  <c r="M208" i="1"/>
  <c r="T208" i="1"/>
  <c r="M214" i="1"/>
  <c r="T214" i="1"/>
  <c r="M220" i="1"/>
  <c r="T220" i="1"/>
  <c r="M226" i="1"/>
  <c r="T226" i="1"/>
  <c r="M232" i="1"/>
  <c r="T232" i="1"/>
  <c r="M238" i="1"/>
  <c r="T238" i="1"/>
  <c r="M244" i="1"/>
  <c r="T244" i="1"/>
  <c r="M250" i="1"/>
  <c r="T250" i="1"/>
  <c r="M256" i="1"/>
  <c r="T256" i="1"/>
  <c r="M262" i="1"/>
  <c r="T262" i="1"/>
  <c r="M268" i="1"/>
  <c r="T268" i="1"/>
  <c r="M280" i="1"/>
  <c r="T280" i="1"/>
  <c r="M286" i="1"/>
  <c r="T286" i="1"/>
  <c r="M292" i="1"/>
  <c r="T292" i="1"/>
  <c r="M298" i="1"/>
  <c r="T298" i="1"/>
  <c r="M304" i="1"/>
  <c r="T304" i="1"/>
  <c r="M310" i="1"/>
  <c r="T310" i="1"/>
  <c r="M316" i="1"/>
  <c r="T316" i="1"/>
  <c r="M322" i="1"/>
  <c r="T322" i="1"/>
  <c r="M328" i="1"/>
  <c r="T328" i="1"/>
  <c r="M334" i="1"/>
  <c r="T334" i="1"/>
  <c r="M340" i="1"/>
  <c r="T340" i="1"/>
  <c r="M346" i="1"/>
  <c r="T346" i="1"/>
  <c r="M352" i="1"/>
  <c r="T352" i="1"/>
  <c r="M129" i="1"/>
  <c r="M86" i="1"/>
  <c r="T86" i="1"/>
  <c r="M152" i="1"/>
  <c r="T152" i="1"/>
  <c r="M236" i="1"/>
  <c r="T236" i="1"/>
  <c r="M213" i="1"/>
  <c r="T3" i="1"/>
  <c r="T7" i="1"/>
  <c r="T9" i="1"/>
  <c r="T13" i="1"/>
  <c r="T15" i="1"/>
  <c r="T19" i="1"/>
  <c r="T21" i="1"/>
  <c r="T25" i="1"/>
  <c r="T27" i="1"/>
  <c r="T31" i="1"/>
  <c r="T33" i="1"/>
  <c r="T39" i="1"/>
  <c r="T43" i="1"/>
  <c r="T45" i="1"/>
  <c r="M62" i="1"/>
  <c r="T62" i="1"/>
  <c r="M98" i="1"/>
  <c r="T98" i="1"/>
  <c r="M158" i="1"/>
  <c r="T158" i="1"/>
  <c r="M248" i="1"/>
  <c r="T248" i="1"/>
  <c r="M191" i="1"/>
  <c r="T191" i="1"/>
  <c r="M297" i="1"/>
  <c r="M119" i="4"/>
  <c r="M173" i="4"/>
  <c r="M179" i="4"/>
  <c r="M185" i="4"/>
  <c r="M197" i="4"/>
  <c r="M209" i="4"/>
  <c r="M215" i="4"/>
  <c r="M203" i="4"/>
  <c r="M199" i="4"/>
  <c r="M191" i="4"/>
  <c r="M143" i="4"/>
  <c r="M141" i="4"/>
  <c r="M125" i="4"/>
  <c r="M92" i="4"/>
  <c r="M57" i="4"/>
  <c r="M45" i="4"/>
  <c r="M41" i="4"/>
  <c r="M7" i="4"/>
  <c r="M13" i="4"/>
  <c r="M19" i="4"/>
  <c r="M25" i="4"/>
  <c r="M31" i="4"/>
  <c r="M43" i="4"/>
  <c r="M49" i="4"/>
  <c r="M55" i="4"/>
  <c r="M61" i="4"/>
  <c r="M67" i="4"/>
  <c r="M73" i="4"/>
  <c r="M85" i="4"/>
  <c r="M91" i="4"/>
  <c r="M103" i="4"/>
  <c r="M109" i="4"/>
  <c r="M121" i="4"/>
  <c r="M127" i="4"/>
  <c r="M133" i="4"/>
  <c r="M139" i="4"/>
  <c r="M145" i="4"/>
  <c r="M151" i="4"/>
  <c r="M157" i="4"/>
  <c r="M163" i="4"/>
  <c r="M223" i="4"/>
  <c r="M229" i="4"/>
  <c r="M147" i="4"/>
  <c r="M153" i="4"/>
  <c r="M159" i="4"/>
  <c r="M171" i="4"/>
  <c r="M183" i="4"/>
  <c r="M201" i="4"/>
  <c r="M207" i="4"/>
  <c r="M213" i="4"/>
  <c r="M219" i="4"/>
  <c r="M225" i="4"/>
  <c r="M231" i="4"/>
  <c r="M52" i="4"/>
  <c r="M58" i="4"/>
  <c r="M64" i="4"/>
  <c r="M70" i="4"/>
  <c r="M76" i="4"/>
  <c r="M82" i="4"/>
  <c r="M88" i="4"/>
  <c r="M100" i="4"/>
  <c r="M112" i="4"/>
  <c r="M136" i="4"/>
  <c r="M148" i="4"/>
  <c r="M160" i="4"/>
  <c r="M172" i="4"/>
  <c r="M184" i="4"/>
  <c r="M196" i="4"/>
  <c r="M208" i="4"/>
  <c r="M220" i="4"/>
  <c r="M232" i="4"/>
  <c r="M300" i="3"/>
  <c r="M188" i="3"/>
  <c r="M224" i="3"/>
  <c r="M248" i="3"/>
  <c r="M243" i="3"/>
  <c r="M100" i="3"/>
  <c r="M172" i="3"/>
  <c r="M184" i="3"/>
  <c r="M286" i="3"/>
  <c r="M36" i="3"/>
  <c r="M306" i="3"/>
  <c r="M56" i="3"/>
  <c r="M308" i="3"/>
  <c r="M9" i="3"/>
  <c r="M314" i="3"/>
  <c r="M320" i="3"/>
  <c r="M332" i="3"/>
  <c r="M338" i="3"/>
  <c r="M196" i="3"/>
  <c r="M137" i="3"/>
  <c r="M233" i="3"/>
  <c r="M316" i="3"/>
  <c r="M19" i="3"/>
  <c r="M31" i="3"/>
  <c r="M67" i="3"/>
  <c r="M169" i="3"/>
  <c r="M336" i="3"/>
  <c r="M297" i="3"/>
  <c r="M216" i="3"/>
  <c r="M200" i="3"/>
  <c r="M319" i="3"/>
  <c r="M159" i="3"/>
  <c r="M29" i="3"/>
  <c r="M41" i="3"/>
  <c r="M88" i="3"/>
  <c r="M112" i="3"/>
  <c r="M148" i="3"/>
  <c r="M254" i="3"/>
  <c r="M272" i="3"/>
  <c r="M16" i="3"/>
  <c r="M83" i="3"/>
  <c r="M95" i="3"/>
  <c r="M208" i="3"/>
  <c r="M24" i="3"/>
  <c r="M48" i="3"/>
  <c r="M131" i="3"/>
  <c r="M179" i="3"/>
  <c r="M238" i="3"/>
  <c r="M280" i="3"/>
  <c r="M13" i="3"/>
  <c r="M49" i="3"/>
  <c r="M60" i="3"/>
  <c r="M72" i="3"/>
  <c r="M96" i="3"/>
  <c r="M132" i="3"/>
  <c r="M168" i="3"/>
  <c r="M304" i="3"/>
  <c r="M340" i="3"/>
  <c r="M73" i="3"/>
  <c r="M222" i="3"/>
  <c r="M32" i="3"/>
  <c r="M276" i="3"/>
  <c r="M80" i="3"/>
  <c r="M223" i="3"/>
  <c r="M252" i="3"/>
  <c r="M264" i="3"/>
  <c r="M51" i="3"/>
  <c r="M93" i="3"/>
  <c r="M105" i="3"/>
  <c r="M152" i="3"/>
  <c r="M212" i="3"/>
  <c r="M265" i="3"/>
  <c r="M8" i="3"/>
  <c r="M164" i="4"/>
  <c r="M176" i="4"/>
  <c r="M188" i="4"/>
  <c r="M200" i="4"/>
  <c r="M212" i="4"/>
  <c r="M233" i="4"/>
  <c r="M45" i="3"/>
  <c r="M57" i="3"/>
  <c r="M109" i="3"/>
  <c r="M121" i="3"/>
  <c r="M185" i="3"/>
  <c r="M249" i="3"/>
  <c r="M28" i="3"/>
  <c r="M52" i="3"/>
  <c r="M63" i="3"/>
  <c r="M92" i="3"/>
  <c r="M116" i="3"/>
  <c r="M127" i="3"/>
  <c r="M156" i="3"/>
  <c r="M180" i="3"/>
  <c r="M191" i="3"/>
  <c r="M220" i="3"/>
  <c r="M244" i="3"/>
  <c r="M255" i="3"/>
  <c r="M284" i="3"/>
  <c r="M290" i="3"/>
  <c r="M296" i="3"/>
  <c r="M302" i="3"/>
  <c r="M128" i="3"/>
  <c r="M163" i="3"/>
  <c r="M192" i="3"/>
  <c r="M227" i="3"/>
  <c r="M256" i="3"/>
  <c r="M291" i="3"/>
  <c r="M303" i="3"/>
  <c r="M12" i="3"/>
  <c r="M47" i="3"/>
  <c r="M76" i="3"/>
  <c r="M111" i="3"/>
  <c r="M140" i="3"/>
  <c r="M164" i="3"/>
  <c r="M175" i="3"/>
  <c r="M204" i="3"/>
  <c r="M228" i="3"/>
  <c r="M268" i="3"/>
  <c r="M292" i="3"/>
  <c r="M7" i="3"/>
  <c r="M25" i="3"/>
  <c r="M89" i="3"/>
  <c r="M217" i="3"/>
  <c r="M281" i="3"/>
  <c r="M35" i="3"/>
  <c r="M64" i="3"/>
  <c r="M99" i="3"/>
  <c r="M147" i="3"/>
  <c r="M176" i="3"/>
  <c r="M211" i="3"/>
  <c r="M240" i="3"/>
  <c r="M275" i="3"/>
  <c r="M322" i="3"/>
  <c r="M328" i="3"/>
  <c r="M334" i="3"/>
  <c r="M287" i="3"/>
  <c r="M329" i="3"/>
  <c r="M206" i="3"/>
  <c r="M270" i="3"/>
  <c r="M160" i="3"/>
  <c r="M195" i="3"/>
  <c r="M324" i="3"/>
  <c r="M15" i="3"/>
  <c r="M44" i="3"/>
  <c r="M108" i="3"/>
  <c r="M143" i="3"/>
  <c r="M207" i="3"/>
  <c r="M236" i="3"/>
  <c r="M260" i="3"/>
  <c r="M271" i="3"/>
  <c r="M313" i="3"/>
  <c r="M318" i="3"/>
  <c r="M227" i="4"/>
  <c r="M224" i="4"/>
  <c r="M195" i="4"/>
  <c r="M189" i="4"/>
  <c r="M181" i="4"/>
  <c r="M177" i="4"/>
  <c r="M167" i="4"/>
  <c r="M165" i="4"/>
  <c r="M161" i="4"/>
  <c r="M155" i="4"/>
  <c r="M149" i="4"/>
  <c r="M137" i="4"/>
  <c r="M131" i="4"/>
  <c r="M129" i="4"/>
  <c r="M124" i="4"/>
  <c r="M115" i="4"/>
  <c r="M107" i="4"/>
  <c r="M97" i="4"/>
  <c r="M87" i="4"/>
  <c r="M83" i="4"/>
  <c r="M79" i="4"/>
  <c r="M71" i="4"/>
  <c r="M51" i="4"/>
  <c r="M40" i="4"/>
  <c r="M37" i="4"/>
  <c r="M330" i="3"/>
  <c r="M298" i="3"/>
  <c r="M274" i="3"/>
  <c r="M239" i="3"/>
  <c r="M153" i="3"/>
  <c r="M115" i="3"/>
  <c r="M84" i="3"/>
  <c r="M79" i="3"/>
  <c r="M61" i="3"/>
  <c r="M5" i="3"/>
  <c r="M23" i="3"/>
  <c r="M39" i="3"/>
  <c r="M55" i="3"/>
  <c r="M71" i="3"/>
  <c r="M87" i="3"/>
  <c r="M103" i="3"/>
  <c r="M119" i="3"/>
  <c r="M125" i="3"/>
  <c r="M135" i="3"/>
  <c r="M141" i="3"/>
  <c r="M151" i="3"/>
  <c r="M157" i="3"/>
  <c r="M167" i="3"/>
  <c r="M173" i="3"/>
  <c r="M183" i="3"/>
  <c r="M189" i="3"/>
  <c r="M199" i="3"/>
  <c r="M205" i="3"/>
  <c r="M215" i="3"/>
  <c r="M221" i="3"/>
  <c r="M231" i="3"/>
  <c r="M237" i="3"/>
  <c r="M247" i="3"/>
  <c r="M253" i="3"/>
  <c r="M263" i="3"/>
  <c r="M269" i="3"/>
  <c r="M279" i="3"/>
  <c r="M285" i="3"/>
  <c r="M295" i="3"/>
  <c r="M301" i="3"/>
  <c r="M311" i="3"/>
  <c r="M317" i="3"/>
  <c r="M327" i="3"/>
  <c r="M333" i="3"/>
  <c r="M343" i="3"/>
  <c r="M18" i="3"/>
  <c r="M34" i="3"/>
  <c r="M50" i="3"/>
  <c r="M66" i="3"/>
  <c r="M82" i="3"/>
  <c r="M98" i="3"/>
  <c r="M114" i="3"/>
  <c r="M130" i="3"/>
  <c r="M146" i="3"/>
  <c r="M162" i="3"/>
  <c r="M178" i="3"/>
  <c r="M194" i="3"/>
  <c r="M210" i="3"/>
  <c r="M226" i="3"/>
  <c r="M242" i="3"/>
  <c r="M258" i="3"/>
  <c r="M323" i="3"/>
  <c r="M339" i="3"/>
  <c r="M14" i="3"/>
  <c r="M30" i="3"/>
  <c r="M46" i="3"/>
  <c r="M62" i="3"/>
  <c r="M78" i="3"/>
  <c r="M94" i="3"/>
  <c r="M110" i="3"/>
  <c r="M126" i="3"/>
  <c r="M142" i="3"/>
  <c r="M158" i="3"/>
  <c r="M174" i="3"/>
  <c r="M190" i="3"/>
  <c r="M3" i="3"/>
  <c r="M21" i="3"/>
  <c r="M37" i="3"/>
  <c r="M53" i="3"/>
  <c r="M69" i="3"/>
  <c r="M85" i="3"/>
  <c r="M101" i="3"/>
  <c r="M117" i="3"/>
  <c r="M133" i="3"/>
  <c r="M149" i="3"/>
  <c r="M165" i="3"/>
  <c r="M181" i="3"/>
  <c r="M197" i="3"/>
  <c r="M213" i="3"/>
  <c r="M229" i="3"/>
  <c r="M245" i="3"/>
  <c r="M261" i="3"/>
  <c r="M277" i="3"/>
  <c r="M293" i="3"/>
  <c r="M309" i="3"/>
  <c r="M325" i="3"/>
  <c r="M341" i="3"/>
  <c r="M4" i="3"/>
  <c r="M10" i="3"/>
  <c r="M26" i="3"/>
  <c r="M42" i="3"/>
  <c r="M58" i="3"/>
  <c r="M74" i="3"/>
  <c r="M90" i="3"/>
  <c r="M106" i="3"/>
  <c r="M122" i="3"/>
  <c r="M138" i="3"/>
  <c r="M154" i="3"/>
  <c r="M170" i="3"/>
  <c r="M186" i="3"/>
  <c r="M202" i="3"/>
  <c r="M218" i="3"/>
  <c r="M234" i="3"/>
  <c r="M250" i="3"/>
  <c r="M266" i="3"/>
  <c r="M282" i="3"/>
  <c r="M11" i="3"/>
  <c r="M17" i="3"/>
  <c r="M27" i="3"/>
  <c r="M33" i="3"/>
  <c r="M43" i="3"/>
  <c r="M59" i="3"/>
  <c r="M65" i="3"/>
  <c r="M75" i="3"/>
  <c r="M81" i="3"/>
  <c r="M91" i="3"/>
  <c r="M97" i="3"/>
  <c r="M107" i="3"/>
  <c r="M113" i="3"/>
  <c r="M123" i="3"/>
  <c r="M129" i="3"/>
  <c r="M139" i="3"/>
  <c r="M145" i="3"/>
  <c r="M155" i="3"/>
  <c r="M161" i="3"/>
  <c r="M171" i="3"/>
  <c r="M177" i="3"/>
  <c r="M187" i="3"/>
  <c r="M193" i="3"/>
  <c r="M203" i="3"/>
  <c r="M209" i="3"/>
  <c r="M219" i="3"/>
  <c r="M225" i="3"/>
  <c r="M235" i="3"/>
  <c r="M241" i="3"/>
  <c r="M251" i="3"/>
  <c r="M257" i="3"/>
  <c r="M267" i="3"/>
  <c r="M273" i="3"/>
  <c r="M283" i="3"/>
  <c r="M289" i="3"/>
  <c r="M299" i="3"/>
  <c r="M305" i="3"/>
  <c r="M315" i="3"/>
  <c r="M321" i="3"/>
  <c r="M331" i="3"/>
  <c r="M337" i="3"/>
  <c r="M22" i="3"/>
  <c r="M38" i="3"/>
  <c r="M54" i="3"/>
  <c r="M70" i="3"/>
  <c r="M86" i="3"/>
  <c r="M102" i="3"/>
  <c r="M118" i="3"/>
  <c r="M134" i="3"/>
  <c r="M150" i="3"/>
  <c r="M166" i="3"/>
  <c r="M182" i="3"/>
  <c r="M198" i="3"/>
  <c r="M214" i="3"/>
  <c r="M230" i="3"/>
  <c r="M246" i="3"/>
  <c r="M262" i="3"/>
  <c r="M278" i="3"/>
  <c r="M294" i="3"/>
  <c r="M310" i="3"/>
  <c r="M326" i="3"/>
  <c r="M342" i="3"/>
  <c r="M98" i="4"/>
  <c r="M110" i="4"/>
  <c r="M122" i="4"/>
  <c r="M134" i="4"/>
  <c r="M146" i="4"/>
  <c r="M158" i="4"/>
  <c r="M170" i="4"/>
  <c r="M182" i="4"/>
  <c r="M194" i="4"/>
  <c r="M206" i="4"/>
  <c r="M218" i="4"/>
  <c r="M230" i="4"/>
  <c r="M4" i="4"/>
  <c r="M94" i="4"/>
  <c r="M106" i="4"/>
  <c r="M118" i="4"/>
  <c r="M130" i="4"/>
  <c r="M142" i="4"/>
  <c r="M154" i="4"/>
  <c r="M166" i="4"/>
  <c r="M178" i="4"/>
  <c r="M190" i="4"/>
  <c r="M202" i="4"/>
  <c r="M214" i="4"/>
  <c r="M226" i="4"/>
  <c r="M221" i="4"/>
  <c r="M6" i="4"/>
  <c r="M12" i="4"/>
  <c r="M18" i="4"/>
  <c r="M24" i="4"/>
  <c r="M30" i="4"/>
  <c r="M36" i="4"/>
  <c r="M42" i="4"/>
  <c r="M48" i="4"/>
  <c r="M54" i="4"/>
  <c r="M60" i="4"/>
  <c r="M66" i="4"/>
  <c r="M72" i="4"/>
  <c r="M78" i="4"/>
  <c r="M84" i="4"/>
  <c r="M96" i="4"/>
  <c r="M108" i="4"/>
  <c r="M120" i="4"/>
  <c r="M132" i="4"/>
  <c r="M144" i="4"/>
  <c r="M156" i="4"/>
  <c r="M168" i="4"/>
  <c r="M180" i="4"/>
  <c r="M192" i="4"/>
  <c r="M204" i="4"/>
  <c r="M216" i="4"/>
  <c r="M228" i="4"/>
  <c r="M210" i="2"/>
  <c r="M149" i="2"/>
  <c r="M142" i="2"/>
  <c r="M104" i="2"/>
  <c r="M73" i="2"/>
  <c r="M197" i="1"/>
  <c r="M203" i="1"/>
  <c r="M209" i="1"/>
  <c r="M215" i="1"/>
  <c r="M221" i="1"/>
  <c r="M227" i="1"/>
  <c r="M233" i="1"/>
  <c r="M239" i="1"/>
  <c r="M245" i="1"/>
  <c r="M251" i="1"/>
  <c r="M257" i="1"/>
  <c r="M263" i="1"/>
  <c r="M269" i="1"/>
  <c r="M275" i="1"/>
  <c r="M281" i="1"/>
  <c r="M287" i="1"/>
  <c r="M293" i="1"/>
  <c r="M299" i="1"/>
  <c r="M305" i="1"/>
  <c r="M311" i="1"/>
  <c r="M317" i="1"/>
  <c r="M323" i="1"/>
  <c r="M329" i="1"/>
  <c r="M335" i="1"/>
  <c r="M341" i="1"/>
  <c r="M347" i="1"/>
  <c r="M353" i="1"/>
  <c r="M4" i="2"/>
  <c r="M10" i="2"/>
  <c r="M11" i="1"/>
  <c r="M65" i="1"/>
  <c r="M113" i="1"/>
  <c r="M155" i="1"/>
  <c r="M41" i="1"/>
  <c r="M89" i="1"/>
  <c r="M131" i="1"/>
  <c r="M167" i="1"/>
  <c r="M18" i="1"/>
  <c r="M30" i="1"/>
  <c r="M42" i="1"/>
  <c r="M60" i="1"/>
  <c r="M72" i="1"/>
  <c r="M84" i="1"/>
  <c r="M108" i="1"/>
  <c r="M120" i="1"/>
  <c r="M126" i="1"/>
  <c r="M138" i="1"/>
  <c r="M144" i="1"/>
  <c r="M150" i="1"/>
  <c r="M156" i="1"/>
  <c r="M162" i="1"/>
  <c r="M168" i="1"/>
  <c r="M174" i="1"/>
  <c r="M180" i="1"/>
  <c r="M186" i="1"/>
  <c r="M192" i="1"/>
  <c r="M198" i="1"/>
  <c r="M204" i="1"/>
  <c r="M210" i="1"/>
  <c r="M216" i="1"/>
  <c r="M222" i="1"/>
  <c r="M228" i="1"/>
  <c r="M234" i="1"/>
  <c r="M240" i="1"/>
  <c r="M246" i="1"/>
  <c r="M258" i="1"/>
  <c r="M264" i="1"/>
  <c r="M270" i="1"/>
  <c r="M276" i="1"/>
  <c r="M282" i="1"/>
  <c r="M294" i="1"/>
  <c r="M300" i="1"/>
  <c r="M306" i="1"/>
  <c r="M312" i="1"/>
  <c r="M318" i="1"/>
  <c r="M324" i="1"/>
  <c r="M330" i="1"/>
  <c r="M336" i="1"/>
  <c r="M342" i="1"/>
  <c r="M348" i="1"/>
  <c r="M354" i="1"/>
  <c r="M5" i="2"/>
  <c r="M11" i="2"/>
  <c r="M59" i="1"/>
  <c r="M119" i="1"/>
  <c r="M179" i="1"/>
  <c r="M6" i="1"/>
  <c r="M12" i="1"/>
  <c r="M24" i="1"/>
  <c r="M36" i="1"/>
  <c r="M48" i="1"/>
  <c r="M54" i="1"/>
  <c r="M66" i="1"/>
  <c r="M78" i="1"/>
  <c r="M90" i="1"/>
  <c r="M96" i="1"/>
  <c r="M102" i="1"/>
  <c r="M114" i="1"/>
  <c r="M132" i="1"/>
  <c r="M29" i="1"/>
  <c r="M77" i="1"/>
  <c r="M137" i="1"/>
  <c r="M265" i="1"/>
  <c r="M271" i="1"/>
  <c r="M277" i="1"/>
  <c r="M283" i="1"/>
  <c r="M289" i="1"/>
  <c r="M295" i="1"/>
  <c r="M301" i="1"/>
  <c r="M307" i="1"/>
  <c r="M313" i="1"/>
  <c r="M319" i="1"/>
  <c r="M325" i="1"/>
  <c r="M331" i="1"/>
  <c r="M337" i="1"/>
  <c r="M343" i="1"/>
  <c r="M349" i="1"/>
  <c r="M355" i="1"/>
  <c r="M6" i="2"/>
  <c r="M17" i="1"/>
  <c r="M71" i="1"/>
  <c r="M125" i="1"/>
  <c r="M185" i="1"/>
  <c r="M23" i="1"/>
  <c r="M83" i="1"/>
  <c r="M161" i="1"/>
  <c r="M35" i="1"/>
  <c r="M95" i="1"/>
  <c r="M143" i="1"/>
  <c r="M105" i="1"/>
  <c r="M177" i="1"/>
  <c r="M201" i="1"/>
  <c r="M5" i="1"/>
  <c r="M47" i="1"/>
  <c r="M101" i="1"/>
  <c r="M149" i="1"/>
  <c r="M327" i="1"/>
  <c r="M339" i="1"/>
  <c r="M351" i="1"/>
  <c r="M53" i="1"/>
  <c r="M107" i="1"/>
  <c r="M173" i="1"/>
  <c r="M274" i="1"/>
  <c r="M288" i="1"/>
  <c r="M252" i="1"/>
  <c r="M100" i="1"/>
  <c r="M80" i="1"/>
  <c r="M37" i="1"/>
  <c r="M38" i="1"/>
</calcChain>
</file>

<file path=xl/sharedStrings.xml><?xml version="1.0" encoding="utf-8"?>
<sst xmlns="http://schemas.openxmlformats.org/spreadsheetml/2006/main" count="3198" uniqueCount="2555">
  <si>
    <t>Section</t>
  </si>
  <si>
    <t>Canon</t>
  </si>
  <si>
    <t>StartR</t>
  </si>
  <si>
    <t>EndR</t>
  </si>
  <si>
    <t>StartN</t>
  </si>
  <si>
    <t>EndN</t>
  </si>
  <si>
    <t>NeedsAttention</t>
  </si>
  <si>
    <t>1.1-16</t>
  </si>
  <si>
    <t>MAT 1:1</t>
  </si>
  <si>
    <t>MAT 1:16</t>
  </si>
  <si>
    <t>MAT 1:17</t>
  </si>
  <si>
    <t>MAT 1:18</t>
  </si>
  <si>
    <t>1.19-2.4</t>
  </si>
  <si>
    <t>MAT 1:19</t>
  </si>
  <si>
    <t>MAT 2:4</t>
  </si>
  <si>
    <t>2.5-6</t>
  </si>
  <si>
    <t>MAT 2:5</t>
  </si>
  <si>
    <t>MAT 2:6</t>
  </si>
  <si>
    <t>2.7-23</t>
  </si>
  <si>
    <t>MAT 2:7</t>
  </si>
  <si>
    <t>MAT 2:23</t>
  </si>
  <si>
    <t>3.1-2</t>
  </si>
  <si>
    <t>MAT 3:1</t>
  </si>
  <si>
    <t>MAT 3:2</t>
  </si>
  <si>
    <t>MAT 3:3</t>
  </si>
  <si>
    <t>3.4-6</t>
  </si>
  <si>
    <t>MAT 3:4</t>
  </si>
  <si>
    <t>MAT 3:6</t>
  </si>
  <si>
    <t>3.7-10</t>
  </si>
  <si>
    <t>MAT 3:7</t>
  </si>
  <si>
    <t>MAT 3:10</t>
  </si>
  <si>
    <t>MAT 3:11</t>
  </si>
  <si>
    <t>MAT 3:12</t>
  </si>
  <si>
    <t>3.13-15</t>
  </si>
  <si>
    <t>MAT 3:13</t>
  </si>
  <si>
    <t>MAT 3:15</t>
  </si>
  <si>
    <t>3.16-17</t>
  </si>
  <si>
    <t>MAT 3:16</t>
  </si>
  <si>
    <t>MAT 3:17</t>
  </si>
  <si>
    <t>MAT 4:1</t>
  </si>
  <si>
    <t>4.2-10</t>
  </si>
  <si>
    <t>MAT 4:2</t>
  </si>
  <si>
    <t>MAT 4:10</t>
  </si>
  <si>
    <t>MAT 4:11</t>
  </si>
  <si>
    <t>MAT 4:12</t>
  </si>
  <si>
    <t>4.13-16</t>
  </si>
  <si>
    <t>MAT 4:13</t>
  </si>
  <si>
    <t>MAT 4:16</t>
  </si>
  <si>
    <t>4.17-18</t>
  </si>
  <si>
    <t>MAT 4:17</t>
  </si>
  <si>
    <t>MAT 4:18</t>
  </si>
  <si>
    <t>4.19-20</t>
  </si>
  <si>
    <t>MAT 4:19</t>
  </si>
  <si>
    <t>MAT 4:20</t>
  </si>
  <si>
    <t>4.21-22</t>
  </si>
  <si>
    <t>MAT 4:21</t>
  </si>
  <si>
    <t>MAT 4:22</t>
  </si>
  <si>
    <t>4.23-25</t>
  </si>
  <si>
    <t>MAT 4:23</t>
  </si>
  <si>
    <t>MAT 4:25</t>
  </si>
  <si>
    <t>MAT 5:1</t>
  </si>
  <si>
    <t>5.2-3</t>
  </si>
  <si>
    <t>MAT 5:2</t>
  </si>
  <si>
    <t>MAT 5:3</t>
  </si>
  <si>
    <t>MAT 5:4</t>
  </si>
  <si>
    <t>MAT 5:5</t>
  </si>
  <si>
    <t>MAT 5:6</t>
  </si>
  <si>
    <t>5.7-10</t>
  </si>
  <si>
    <t>MAT 5:7</t>
  </si>
  <si>
    <t>MAT 5:10</t>
  </si>
  <si>
    <t>5.11-12</t>
  </si>
  <si>
    <t>MAT 5:11</t>
  </si>
  <si>
    <t>MAT 5:12</t>
  </si>
  <si>
    <t>MAT 5:13</t>
  </si>
  <si>
    <t>5.14-16</t>
  </si>
  <si>
    <t>MAT 5:14</t>
  </si>
  <si>
    <t>MAT 5:16</t>
  </si>
  <si>
    <t>MAT 5:17</t>
  </si>
  <si>
    <t>MAT 5:18</t>
  </si>
  <si>
    <t>5.19-24</t>
  </si>
  <si>
    <t>MAT 5:19</t>
  </si>
  <si>
    <t>MAT 5:24</t>
  </si>
  <si>
    <t>MAT 5:25</t>
  </si>
  <si>
    <t>5.27-39A</t>
  </si>
  <si>
    <t>MAT 5:27</t>
  </si>
  <si>
    <t>MAT 5:39</t>
  </si>
  <si>
    <t>5.39B-40</t>
  </si>
  <si>
    <t>MAT 5:40</t>
  </si>
  <si>
    <t>5.41-43</t>
  </si>
  <si>
    <t>MAT 5:41</t>
  </si>
  <si>
    <t>MAT 5:43</t>
  </si>
  <si>
    <t>5.44-45</t>
  </si>
  <si>
    <t>MAT 5:44</t>
  </si>
  <si>
    <t>MAT 5:45</t>
  </si>
  <si>
    <t>5.46-48</t>
  </si>
  <si>
    <t>MAT 5:46</t>
  </si>
  <si>
    <t>MAT 5:48</t>
  </si>
  <si>
    <t>6.1-6</t>
  </si>
  <si>
    <t>MAT 6:1</t>
  </si>
  <si>
    <t>MAT 6:6</t>
  </si>
  <si>
    <t>6.7-13</t>
  </si>
  <si>
    <t>MAT 6:7</t>
  </si>
  <si>
    <t>MAT 6:13</t>
  </si>
  <si>
    <t>6.14-15</t>
  </si>
  <si>
    <t>MAT 6:14</t>
  </si>
  <si>
    <t>MAT 6:15</t>
  </si>
  <si>
    <t>6.16-19</t>
  </si>
  <si>
    <t>MAT 6:16</t>
  </si>
  <si>
    <t>MAT 6:19</t>
  </si>
  <si>
    <t>6.20-21</t>
  </si>
  <si>
    <t>MAT 6:20</t>
  </si>
  <si>
    <t>MAT 6:21</t>
  </si>
  <si>
    <t>6.22-23</t>
  </si>
  <si>
    <t>MAT 6:22</t>
  </si>
  <si>
    <t>MAT 6:23</t>
  </si>
  <si>
    <t>MAT 6:24</t>
  </si>
  <si>
    <t>6.25-34</t>
  </si>
  <si>
    <t>MAT 6:25</t>
  </si>
  <si>
    <t>MAT 6:34</t>
  </si>
  <si>
    <t>7.1-2</t>
  </si>
  <si>
    <t>MAT 7:1</t>
  </si>
  <si>
    <t>MAT 7:2</t>
  </si>
  <si>
    <t>7.3-5</t>
  </si>
  <si>
    <t>MAT 7:3</t>
  </si>
  <si>
    <t>MAT 7:5</t>
  </si>
  <si>
    <t>MAT 7:6</t>
  </si>
  <si>
    <t>7.7-11</t>
  </si>
  <si>
    <t>MAT 7:7</t>
  </si>
  <si>
    <t>MAT 7:11</t>
  </si>
  <si>
    <t>MAT 7:12</t>
  </si>
  <si>
    <t>7.13-14</t>
  </si>
  <si>
    <t>MAT 7:13</t>
  </si>
  <si>
    <t>MAT 7:14</t>
  </si>
  <si>
    <t>7.15-16A</t>
  </si>
  <si>
    <t>MAT 7:15</t>
  </si>
  <si>
    <t>MAT 7:16</t>
  </si>
  <si>
    <t>7.16B</t>
  </si>
  <si>
    <t>7.17-20</t>
  </si>
  <si>
    <t>MAT 7:17</t>
  </si>
  <si>
    <t>MAT 7:20</t>
  </si>
  <si>
    <t>MAT 7:21</t>
  </si>
  <si>
    <t>7.22-23</t>
  </si>
  <si>
    <t>MAT 7:22</t>
  </si>
  <si>
    <t>MAT 7:23</t>
  </si>
  <si>
    <t>7.24-27</t>
  </si>
  <si>
    <t>MAT 7:24</t>
  </si>
  <si>
    <t>MAT 7:27</t>
  </si>
  <si>
    <t>7.28-29</t>
  </si>
  <si>
    <t>MAT 7:28</t>
  </si>
  <si>
    <t>MAT 7:29</t>
  </si>
  <si>
    <t>8.1-4</t>
  </si>
  <si>
    <t>MAT 8:1</t>
  </si>
  <si>
    <t>MAT 8:4</t>
  </si>
  <si>
    <t>8.5-10</t>
  </si>
  <si>
    <t>MAT 8:5</t>
  </si>
  <si>
    <t>MAT 8:10</t>
  </si>
  <si>
    <t>8.11-12</t>
  </si>
  <si>
    <t>MAT 8:11</t>
  </si>
  <si>
    <t>MAT 8:12</t>
  </si>
  <si>
    <t>MAT 8:13</t>
  </si>
  <si>
    <t>8.14-18</t>
  </si>
  <si>
    <t>MAT 8:14</t>
  </si>
  <si>
    <t>MAT 8:18</t>
  </si>
  <si>
    <t>8.19-22</t>
  </si>
  <si>
    <t>MAT 8:19</t>
  </si>
  <si>
    <t>MAT 8:22</t>
  </si>
  <si>
    <t>8.23-34</t>
  </si>
  <si>
    <t>MAT 8:23</t>
  </si>
  <si>
    <t>MAT 8:34</t>
  </si>
  <si>
    <t>9.1-8</t>
  </si>
  <si>
    <t>MAT 9:1</t>
  </si>
  <si>
    <t>MAT 9:8</t>
  </si>
  <si>
    <t>MAT 9:9</t>
  </si>
  <si>
    <t>9.10-11</t>
  </si>
  <si>
    <t>MAT 9:10</t>
  </si>
  <si>
    <t>MAT 9:11</t>
  </si>
  <si>
    <t>9.12-17</t>
  </si>
  <si>
    <t>MAT 9:12</t>
  </si>
  <si>
    <t>MAT 9:17</t>
  </si>
  <si>
    <t>9.18-26</t>
  </si>
  <si>
    <t>MAT 9:18</t>
  </si>
  <si>
    <t>MAT 9:26</t>
  </si>
  <si>
    <t>9.27-34</t>
  </si>
  <si>
    <t>MAT 9:27</t>
  </si>
  <si>
    <t>MAT 9:34</t>
  </si>
  <si>
    <t>MAT 9:35</t>
  </si>
  <si>
    <t>MAT 9:36</t>
  </si>
  <si>
    <t>MAT 9:37</t>
  </si>
  <si>
    <t>MAT 10:1</t>
  </si>
  <si>
    <t>10.2-4</t>
  </si>
  <si>
    <t>MAT 10:2</t>
  </si>
  <si>
    <t>MAT 10:4</t>
  </si>
  <si>
    <t>10.5-6</t>
  </si>
  <si>
    <t>MAT 10:5</t>
  </si>
  <si>
    <t>MAT 10:6</t>
  </si>
  <si>
    <t>10.7-10</t>
  </si>
  <si>
    <t>MAT 10:7</t>
  </si>
  <si>
    <t>MAT 10:10</t>
  </si>
  <si>
    <t>MAT 10:11</t>
  </si>
  <si>
    <t>10.12-13</t>
  </si>
  <si>
    <t>MAT 10:12</t>
  </si>
  <si>
    <t>MAT 10:13</t>
  </si>
  <si>
    <t>10.14-15</t>
  </si>
  <si>
    <t>MAT 10:14</t>
  </si>
  <si>
    <t>MAT 10:15</t>
  </si>
  <si>
    <t>MAT 10:16</t>
  </si>
  <si>
    <t>10.17-18</t>
  </si>
  <si>
    <t>MAT 10:17</t>
  </si>
  <si>
    <t>MAT 10:18</t>
  </si>
  <si>
    <t>10.19-22</t>
  </si>
  <si>
    <t>MAT 10:19</t>
  </si>
  <si>
    <t>MAT 10:22</t>
  </si>
  <si>
    <t>MAT 10:23</t>
  </si>
  <si>
    <t>10.24-25A</t>
  </si>
  <si>
    <t>MAT 10:24</t>
  </si>
  <si>
    <t>MAT 10:25</t>
  </si>
  <si>
    <t>10.25B-26A</t>
  </si>
  <si>
    <t>MAT 10:26</t>
  </si>
  <si>
    <t>10.26B</t>
  </si>
  <si>
    <t>10.27-32</t>
  </si>
  <si>
    <t>MAT 10:27</t>
  </si>
  <si>
    <t>MAT 10:32</t>
  </si>
  <si>
    <t>MAT 10:33</t>
  </si>
  <si>
    <t>10.34-36</t>
  </si>
  <si>
    <t>MAT 10:34</t>
  </si>
  <si>
    <t>MAT 10:36</t>
  </si>
  <si>
    <t>10.37-38</t>
  </si>
  <si>
    <t>MAT 10:37</t>
  </si>
  <si>
    <t>MAT 10:38</t>
  </si>
  <si>
    <t>MAT 10:39</t>
  </si>
  <si>
    <t>MAT 10:41</t>
  </si>
  <si>
    <t>MAT 10:42</t>
  </si>
  <si>
    <t>MAT 11:1</t>
  </si>
  <si>
    <t>11.2-9</t>
  </si>
  <si>
    <t>MAT 11:2</t>
  </si>
  <si>
    <t>MAT 11:9</t>
  </si>
  <si>
    <t>MAT 11:11</t>
  </si>
  <si>
    <t>11.12-13</t>
  </si>
  <si>
    <t>MAT 11:12</t>
  </si>
  <si>
    <t>MAT 11:13</t>
  </si>
  <si>
    <t>11.14-15</t>
  </si>
  <si>
    <t>MAT 11:14</t>
  </si>
  <si>
    <t>MAT 11:15</t>
  </si>
  <si>
    <t>11.16-19</t>
  </si>
  <si>
    <t>MAT 11:16</t>
  </si>
  <si>
    <t>MAT 11:19</t>
  </si>
  <si>
    <t>11.20-23B</t>
  </si>
  <si>
    <t>MAT 11:20</t>
  </si>
  <si>
    <t>MAT 11:23</t>
  </si>
  <si>
    <t>11.23C-24</t>
  </si>
  <si>
    <t>MAT 11:24</t>
  </si>
  <si>
    <t>11.25-26</t>
  </si>
  <si>
    <t>MAT 11:25</t>
  </si>
  <si>
    <t>MAT 11:26</t>
  </si>
  <si>
    <t>11.27A</t>
  </si>
  <si>
    <t>MAT 11:27</t>
  </si>
  <si>
    <t>11.27B</t>
  </si>
  <si>
    <t>11.28-30</t>
  </si>
  <si>
    <t>MAT 11:28</t>
  </si>
  <si>
    <t>MAT 11:30</t>
  </si>
  <si>
    <t>12.1-4</t>
  </si>
  <si>
    <t>MAT 12:1</t>
  </si>
  <si>
    <t>MAT 12:4</t>
  </si>
  <si>
    <t>12.5-8</t>
  </si>
  <si>
    <t>MAT 12:5</t>
  </si>
  <si>
    <t>MAT 12:8</t>
  </si>
  <si>
    <t>12.9-13</t>
  </si>
  <si>
    <t>MAT 12:9</t>
  </si>
  <si>
    <t>MAT 12:13</t>
  </si>
  <si>
    <t>MAT 12:14</t>
  </si>
  <si>
    <t>12.15-21</t>
  </si>
  <si>
    <t>MAT 12:15</t>
  </si>
  <si>
    <t>MAT 12:21</t>
  </si>
  <si>
    <t>MAT 12:22</t>
  </si>
  <si>
    <t>MAT 12:23</t>
  </si>
  <si>
    <t>MAT 12:24</t>
  </si>
  <si>
    <t>12.25-30</t>
  </si>
  <si>
    <t>MAT 12:25</t>
  </si>
  <si>
    <t>MAT 12:30</t>
  </si>
  <si>
    <t>12.31-32</t>
  </si>
  <si>
    <t>MAT 12:31</t>
  </si>
  <si>
    <t>MAT 12:32</t>
  </si>
  <si>
    <t>12.33-34</t>
  </si>
  <si>
    <t>MAT 12:33</t>
  </si>
  <si>
    <t>MAT 12:34</t>
  </si>
  <si>
    <t>MAT 12:35</t>
  </si>
  <si>
    <t>12.36-37</t>
  </si>
  <si>
    <t>MAT 12:36</t>
  </si>
  <si>
    <t>MAT 12:37</t>
  </si>
  <si>
    <t>MAT 12:38</t>
  </si>
  <si>
    <t>12.39-42</t>
  </si>
  <si>
    <t>MAT 12:39</t>
  </si>
  <si>
    <t>MAT 12:42</t>
  </si>
  <si>
    <t>12.43-45</t>
  </si>
  <si>
    <t>MAT 12:43</t>
  </si>
  <si>
    <t>MAT 12:45</t>
  </si>
  <si>
    <t>12.46-50</t>
  </si>
  <si>
    <t>MAT 12:46</t>
  </si>
  <si>
    <t>MAT 12:50</t>
  </si>
  <si>
    <t>13.1-11</t>
  </si>
  <si>
    <t>MAT 13:1</t>
  </si>
  <si>
    <t>MAT 13:11</t>
  </si>
  <si>
    <t>MAT 13:12</t>
  </si>
  <si>
    <t>13.13-15</t>
  </si>
  <si>
    <t>MAT 13:13</t>
  </si>
  <si>
    <t>MAT 13:15</t>
  </si>
  <si>
    <t>13.16-17</t>
  </si>
  <si>
    <t>MAT 13:16</t>
  </si>
  <si>
    <t>MAT 13:17</t>
  </si>
  <si>
    <t>13.18-23</t>
  </si>
  <si>
    <t>MAT 13:18</t>
  </si>
  <si>
    <t>MAT 13:23</t>
  </si>
  <si>
    <t>13.24-30</t>
  </si>
  <si>
    <t>MAT 13:24</t>
  </si>
  <si>
    <t>MAT 13:30</t>
  </si>
  <si>
    <t>13.31-32</t>
  </si>
  <si>
    <t>MAT 13:31</t>
  </si>
  <si>
    <t>MAT 13:32</t>
  </si>
  <si>
    <t>MAT 13:33</t>
  </si>
  <si>
    <t>13.34-35</t>
  </si>
  <si>
    <t>MAT 13:34</t>
  </si>
  <si>
    <t>MAT 13:35</t>
  </si>
  <si>
    <t>13.36-53</t>
  </si>
  <si>
    <t>MAT 13:36</t>
  </si>
  <si>
    <t>MAT 13:53</t>
  </si>
  <si>
    <t>13.54-56</t>
  </si>
  <si>
    <t>MAT 13:54</t>
  </si>
  <si>
    <t>MAT 13:56</t>
  </si>
  <si>
    <t>13.57-58</t>
  </si>
  <si>
    <t>MAT 13:57</t>
  </si>
  <si>
    <t>MAT 13:58</t>
  </si>
  <si>
    <t>14.1-2</t>
  </si>
  <si>
    <t>MAT 14:1</t>
  </si>
  <si>
    <t>MAT 14:2</t>
  </si>
  <si>
    <t>14.3-5</t>
  </si>
  <si>
    <t>MAT 14:3</t>
  </si>
  <si>
    <t>MAT 14:5</t>
  </si>
  <si>
    <t>14.6-12</t>
  </si>
  <si>
    <t>MAT 14:6</t>
  </si>
  <si>
    <t>MAT 14:12</t>
  </si>
  <si>
    <t>14.13-14</t>
  </si>
  <si>
    <t>MAT 14:13</t>
  </si>
  <si>
    <t>MAT 14:14</t>
  </si>
  <si>
    <t>14.15-21</t>
  </si>
  <si>
    <t>MAT 14:15</t>
  </si>
  <si>
    <t>MAT 14:21</t>
  </si>
  <si>
    <t>MAT 14:22</t>
  </si>
  <si>
    <t>14.23A</t>
  </si>
  <si>
    <t>MAT 14:23</t>
  </si>
  <si>
    <t>14.23B-27</t>
  </si>
  <si>
    <t>MAT 14:27</t>
  </si>
  <si>
    <t>14.28-31</t>
  </si>
  <si>
    <t>MAT 14:28</t>
  </si>
  <si>
    <t>MAT 14:31</t>
  </si>
  <si>
    <t>14.32-34</t>
  </si>
  <si>
    <t>MAT 14:32</t>
  </si>
  <si>
    <t>MAT 14:34</t>
  </si>
  <si>
    <t>14.35-36</t>
  </si>
  <si>
    <t>MAT 14:35</t>
  </si>
  <si>
    <t>MAT 14:36</t>
  </si>
  <si>
    <t>15.1-11</t>
  </si>
  <si>
    <t>MAT 15:1</t>
  </si>
  <si>
    <t>MAT 15:11</t>
  </si>
  <si>
    <t>15.12-13</t>
  </si>
  <si>
    <t>MAT 15:12</t>
  </si>
  <si>
    <t>MAT 15:13</t>
  </si>
  <si>
    <t>MAT 15:14</t>
  </si>
  <si>
    <t>15.15-23</t>
  </si>
  <si>
    <t>MAT 15:15</t>
  </si>
  <si>
    <t>MAT 15:23</t>
  </si>
  <si>
    <t>MAT 15:24</t>
  </si>
  <si>
    <t>15.25-28</t>
  </si>
  <si>
    <t>MAT 15:25</t>
  </si>
  <si>
    <t>MAT 15:28</t>
  </si>
  <si>
    <t>15.29-39</t>
  </si>
  <si>
    <t>MAT 15:29</t>
  </si>
  <si>
    <t>MAT 15:39</t>
  </si>
  <si>
    <t>MAT 16:1</t>
  </si>
  <si>
    <t>16.2-3</t>
  </si>
  <si>
    <t>MAT 16:2</t>
  </si>
  <si>
    <t>MAT 16:3</t>
  </si>
  <si>
    <t>MAT 16:4</t>
  </si>
  <si>
    <t>16.5-6</t>
  </si>
  <si>
    <t>MAT 16:5</t>
  </si>
  <si>
    <t>MAT 16:6</t>
  </si>
  <si>
    <t>16.7-12</t>
  </si>
  <si>
    <t>MAT 16:7</t>
  </si>
  <si>
    <t>MAT 16:12</t>
  </si>
  <si>
    <t>16.13-16</t>
  </si>
  <si>
    <t>MAT 16:13</t>
  </si>
  <si>
    <t>MAT 16:16</t>
  </si>
  <si>
    <t>16.17-19</t>
  </si>
  <si>
    <t>MAT 16:17</t>
  </si>
  <si>
    <t>MAT 16:19</t>
  </si>
  <si>
    <t>16.20-21</t>
  </si>
  <si>
    <t>MAT 16:20</t>
  </si>
  <si>
    <t>MAT 16:21</t>
  </si>
  <si>
    <t>16.22-23</t>
  </si>
  <si>
    <t>MAT 16:22</t>
  </si>
  <si>
    <t>MAT 16:23</t>
  </si>
  <si>
    <t>16.24-26</t>
  </si>
  <si>
    <t>MAT 16:24</t>
  </si>
  <si>
    <t>MAT 16:26</t>
  </si>
  <si>
    <t>MAT 16:27</t>
  </si>
  <si>
    <t>16.28-17.9</t>
  </si>
  <si>
    <t>MAT 16:28</t>
  </si>
  <si>
    <t>MAT 17:9</t>
  </si>
  <si>
    <t>17.10-13</t>
  </si>
  <si>
    <t>MAT 17:10</t>
  </si>
  <si>
    <t>MAT 17:13</t>
  </si>
  <si>
    <t>17.14-18</t>
  </si>
  <si>
    <t>MAT 17:14</t>
  </si>
  <si>
    <t>MAT 17:18</t>
  </si>
  <si>
    <t>17.19-21</t>
  </si>
  <si>
    <t>MAT 17:19</t>
  </si>
  <si>
    <t>MAT 17:21</t>
  </si>
  <si>
    <t>17.22-23</t>
  </si>
  <si>
    <t>MAT 17:22</t>
  </si>
  <si>
    <t>MAT 17:23</t>
  </si>
  <si>
    <t>17.24-27</t>
  </si>
  <si>
    <t>MAT 17:24</t>
  </si>
  <si>
    <t>MAT 17:27</t>
  </si>
  <si>
    <t>18.1-5</t>
  </si>
  <si>
    <t>MAT 18:1</t>
  </si>
  <si>
    <t>MAT 18:5</t>
  </si>
  <si>
    <t>18.6-7</t>
  </si>
  <si>
    <t>MAT 18:6</t>
  </si>
  <si>
    <t>MAT 18:7</t>
  </si>
  <si>
    <t>18.8-9</t>
  </si>
  <si>
    <t>MAT 18:8</t>
  </si>
  <si>
    <t>MAT 18:9</t>
  </si>
  <si>
    <t>18.10 (-11, in note)</t>
  </si>
  <si>
    <t>18.12-14</t>
  </si>
  <si>
    <t>MAT 18:12</t>
  </si>
  <si>
    <t>MAT 18:14</t>
  </si>
  <si>
    <t>MAT 18:15</t>
  </si>
  <si>
    <t>18.16-17</t>
  </si>
  <si>
    <t>MAT 18:16</t>
  </si>
  <si>
    <t>MAT 18:17</t>
  </si>
  <si>
    <t>MAT 18:18</t>
  </si>
  <si>
    <t>18.19-20</t>
  </si>
  <si>
    <t>MAT 18:19</t>
  </si>
  <si>
    <t>MAT 18:20</t>
  </si>
  <si>
    <t>18.21-22</t>
  </si>
  <si>
    <t>MAT 18:21</t>
  </si>
  <si>
    <t>MAT 18:22</t>
  </si>
  <si>
    <t>18.23-35</t>
  </si>
  <si>
    <t>MAT 18:23</t>
  </si>
  <si>
    <t>MAT 18:35</t>
  </si>
  <si>
    <t>19.1-8</t>
  </si>
  <si>
    <t>MAT 19:1</t>
  </si>
  <si>
    <t>MAT 19:8</t>
  </si>
  <si>
    <t>MAT 19:9</t>
  </si>
  <si>
    <t>19.10-12</t>
  </si>
  <si>
    <t>MAT 19:10</t>
  </si>
  <si>
    <t>MAT 19:12</t>
  </si>
  <si>
    <t>19.13-15</t>
  </si>
  <si>
    <t>MAT 19:13</t>
  </si>
  <si>
    <t>MAT 19:15</t>
  </si>
  <si>
    <t>19.16-20</t>
  </si>
  <si>
    <t>MAT 19:16</t>
  </si>
  <si>
    <t>MAT 19:20</t>
  </si>
  <si>
    <t>MAT 19:21</t>
  </si>
  <si>
    <t>19.22-27</t>
  </si>
  <si>
    <t>MAT 19:22</t>
  </si>
  <si>
    <t>MAT 19:27</t>
  </si>
  <si>
    <t>19.28A</t>
  </si>
  <si>
    <t>MAT 19:28</t>
  </si>
  <si>
    <t>19.28B</t>
  </si>
  <si>
    <t>MAT 19:29</t>
  </si>
  <si>
    <t>20.1-16</t>
  </si>
  <si>
    <t>MAT 20:1</t>
  </si>
  <si>
    <t>MAT 20:16</t>
  </si>
  <si>
    <t>20.17-19</t>
  </si>
  <si>
    <t>MAT 20:17</t>
  </si>
  <si>
    <t>MAT 20:19</t>
  </si>
  <si>
    <t>20.20-23</t>
  </si>
  <si>
    <t>MAT 20:20</t>
  </si>
  <si>
    <t>MAT 20:23</t>
  </si>
  <si>
    <t>20.24-27</t>
  </si>
  <si>
    <t>MAT 20:24</t>
  </si>
  <si>
    <t>MAT 20:27</t>
  </si>
  <si>
    <t>MAT 20:28</t>
  </si>
  <si>
    <t>20.29-34</t>
  </si>
  <si>
    <t>MAT 20:29</t>
  </si>
  <si>
    <t>MAT 20:34</t>
  </si>
  <si>
    <t>21.1-3</t>
  </si>
  <si>
    <t>MAT 21:1</t>
  </si>
  <si>
    <t>MAT 21:3</t>
  </si>
  <si>
    <t>21.4-5</t>
  </si>
  <si>
    <t>MAT 21:4</t>
  </si>
  <si>
    <t>MAT 21:5</t>
  </si>
  <si>
    <t>21.6-8</t>
  </si>
  <si>
    <t>MAT 21:6</t>
  </si>
  <si>
    <t>MAT 21:8</t>
  </si>
  <si>
    <t>MAT 21:9</t>
  </si>
  <si>
    <t>21.10-11</t>
  </si>
  <si>
    <t>MAT 21:10</t>
  </si>
  <si>
    <t>MAT 21:11</t>
  </si>
  <si>
    <t>21.12-13</t>
  </si>
  <si>
    <t>MAT 21:12</t>
  </si>
  <si>
    <t>MAT 21:13</t>
  </si>
  <si>
    <t>MAT 21:14</t>
  </si>
  <si>
    <t>21.15-16</t>
  </si>
  <si>
    <t>MAT 21:15</t>
  </si>
  <si>
    <t>MAT 21:16</t>
  </si>
  <si>
    <t>21.17-20</t>
  </si>
  <si>
    <t>MAT 21:17</t>
  </si>
  <si>
    <t>MAT 21:20</t>
  </si>
  <si>
    <t>MAT 21:21</t>
  </si>
  <si>
    <t>MAT 21:22</t>
  </si>
  <si>
    <t>21.23-27</t>
  </si>
  <si>
    <t>MAT 21:23</t>
  </si>
  <si>
    <t>MAT 21:27</t>
  </si>
  <si>
    <t>21.28-32</t>
  </si>
  <si>
    <t>MAT 21:28</t>
  </si>
  <si>
    <t>MAT 21:32</t>
  </si>
  <si>
    <t>21.33-44</t>
  </si>
  <si>
    <t>MAT 21:33</t>
  </si>
  <si>
    <t>MAT 21:44</t>
  </si>
  <si>
    <t>21.45-46</t>
  </si>
  <si>
    <t>MAT 21:45</t>
  </si>
  <si>
    <t>MAT 21:46</t>
  </si>
  <si>
    <t>22.1-10</t>
  </si>
  <si>
    <t>MAT 22:1</t>
  </si>
  <si>
    <t>MAT 22:10</t>
  </si>
  <si>
    <t>22.11-14</t>
  </si>
  <si>
    <t>MAT 22:11</t>
  </si>
  <si>
    <t>MAT 22:14</t>
  </si>
  <si>
    <t>22.15-33</t>
  </si>
  <si>
    <t>MAT 22:15</t>
  </si>
  <si>
    <t>MAT 22:33</t>
  </si>
  <si>
    <t>22.34-40</t>
  </si>
  <si>
    <t>MAT 22:34</t>
  </si>
  <si>
    <t>MAT 22:40</t>
  </si>
  <si>
    <t>22.41-45</t>
  </si>
  <si>
    <t>MAT 22:41</t>
  </si>
  <si>
    <t>MAT 22:45</t>
  </si>
  <si>
    <t>MAT 22:46</t>
  </si>
  <si>
    <t>23.1-3</t>
  </si>
  <si>
    <t>MAT 23:1</t>
  </si>
  <si>
    <t>MAT 23:3</t>
  </si>
  <si>
    <t>MAT 23:4</t>
  </si>
  <si>
    <t>23.5-7</t>
  </si>
  <si>
    <t>MAT 23:5</t>
  </si>
  <si>
    <t>MAT 23:7</t>
  </si>
  <si>
    <t>23.8-11</t>
  </si>
  <si>
    <t>MAT 23:8</t>
  </si>
  <si>
    <t>MAT 23:11</t>
  </si>
  <si>
    <t>MAT 23:12</t>
  </si>
  <si>
    <t>23.13 (-14, in note)</t>
  </si>
  <si>
    <t>23.15-22</t>
  </si>
  <si>
    <t>MAT 23:15</t>
  </si>
  <si>
    <t>MAT 23:22</t>
  </si>
  <si>
    <t>MAT 23:23</t>
  </si>
  <si>
    <t>MAT 23:24</t>
  </si>
  <si>
    <t>23.25-26</t>
  </si>
  <si>
    <t>MAT 23:25</t>
  </si>
  <si>
    <t>MAT 23:26</t>
  </si>
  <si>
    <t>23.27-28</t>
  </si>
  <si>
    <t>MAT 23:27</t>
  </si>
  <si>
    <t>MAT 23:28</t>
  </si>
  <si>
    <t>23.29-32</t>
  </si>
  <si>
    <t>MAT 23:29</t>
  </si>
  <si>
    <t>MAT 23:32</t>
  </si>
  <si>
    <t>MAT 23:33</t>
  </si>
  <si>
    <t>23.34-36</t>
  </si>
  <si>
    <t>MAT 23:34</t>
  </si>
  <si>
    <t>MAT 23:36</t>
  </si>
  <si>
    <t>23.37-39</t>
  </si>
  <si>
    <t>MAT 23:37</t>
  </si>
  <si>
    <t>MAT 23:39</t>
  </si>
  <si>
    <t>24.1-2</t>
  </si>
  <si>
    <t>MAT 24:1</t>
  </si>
  <si>
    <t>MAT 24:2</t>
  </si>
  <si>
    <t>24.3-8</t>
  </si>
  <si>
    <t>MAT 24:3</t>
  </si>
  <si>
    <t>MAT 24:8</t>
  </si>
  <si>
    <t>MAT 24:9</t>
  </si>
  <si>
    <t>24.10-13</t>
  </si>
  <si>
    <t>MAT 24:10</t>
  </si>
  <si>
    <t>MAT 24:13</t>
  </si>
  <si>
    <t>MAT 24:14</t>
  </si>
  <si>
    <t>24.15-16</t>
  </si>
  <si>
    <t>MAT 24:15</t>
  </si>
  <si>
    <t>MAT 24:16</t>
  </si>
  <si>
    <t>24.17-18</t>
  </si>
  <si>
    <t>MAT 24:17</t>
  </si>
  <si>
    <t>MAT 24:18</t>
  </si>
  <si>
    <t>MAT 24:19</t>
  </si>
  <si>
    <t>MAT 24:21</t>
  </si>
  <si>
    <t>MAT 24:22</t>
  </si>
  <si>
    <t>MAT 24:23</t>
  </si>
  <si>
    <t>MAT 24:24</t>
  </si>
  <si>
    <t>24.25-26</t>
  </si>
  <si>
    <t>MAT 24:25</t>
  </si>
  <si>
    <t>MAT 24:26</t>
  </si>
  <si>
    <t>MAT 24:27</t>
  </si>
  <si>
    <t>MAT 24:28</t>
  </si>
  <si>
    <t>24.29-30A</t>
  </si>
  <si>
    <t>MAT 24:29</t>
  </si>
  <si>
    <t>MAT 24:30</t>
  </si>
  <si>
    <t>24.30B-35</t>
  </si>
  <si>
    <t>MAT 24:35</t>
  </si>
  <si>
    <t>MAT 24:36</t>
  </si>
  <si>
    <t>24.37-39</t>
  </si>
  <si>
    <t>MAT 24:37</t>
  </si>
  <si>
    <t>MAT 24:39</t>
  </si>
  <si>
    <t>24.40-41</t>
  </si>
  <si>
    <t>MAT 24:40</t>
  </si>
  <si>
    <t>MAT 24:41</t>
  </si>
  <si>
    <t>MAT 24:42</t>
  </si>
  <si>
    <t>24.43-44</t>
  </si>
  <si>
    <t>MAT 24:43</t>
  </si>
  <si>
    <t>MAT 24:44</t>
  </si>
  <si>
    <t>MAT 24:45</t>
  </si>
  <si>
    <t>24.46-47</t>
  </si>
  <si>
    <t>MAT 24:46</t>
  </si>
  <si>
    <t>MAT 24:47</t>
  </si>
  <si>
    <t>24.48-51</t>
  </si>
  <si>
    <t>MAT 24:48</t>
  </si>
  <si>
    <t>MAT 24:51</t>
  </si>
  <si>
    <t>25.1-13</t>
  </si>
  <si>
    <t>MAT 25:1</t>
  </si>
  <si>
    <t>MAT 25:13</t>
  </si>
  <si>
    <t>MAT 25:14</t>
  </si>
  <si>
    <t>25.15-28</t>
  </si>
  <si>
    <t>MAT 25:15</t>
  </si>
  <si>
    <t>MAT 25:28</t>
  </si>
  <si>
    <t>MAT 25:29</t>
  </si>
  <si>
    <t>25.31-26.1</t>
  </si>
  <si>
    <t>MAT 25:31</t>
  </si>
  <si>
    <t>MAT 26:1</t>
  </si>
  <si>
    <t>MAT 26:2</t>
  </si>
  <si>
    <t>26.3-5</t>
  </si>
  <si>
    <t>MAT 26:3</t>
  </si>
  <si>
    <t>MAT 26:5</t>
  </si>
  <si>
    <t>26.6-11</t>
  </si>
  <si>
    <t>MAT 26:6</t>
  </si>
  <si>
    <t>MAT 26:11</t>
  </si>
  <si>
    <t>26.12-13</t>
  </si>
  <si>
    <t>MAT 26:12</t>
  </si>
  <si>
    <t>MAT 26:13</t>
  </si>
  <si>
    <t>26.14-19</t>
  </si>
  <si>
    <t>MAT 26:14</t>
  </si>
  <si>
    <t>MAT 26:19</t>
  </si>
  <si>
    <t>26.20-21</t>
  </si>
  <si>
    <t>MAT 26:20</t>
  </si>
  <si>
    <t>MAT 26:21</t>
  </si>
  <si>
    <t>MAT 26:22</t>
  </si>
  <si>
    <t>26.23-24A</t>
  </si>
  <si>
    <t>MAT 26:23</t>
  </si>
  <si>
    <t>MAT 26:24</t>
  </si>
  <si>
    <t>26.24B</t>
  </si>
  <si>
    <t>MAT 26:25</t>
  </si>
  <si>
    <t>MAT 26:26</t>
  </si>
  <si>
    <t>26.27-29</t>
  </si>
  <si>
    <t>MAT 26:27</t>
  </si>
  <si>
    <t>MAT 26:29</t>
  </si>
  <si>
    <t>26.31A</t>
  </si>
  <si>
    <t>MAT 26:31</t>
  </si>
  <si>
    <t>26.31B-32</t>
  </si>
  <si>
    <t>MAT 26:32</t>
  </si>
  <si>
    <t>26.33-34</t>
  </si>
  <si>
    <t>MAT 26:33</t>
  </si>
  <si>
    <t>MAT 26:34</t>
  </si>
  <si>
    <t>MAT 26:35</t>
  </si>
  <si>
    <t>26.36A</t>
  </si>
  <si>
    <t>MAT 26:36</t>
  </si>
  <si>
    <t>26.36B-37</t>
  </si>
  <si>
    <t>MAT 26:37</t>
  </si>
  <si>
    <t>MAT 26:38</t>
  </si>
  <si>
    <t>26.39AB</t>
  </si>
  <si>
    <t>MAT 26:39</t>
  </si>
  <si>
    <t>26.39C</t>
  </si>
  <si>
    <t>26.40-41A</t>
  </si>
  <si>
    <t>MAT 26:40</t>
  </si>
  <si>
    <t>MAT 26:41</t>
  </si>
  <si>
    <t>26.41B</t>
  </si>
  <si>
    <t>26.42-44</t>
  </si>
  <si>
    <t>MAT 26:42</t>
  </si>
  <si>
    <t>MAT 26:44</t>
  </si>
  <si>
    <t>26.45-46</t>
  </si>
  <si>
    <t>MAT 26:45</t>
  </si>
  <si>
    <t>MAT 26:46</t>
  </si>
  <si>
    <t>MAT 26:47</t>
  </si>
  <si>
    <t>26.48-50</t>
  </si>
  <si>
    <t>MAT 26:48</t>
  </si>
  <si>
    <t>MAT 26:50</t>
  </si>
  <si>
    <t>26.51-52A</t>
  </si>
  <si>
    <t>MAT 26:51</t>
  </si>
  <si>
    <t>MAT 26:52</t>
  </si>
  <si>
    <t>26.52B-54</t>
  </si>
  <si>
    <t>MAT 26:54</t>
  </si>
  <si>
    <t>MAT 26:55</t>
  </si>
  <si>
    <t>MAT 26:56</t>
  </si>
  <si>
    <t>MAT 26:57</t>
  </si>
  <si>
    <t>MAT 26:58</t>
  </si>
  <si>
    <t>26.59-60A</t>
  </si>
  <si>
    <t>MAT 26:59</t>
  </si>
  <si>
    <t>MAT 26:60</t>
  </si>
  <si>
    <t>26.60B-64A</t>
  </si>
  <si>
    <t>MAT 26:64</t>
  </si>
  <si>
    <t>26.64B</t>
  </si>
  <si>
    <t>26.65A</t>
  </si>
  <si>
    <t>MAT 26:65</t>
  </si>
  <si>
    <t>26.65B-66</t>
  </si>
  <si>
    <t>MAT 26:66</t>
  </si>
  <si>
    <t>26.67-68</t>
  </si>
  <si>
    <t>MAT 26:67</t>
  </si>
  <si>
    <t>MAT 26:68</t>
  </si>
  <si>
    <t>26.69-70</t>
  </si>
  <si>
    <t>MAT 26:69</t>
  </si>
  <si>
    <t>MAT 26:70</t>
  </si>
  <si>
    <t>26.71-74</t>
  </si>
  <si>
    <t>MAT 26:71</t>
  </si>
  <si>
    <t>MAT 26:74</t>
  </si>
  <si>
    <t>MAT 26:75</t>
  </si>
  <si>
    <t>MAT 27:1</t>
  </si>
  <si>
    <t>MAT 27:2</t>
  </si>
  <si>
    <t>27.3-10</t>
  </si>
  <si>
    <t>MAT 27:3</t>
  </si>
  <si>
    <t>MAT 27:10</t>
  </si>
  <si>
    <t>MAT 27:11</t>
  </si>
  <si>
    <t>27.12-14</t>
  </si>
  <si>
    <t>MAT 27:12</t>
  </si>
  <si>
    <t>MAT 27:14</t>
  </si>
  <si>
    <t>MAT 27:15</t>
  </si>
  <si>
    <t>27.16-18</t>
  </si>
  <si>
    <t>MAT 27:16</t>
  </si>
  <si>
    <t>MAT 27:18</t>
  </si>
  <si>
    <t>MAT 27:19</t>
  </si>
  <si>
    <t>27.20-21</t>
  </si>
  <si>
    <t>MAT 27:20</t>
  </si>
  <si>
    <t>MAT 27:21</t>
  </si>
  <si>
    <t>27.22-23</t>
  </si>
  <si>
    <t>MAT 27:22</t>
  </si>
  <si>
    <t>MAT 27:23</t>
  </si>
  <si>
    <t>27.24-25</t>
  </si>
  <si>
    <t>MAT 27:24</t>
  </si>
  <si>
    <t>MAT 27:25</t>
  </si>
  <si>
    <t>MAT 27:26</t>
  </si>
  <si>
    <t>27.27-29</t>
  </si>
  <si>
    <t>MAT 27:27</t>
  </si>
  <si>
    <t>MAT 27:29</t>
  </si>
  <si>
    <t>27.30-31</t>
  </si>
  <si>
    <t>MAT 27:30</t>
  </si>
  <si>
    <t>MAT 27:31</t>
  </si>
  <si>
    <t>MAT 27:32</t>
  </si>
  <si>
    <t>MAT 27:33</t>
  </si>
  <si>
    <t>MAT 27:34</t>
  </si>
  <si>
    <t>27.35-36</t>
  </si>
  <si>
    <t>MAT 27:35</t>
  </si>
  <si>
    <t>MAT 27:36</t>
  </si>
  <si>
    <t>MAT 27:37</t>
  </si>
  <si>
    <t>MAT 27:38</t>
  </si>
  <si>
    <t>27.39-40</t>
  </si>
  <si>
    <t>MAT 27:39</t>
  </si>
  <si>
    <t>MAT 27:40</t>
  </si>
  <si>
    <t>27.41-43</t>
  </si>
  <si>
    <t>MAT 27:41</t>
  </si>
  <si>
    <t>MAT 27:43</t>
  </si>
  <si>
    <t>MAT 27:44</t>
  </si>
  <si>
    <t>MAT 27:45</t>
  </si>
  <si>
    <t>27.46-47</t>
  </si>
  <si>
    <t>MAT 27:46</t>
  </si>
  <si>
    <t>MAT 27:47</t>
  </si>
  <si>
    <t>27.48-49</t>
  </si>
  <si>
    <t>MAT 27:48</t>
  </si>
  <si>
    <t>MAT 27:49</t>
  </si>
  <si>
    <t>MAT 27:5</t>
  </si>
  <si>
    <t>27.51A</t>
  </si>
  <si>
    <t>MAT 27:51</t>
  </si>
  <si>
    <t>27.51B-53</t>
  </si>
  <si>
    <t>MAT 27:53</t>
  </si>
  <si>
    <t>MAT 27:54</t>
  </si>
  <si>
    <t>27.55-56</t>
  </si>
  <si>
    <t>MAT 27:55</t>
  </si>
  <si>
    <t>MAT 27:56</t>
  </si>
  <si>
    <t>27.57-58</t>
  </si>
  <si>
    <t>MAT 27:57</t>
  </si>
  <si>
    <t>MAT 27:58</t>
  </si>
  <si>
    <t>27.59-60</t>
  </si>
  <si>
    <t>MAT 27:59</t>
  </si>
  <si>
    <t>MAT 27:60</t>
  </si>
  <si>
    <t>MAT 27:61</t>
  </si>
  <si>
    <t>27.62-66</t>
  </si>
  <si>
    <t>MAT 27:62</t>
  </si>
  <si>
    <t>MAT 27:66</t>
  </si>
  <si>
    <t>28.1-4</t>
  </si>
  <si>
    <t>MAT 28:1</t>
  </si>
  <si>
    <t>MAT 28:4</t>
  </si>
  <si>
    <t>28.5-7</t>
  </si>
  <si>
    <t>MAT 28:5</t>
  </si>
  <si>
    <t>MAT 28:7</t>
  </si>
  <si>
    <t>MAT 28:8</t>
  </si>
  <si>
    <t>28.9-20</t>
  </si>
  <si>
    <t>MAT 28:9</t>
  </si>
  <si>
    <t>MAT 28:20</t>
  </si>
  <si>
    <t>Reference</t>
  </si>
  <si>
    <t>1.1-2</t>
  </si>
  <si>
    <t>MRK 1:1</t>
  </si>
  <si>
    <t>MRK 1:2</t>
  </si>
  <si>
    <t>MRK 1:3</t>
  </si>
  <si>
    <t>1.4-7A</t>
  </si>
  <si>
    <t>MRK 1:4</t>
  </si>
  <si>
    <t>MRK 1:7</t>
  </si>
  <si>
    <t>1.7B-8</t>
  </si>
  <si>
    <t>MRK 1:8</t>
  </si>
  <si>
    <t>1.9-11</t>
  </si>
  <si>
    <t>MRK 1:9</t>
  </si>
  <si>
    <t>MRK 1:11</t>
  </si>
  <si>
    <t>1.12-13B</t>
  </si>
  <si>
    <t>MRK 1:12</t>
  </si>
  <si>
    <t>MRK 1:13</t>
  </si>
  <si>
    <t>1.13C</t>
  </si>
  <si>
    <t>1.14A</t>
  </si>
  <si>
    <t>MRK 1:14</t>
  </si>
  <si>
    <t>1.14B-16</t>
  </si>
  <si>
    <t>MRK 1:16</t>
  </si>
  <si>
    <t>1.17-18</t>
  </si>
  <si>
    <t>MRK 1:17</t>
  </si>
  <si>
    <t>MRK 1:18</t>
  </si>
  <si>
    <t>1.19-20</t>
  </si>
  <si>
    <t>MRK 1:19</t>
  </si>
  <si>
    <t>MRK 1:20</t>
  </si>
  <si>
    <t>MRK 1:21</t>
  </si>
  <si>
    <t>MRK 1:22</t>
  </si>
  <si>
    <t>1.23-28</t>
  </si>
  <si>
    <t>MRK 1:23</t>
  </si>
  <si>
    <t>MRK 1:28</t>
  </si>
  <si>
    <t>1.29-34A</t>
  </si>
  <si>
    <t>MRK 1:29</t>
  </si>
  <si>
    <t>MRK 1:34</t>
  </si>
  <si>
    <t>1.34BC</t>
  </si>
  <si>
    <t>1.35-39</t>
  </si>
  <si>
    <t>MRK 1:35</t>
  </si>
  <si>
    <t>MRK 1:39</t>
  </si>
  <si>
    <t>1.40-44</t>
  </si>
  <si>
    <t>MRK 1:40</t>
  </si>
  <si>
    <t>MRK 1:44</t>
  </si>
  <si>
    <t>MRK 1:45</t>
  </si>
  <si>
    <t>2.1-12</t>
  </si>
  <si>
    <t>MRK 2:1</t>
  </si>
  <si>
    <t>MRK 2:12</t>
  </si>
  <si>
    <t>2.13-14</t>
  </si>
  <si>
    <t>MRK 2:13</t>
  </si>
  <si>
    <t>MRK 2:14</t>
  </si>
  <si>
    <t>2.15-16</t>
  </si>
  <si>
    <t>MRK 2:15</t>
  </si>
  <si>
    <t>MRK 2:16</t>
  </si>
  <si>
    <t>2.17-22</t>
  </si>
  <si>
    <t>MRK 2:17</t>
  </si>
  <si>
    <t>MRK 2:22</t>
  </si>
  <si>
    <t>2.23-26</t>
  </si>
  <si>
    <t>MRK 2:23</t>
  </si>
  <si>
    <t>MRK 2:26</t>
  </si>
  <si>
    <t>2.27-3.5</t>
  </si>
  <si>
    <t>MRK 2:27</t>
  </si>
  <si>
    <t>MRK 3:5</t>
  </si>
  <si>
    <t>3.6-7A</t>
  </si>
  <si>
    <t>MRK 3:6</t>
  </si>
  <si>
    <t>MRK 3:7</t>
  </si>
  <si>
    <t>3.7B-11A</t>
  </si>
  <si>
    <t>MRK 3:11</t>
  </si>
  <si>
    <t>3.11B-12</t>
  </si>
  <si>
    <t>MRK 3:12</t>
  </si>
  <si>
    <t>3.13-16A</t>
  </si>
  <si>
    <t>MRK 3:13</t>
  </si>
  <si>
    <t>MRK 3:16</t>
  </si>
  <si>
    <t>3.16B-19</t>
  </si>
  <si>
    <t>MRK 3:19</t>
  </si>
  <si>
    <t>3.20-21</t>
  </si>
  <si>
    <t>MRK 3:20</t>
  </si>
  <si>
    <t>MRK 3:21</t>
  </si>
  <si>
    <t>MRK 3:22</t>
  </si>
  <si>
    <t>3.23-27</t>
  </si>
  <si>
    <t>MRK 3:23</t>
  </si>
  <si>
    <t>MRK 3:27</t>
  </si>
  <si>
    <t>3.28-30</t>
  </si>
  <si>
    <t>MRK 3:28</t>
  </si>
  <si>
    <t>MRK 3:30</t>
  </si>
  <si>
    <t>3.31-35</t>
  </si>
  <si>
    <t>MRK 3:31</t>
  </si>
  <si>
    <t>MRK 3:35</t>
  </si>
  <si>
    <t>4.1-11B</t>
  </si>
  <si>
    <t>MRK 4:1</t>
  </si>
  <si>
    <t>MRK 4:11</t>
  </si>
  <si>
    <t>4.11C-13</t>
  </si>
  <si>
    <t>MRK 4:13</t>
  </si>
  <si>
    <t>4.14-20</t>
  </si>
  <si>
    <t>MRK 4:14</t>
  </si>
  <si>
    <t>MRK 4:20</t>
  </si>
  <si>
    <t>MRK 4:21</t>
  </si>
  <si>
    <t>4.22-23</t>
  </si>
  <si>
    <t>MRK 4:22</t>
  </si>
  <si>
    <t>MRK 4:23</t>
  </si>
  <si>
    <t>MRK 4:24</t>
  </si>
  <si>
    <t>MRK 4:25</t>
  </si>
  <si>
    <t>4.26-29</t>
  </si>
  <si>
    <t>MRK 4:26</t>
  </si>
  <si>
    <t>MRK 4:29</t>
  </si>
  <si>
    <t>4.30-32</t>
  </si>
  <si>
    <t>MRK 4:30</t>
  </si>
  <si>
    <t>MRK 4:32</t>
  </si>
  <si>
    <t>4.33-34A</t>
  </si>
  <si>
    <t>MRK 4:33</t>
  </si>
  <si>
    <t>MRK 4:34</t>
  </si>
  <si>
    <t>4.34B</t>
  </si>
  <si>
    <t>4.35-5.17</t>
  </si>
  <si>
    <t>MRK 4:35</t>
  </si>
  <si>
    <t>MRK 5:17</t>
  </si>
  <si>
    <t>5.18-20</t>
  </si>
  <si>
    <t>MRK 5:18</t>
  </si>
  <si>
    <t>MRK 5:20</t>
  </si>
  <si>
    <t>5.21-43</t>
  </si>
  <si>
    <t>MRK 5:21</t>
  </si>
  <si>
    <t>MRK 5:43</t>
  </si>
  <si>
    <t>6.1-3</t>
  </si>
  <si>
    <t>MRK 6:1</t>
  </si>
  <si>
    <t>MRK 6:3</t>
  </si>
  <si>
    <t>6.4-6A</t>
  </si>
  <si>
    <t>MRK 6:4</t>
  </si>
  <si>
    <t>MRK 6:6</t>
  </si>
  <si>
    <t>6.6B</t>
  </si>
  <si>
    <t>6.7-9</t>
  </si>
  <si>
    <t>MRK 6:7</t>
  </si>
  <si>
    <t>MRK 6:9</t>
  </si>
  <si>
    <t>MRK 6:11</t>
  </si>
  <si>
    <t>6.12-13</t>
  </si>
  <si>
    <t>MRK 6:12</t>
  </si>
  <si>
    <t>MRK 6:13</t>
  </si>
  <si>
    <t>MRK 6:14</t>
  </si>
  <si>
    <t>6.15-16</t>
  </si>
  <si>
    <t>MRK 6:15</t>
  </si>
  <si>
    <t>MRK 6:16</t>
  </si>
  <si>
    <t>MRK 6:17</t>
  </si>
  <si>
    <t>6.18-29</t>
  </si>
  <si>
    <t>MRK 6:18</t>
  </si>
  <si>
    <t>MRK 6:29</t>
  </si>
  <si>
    <t>MRK 6:31</t>
  </si>
  <si>
    <t>6.32-34</t>
  </si>
  <si>
    <t>MRK 6:32</t>
  </si>
  <si>
    <t>MRK 6:34</t>
  </si>
  <si>
    <t>6.35-44</t>
  </si>
  <si>
    <t>MRK 6:35</t>
  </si>
  <si>
    <t>MRK 6:44</t>
  </si>
  <si>
    <t>MRK 6:45</t>
  </si>
  <si>
    <t>MRK 6:46</t>
  </si>
  <si>
    <t>6.47-50</t>
  </si>
  <si>
    <t>MRK 6:47</t>
  </si>
  <si>
    <t>MRK 6:50</t>
  </si>
  <si>
    <t>6.51-53</t>
  </si>
  <si>
    <t>MRK 6:51</t>
  </si>
  <si>
    <t>MRK 6:53</t>
  </si>
  <si>
    <t>6.54-56</t>
  </si>
  <si>
    <t>MRK 6:54</t>
  </si>
  <si>
    <t>MRK 6:56</t>
  </si>
  <si>
    <t>7.1-4</t>
  </si>
  <si>
    <t>MRK 7:1</t>
  </si>
  <si>
    <t>MRK 7:4</t>
  </si>
  <si>
    <t>7.5-16</t>
  </si>
  <si>
    <t>MRK 7:5</t>
  </si>
  <si>
    <t>7.17-26A</t>
  </si>
  <si>
    <t>MRK 7:17</t>
  </si>
  <si>
    <t>MRK 7:26</t>
  </si>
  <si>
    <t>7.26B-30</t>
  </si>
  <si>
    <t>MRK 7:30</t>
  </si>
  <si>
    <t>7.31-36A</t>
  </si>
  <si>
    <t>MRK 7:31</t>
  </si>
  <si>
    <t>MRK 7:36</t>
  </si>
  <si>
    <t>7.36B-37A</t>
  </si>
  <si>
    <t>MRK 7:37</t>
  </si>
  <si>
    <t>7.37B-8.10</t>
  </si>
  <si>
    <t>MRK 8:10</t>
  </si>
  <si>
    <t>MRK 8:11</t>
  </si>
  <si>
    <t>8.12-14</t>
  </si>
  <si>
    <t>MRK 8:12</t>
  </si>
  <si>
    <t>MRK 8:14</t>
  </si>
  <si>
    <t>MRK 8:15</t>
  </si>
  <si>
    <t>8.16-21</t>
  </si>
  <si>
    <t>MRK 8:16</t>
  </si>
  <si>
    <t>MRK 8:21</t>
  </si>
  <si>
    <t>8.22-26</t>
  </si>
  <si>
    <t>MRK 8:22</t>
  </si>
  <si>
    <t>MRK 8:26</t>
  </si>
  <si>
    <t>8.27-29A</t>
  </si>
  <si>
    <t>MRK 8:27</t>
  </si>
  <si>
    <t>MRK 8:29</t>
  </si>
  <si>
    <t>8.29B-32A</t>
  </si>
  <si>
    <t>MRK 8:32</t>
  </si>
  <si>
    <t>8.32B-33</t>
  </si>
  <si>
    <t>MRK 8:33</t>
  </si>
  <si>
    <t>8.34-37</t>
  </si>
  <si>
    <t>MRK 8:34</t>
  </si>
  <si>
    <t>MRK 8:37</t>
  </si>
  <si>
    <t>MRK 8:38</t>
  </si>
  <si>
    <t>9.1-9</t>
  </si>
  <si>
    <t>MRK 9:1</t>
  </si>
  <si>
    <t>MRK 9:9</t>
  </si>
  <si>
    <t>9.11-13</t>
  </si>
  <si>
    <t>MRK 9:11</t>
  </si>
  <si>
    <t>MRK 9:13</t>
  </si>
  <si>
    <t>9.14-16</t>
  </si>
  <si>
    <t>MRK 9:14</t>
  </si>
  <si>
    <t>MRK 9:16</t>
  </si>
  <si>
    <t>9.17-27</t>
  </si>
  <si>
    <t>MRK 9:17</t>
  </si>
  <si>
    <t>MRK 9:27</t>
  </si>
  <si>
    <t>9.28-29</t>
  </si>
  <si>
    <t>MRK 9:28</t>
  </si>
  <si>
    <t>MRK 9:29</t>
  </si>
  <si>
    <t>9.30-32</t>
  </si>
  <si>
    <t>MRK 9:30</t>
  </si>
  <si>
    <t>MRK 9:32</t>
  </si>
  <si>
    <t>MRK 9:33</t>
  </si>
  <si>
    <t>9.34-37A</t>
  </si>
  <si>
    <t>MRK 9:34</t>
  </si>
  <si>
    <t>MRK 9:37</t>
  </si>
  <si>
    <t>9.37B</t>
  </si>
  <si>
    <t>9.38-40</t>
  </si>
  <si>
    <t>MRK 9:38</t>
  </si>
  <si>
    <t>MRK 9:40</t>
  </si>
  <si>
    <t>MRK 9:41</t>
  </si>
  <si>
    <t>MRK 9:42</t>
  </si>
  <si>
    <t>9.43-47</t>
  </si>
  <si>
    <t>MRK 9:43</t>
  </si>
  <si>
    <t>MRK 9:47</t>
  </si>
  <si>
    <t>MRK 9:49</t>
  </si>
  <si>
    <t>10.1-9</t>
  </si>
  <si>
    <t>MRK 10:1</t>
  </si>
  <si>
    <t>MRK 10:9</t>
  </si>
  <si>
    <t>10.11-12</t>
  </si>
  <si>
    <t>MRK 10:11</t>
  </si>
  <si>
    <t>MRK 10:12</t>
  </si>
  <si>
    <t>10.13-16</t>
  </si>
  <si>
    <t>MRK 10:13</t>
  </si>
  <si>
    <t>MRK 10:16</t>
  </si>
  <si>
    <t>10.17-21A</t>
  </si>
  <si>
    <t>MRK 10:17</t>
  </si>
  <si>
    <t>MRK 10:21</t>
  </si>
  <si>
    <t>10.21B</t>
  </si>
  <si>
    <t>10.22-28</t>
  </si>
  <si>
    <t>MRK 10:22</t>
  </si>
  <si>
    <t>MRK 10:28</t>
  </si>
  <si>
    <t>10.29-30</t>
  </si>
  <si>
    <t>MRK 10:29</t>
  </si>
  <si>
    <t>MRK 10:30</t>
  </si>
  <si>
    <t>MRK 10:31</t>
  </si>
  <si>
    <t>10.32-34</t>
  </si>
  <si>
    <t>MRK 10:32</t>
  </si>
  <si>
    <t>MRK 10:34</t>
  </si>
  <si>
    <t>10.35-40</t>
  </si>
  <si>
    <t>MRK 10:35</t>
  </si>
  <si>
    <t>MRK 10:40</t>
  </si>
  <si>
    <t>10.41-44</t>
  </si>
  <si>
    <t>MRK 10:41</t>
  </si>
  <si>
    <t>MRK 10:44</t>
  </si>
  <si>
    <t>MRK 10:45</t>
  </si>
  <si>
    <t>10.46-52</t>
  </si>
  <si>
    <t>MRK 10:46</t>
  </si>
  <si>
    <t>MRK 10:52</t>
  </si>
  <si>
    <t>11.1-3</t>
  </si>
  <si>
    <t>MRK 11:1</t>
  </si>
  <si>
    <t>MRK 11:3</t>
  </si>
  <si>
    <t>11.4-8</t>
  </si>
  <si>
    <t>MRK 11:4</t>
  </si>
  <si>
    <t>MRK 11:8</t>
  </si>
  <si>
    <t>11.9-10</t>
  </si>
  <si>
    <t>MRK 11:9</t>
  </si>
  <si>
    <t>MRK 11:10</t>
  </si>
  <si>
    <t>11.11-15A</t>
  </si>
  <si>
    <t>MRK 11:11</t>
  </si>
  <si>
    <t>MRK 11:15</t>
  </si>
  <si>
    <t>11.15B-17</t>
  </si>
  <si>
    <t>MRK 11:17</t>
  </si>
  <si>
    <t>MRK 11:18</t>
  </si>
  <si>
    <t>11.19-21</t>
  </si>
  <si>
    <t>MRK 11:19</t>
  </si>
  <si>
    <t>MRK 11:21</t>
  </si>
  <si>
    <t>11.22-23</t>
  </si>
  <si>
    <t>MRK 11:22</t>
  </si>
  <si>
    <t>MRK 11:23</t>
  </si>
  <si>
    <t>MRK 11:24</t>
  </si>
  <si>
    <t>11.25 (-26, in note)</t>
  </si>
  <si>
    <t>11.27-33</t>
  </si>
  <si>
    <t>MRK 11:27</t>
  </si>
  <si>
    <t>MRK 11:33</t>
  </si>
  <si>
    <t>12.1-11</t>
  </si>
  <si>
    <t>MRK 12:1</t>
  </si>
  <si>
    <t>MRK 12:11</t>
  </si>
  <si>
    <t>MRK 12:12</t>
  </si>
  <si>
    <t>12.13-27</t>
  </si>
  <si>
    <t>MRK 12:13</t>
  </si>
  <si>
    <t>MRK 12:27</t>
  </si>
  <si>
    <t>12.28-31</t>
  </si>
  <si>
    <t>MRK 12:28</t>
  </si>
  <si>
    <t>MRK 12:31</t>
  </si>
  <si>
    <t>12.32-34A</t>
  </si>
  <si>
    <t>MRK 12:32</t>
  </si>
  <si>
    <t>MRK 12:34</t>
  </si>
  <si>
    <t>12.34B</t>
  </si>
  <si>
    <t>12.35-37</t>
  </si>
  <si>
    <t>MRK 12:35</t>
  </si>
  <si>
    <t>MRK 12:37</t>
  </si>
  <si>
    <t>12.38-39</t>
  </si>
  <si>
    <t>MRK 12:38</t>
  </si>
  <si>
    <t>MRK 12:39</t>
  </si>
  <si>
    <t>12.40-44</t>
  </si>
  <si>
    <t>MRK 12:40</t>
  </si>
  <si>
    <t>MRK 12:44</t>
  </si>
  <si>
    <t>13.1-2</t>
  </si>
  <si>
    <t>MRK 13:1</t>
  </si>
  <si>
    <t>MRK 13:2</t>
  </si>
  <si>
    <t>13.3-8</t>
  </si>
  <si>
    <t>MRK 13:3</t>
  </si>
  <si>
    <t>MRK 13:8</t>
  </si>
  <si>
    <t>MRK 13:9</t>
  </si>
  <si>
    <t>13.11-13</t>
  </si>
  <si>
    <t>MRK 13:11</t>
  </si>
  <si>
    <t>MRK 13:13</t>
  </si>
  <si>
    <t>13.14A</t>
  </si>
  <si>
    <t>MRK 13:14</t>
  </si>
  <si>
    <t>13.14B-16</t>
  </si>
  <si>
    <t>MRK 13:16</t>
  </si>
  <si>
    <t>MRK 13:17</t>
  </si>
  <si>
    <t>MRK 13:18</t>
  </si>
  <si>
    <t>MRK 13:19</t>
  </si>
  <si>
    <t>MRK 13:21</t>
  </si>
  <si>
    <t>13.22-23</t>
  </si>
  <si>
    <t>MRK 13:22</t>
  </si>
  <si>
    <t>MRK 13:23</t>
  </si>
  <si>
    <t>13.24-25</t>
  </si>
  <si>
    <t>MRK 13:24</t>
  </si>
  <si>
    <t>MRK 13:25</t>
  </si>
  <si>
    <t>13.26-31</t>
  </si>
  <si>
    <t>MRK 13:26</t>
  </si>
  <si>
    <t>MRK 13:31</t>
  </si>
  <si>
    <t>MRK 13:32</t>
  </si>
  <si>
    <t>MRK 13:33</t>
  </si>
  <si>
    <t>MRK 13:34</t>
  </si>
  <si>
    <t>13.35-37</t>
  </si>
  <si>
    <t>MRK 13:35</t>
  </si>
  <si>
    <t>MRK 13:37</t>
  </si>
  <si>
    <t>14.1A</t>
  </si>
  <si>
    <t>MRK 14:1</t>
  </si>
  <si>
    <t>14.1B-2</t>
  </si>
  <si>
    <t>MRK 14:2</t>
  </si>
  <si>
    <t>14.3-7</t>
  </si>
  <si>
    <t>MRK 14:3</t>
  </si>
  <si>
    <t>MRK 14:7</t>
  </si>
  <si>
    <t>14.8-9</t>
  </si>
  <si>
    <t>MRK 14:8</t>
  </si>
  <si>
    <t>MRK 14:9</t>
  </si>
  <si>
    <t>14.10-16</t>
  </si>
  <si>
    <t>MRK 14:10</t>
  </si>
  <si>
    <t>MRK 14:16</t>
  </si>
  <si>
    <t>14.17-18</t>
  </si>
  <si>
    <t>MRK 14:17</t>
  </si>
  <si>
    <t>MRK 14:18</t>
  </si>
  <si>
    <t>MRK 14:19</t>
  </si>
  <si>
    <t>14.20-21A</t>
  </si>
  <si>
    <t>MRK 14:20</t>
  </si>
  <si>
    <t>MRK 14:21</t>
  </si>
  <si>
    <t>14.21B</t>
  </si>
  <si>
    <t>MRK 14:22</t>
  </si>
  <si>
    <t>14.23-25</t>
  </si>
  <si>
    <t>MRK 14:23</t>
  </si>
  <si>
    <t>MRK 14:25</t>
  </si>
  <si>
    <t>14.26-27A</t>
  </si>
  <si>
    <t>MRK 14:26</t>
  </si>
  <si>
    <t>MRK 14:27</t>
  </si>
  <si>
    <t>14.27B</t>
  </si>
  <si>
    <t>14.27C-28</t>
  </si>
  <si>
    <t>MRK 14:28</t>
  </si>
  <si>
    <t>14.29-30</t>
  </si>
  <si>
    <t>MRK 14:29</t>
  </si>
  <si>
    <t>MRK 14:30</t>
  </si>
  <si>
    <t>MRK 14:31</t>
  </si>
  <si>
    <t>14.32A</t>
  </si>
  <si>
    <t>MRK 14:32</t>
  </si>
  <si>
    <t>14.32B-33</t>
  </si>
  <si>
    <t>MRK 14:33</t>
  </si>
  <si>
    <t>MRK 14:34</t>
  </si>
  <si>
    <t>14.35-36B</t>
  </si>
  <si>
    <t>MRK 14:35</t>
  </si>
  <si>
    <t>MRK 14:36</t>
  </si>
  <si>
    <t>14.36C</t>
  </si>
  <si>
    <t>14.37-38A</t>
  </si>
  <si>
    <t>MRK 14:37</t>
  </si>
  <si>
    <t>MRK 14:38</t>
  </si>
  <si>
    <t>14.38B</t>
  </si>
  <si>
    <t>14.39-40</t>
  </si>
  <si>
    <t>MRK 14:39</t>
  </si>
  <si>
    <t>MRK 14:40</t>
  </si>
  <si>
    <t>14.41-42</t>
  </si>
  <si>
    <t>MRK 14:41</t>
  </si>
  <si>
    <t>MRK 14:42</t>
  </si>
  <si>
    <t>MRK 14:43</t>
  </si>
  <si>
    <t>14.44-46</t>
  </si>
  <si>
    <t>MRK 14:44</t>
  </si>
  <si>
    <t>MRK 14:46</t>
  </si>
  <si>
    <t>MRK 14:47</t>
  </si>
  <si>
    <t>14.48-49A</t>
  </si>
  <si>
    <t>MRK 14:48</t>
  </si>
  <si>
    <t>MRK 14:49</t>
  </si>
  <si>
    <t>14.49B-50</t>
  </si>
  <si>
    <t>MRK 14:50</t>
  </si>
  <si>
    <t>14.51-52</t>
  </si>
  <si>
    <t>MRK 14:51</t>
  </si>
  <si>
    <t>MRK 14:52</t>
  </si>
  <si>
    <t>MRK 14:53</t>
  </si>
  <si>
    <t>MRK 14:54</t>
  </si>
  <si>
    <t>14.55-56</t>
  </si>
  <si>
    <t>MRK 14:55</t>
  </si>
  <si>
    <t>MRK 14:56</t>
  </si>
  <si>
    <t>14.57-61</t>
  </si>
  <si>
    <t>MRK 14:57</t>
  </si>
  <si>
    <t>MRK 14:61</t>
  </si>
  <si>
    <t>MRK 14:62</t>
  </si>
  <si>
    <t>14.63A</t>
  </si>
  <si>
    <t>MRK 14:63</t>
  </si>
  <si>
    <t>14.63B-64</t>
  </si>
  <si>
    <t>MRK 14:64</t>
  </si>
  <si>
    <t>MRK 14:65</t>
  </si>
  <si>
    <t>14.66-68A</t>
  </si>
  <si>
    <t>MRK 14:66</t>
  </si>
  <si>
    <t>MRK 14:68</t>
  </si>
  <si>
    <t>14.68B-72A</t>
  </si>
  <si>
    <t>MRK 14:72</t>
  </si>
  <si>
    <t>14.72BC</t>
  </si>
  <si>
    <t>15.1A</t>
  </si>
  <si>
    <t>MRK 15:1</t>
  </si>
  <si>
    <t>15.1B</t>
  </si>
  <si>
    <t>MRK 15:2</t>
  </si>
  <si>
    <t>15.3-5</t>
  </si>
  <si>
    <t>MRK 15:3</t>
  </si>
  <si>
    <t>MRK 15:5</t>
  </si>
  <si>
    <t>MRK 15:6</t>
  </si>
  <si>
    <t>15.7-10</t>
  </si>
  <si>
    <t>MRK 15:7</t>
  </si>
  <si>
    <t>MRK 15:10</t>
  </si>
  <si>
    <t>MRK 15:11</t>
  </si>
  <si>
    <t>15.12-14</t>
  </si>
  <si>
    <t>MRK 15:12</t>
  </si>
  <si>
    <t>MRK 15:14</t>
  </si>
  <si>
    <t>MRK 15:15</t>
  </si>
  <si>
    <t>15.16-19</t>
  </si>
  <si>
    <t>MRK 15:16</t>
  </si>
  <si>
    <t>MRK 15:19</t>
  </si>
  <si>
    <t>MRK 15:21</t>
  </si>
  <si>
    <t>MRK 15:22</t>
  </si>
  <si>
    <t>MRK 15:23</t>
  </si>
  <si>
    <t>MRK 15:24</t>
  </si>
  <si>
    <t>MRK 15:25</t>
  </si>
  <si>
    <t>MRK 15:26</t>
  </si>
  <si>
    <t>MRK 15:27</t>
  </si>
  <si>
    <t>15.28 (in note)</t>
  </si>
  <si>
    <t>15.29-30</t>
  </si>
  <si>
    <t>MRK 15:29</t>
  </si>
  <si>
    <t>MRK 15:30</t>
  </si>
  <si>
    <t>15.31-32A</t>
  </si>
  <si>
    <t>MRK 15:31</t>
  </si>
  <si>
    <t>MRK 15:32</t>
  </si>
  <si>
    <t>15.32B</t>
  </si>
  <si>
    <t>MRK 15:33</t>
  </si>
  <si>
    <t>15.34-35</t>
  </si>
  <si>
    <t>MRK 15:34</t>
  </si>
  <si>
    <t>MRK 15:35</t>
  </si>
  <si>
    <t>MRK 15:36</t>
  </si>
  <si>
    <t>MRK 15:37</t>
  </si>
  <si>
    <t>MRK 15:38</t>
  </si>
  <si>
    <t>MRK 15:39</t>
  </si>
  <si>
    <t>15.40-41</t>
  </si>
  <si>
    <t>MRK 15:40</t>
  </si>
  <si>
    <t>MRK 15:41</t>
  </si>
  <si>
    <t>15.42-45</t>
  </si>
  <si>
    <t>MRK 15:42</t>
  </si>
  <si>
    <t>MRK 15:45</t>
  </si>
  <si>
    <t>MRK 15:46</t>
  </si>
  <si>
    <t>MRK 15:47</t>
  </si>
  <si>
    <t>MRK 16:1</t>
  </si>
  <si>
    <t>16.2-5</t>
  </si>
  <si>
    <t>MRK 16:2</t>
  </si>
  <si>
    <t>MRK 16:5</t>
  </si>
  <si>
    <t>16.6-7</t>
  </si>
  <si>
    <t>MRK 16:6</t>
  </si>
  <si>
    <t>MRK 16:7</t>
  </si>
  <si>
    <t>MRK 16:8</t>
  </si>
  <si>
    <t>MRK 16:9</t>
  </si>
  <si>
    <t>16.10-11</t>
  </si>
  <si>
    <t>MRK 16:10</t>
  </si>
  <si>
    <t>MRK 16:11</t>
  </si>
  <si>
    <t>16.12-13</t>
  </si>
  <si>
    <t>MRK 16:12</t>
  </si>
  <si>
    <t>MRK 16:13</t>
  </si>
  <si>
    <t>MRK 16:14</t>
  </si>
  <si>
    <t>16.15-16</t>
  </si>
  <si>
    <t>MRK 16:15</t>
  </si>
  <si>
    <t>MRK 16:16</t>
  </si>
  <si>
    <t>16.17-18</t>
  </si>
  <si>
    <t>MRK 16:17</t>
  </si>
  <si>
    <t>MRK 16:18</t>
  </si>
  <si>
    <t>MRK 16:19</t>
  </si>
  <si>
    <t>MRK 16:20</t>
  </si>
  <si>
    <t>1.1-34</t>
  </si>
  <si>
    <t>LUK 1:1</t>
  </si>
  <si>
    <t>LUK 1:34</t>
  </si>
  <si>
    <t>LUK 1:35</t>
  </si>
  <si>
    <t>1.36-2.46</t>
  </si>
  <si>
    <t>LUK 1:36</t>
  </si>
  <si>
    <t>LUK 2:46</t>
  </si>
  <si>
    <t>2.47-48A</t>
  </si>
  <si>
    <t>LUK 2:47</t>
  </si>
  <si>
    <t>LUK 2:48</t>
  </si>
  <si>
    <t>2.48B-52</t>
  </si>
  <si>
    <t>LUK 2:52</t>
  </si>
  <si>
    <t>LUK 3:1</t>
  </si>
  <si>
    <t>LUK 3:2</t>
  </si>
  <si>
    <t>3.3-6</t>
  </si>
  <si>
    <t>LUK 3:3</t>
  </si>
  <si>
    <t>LUK 3:6</t>
  </si>
  <si>
    <t>3.7-9</t>
  </si>
  <si>
    <t>LUK 3:7</t>
  </si>
  <si>
    <t>LUK 3:9</t>
  </si>
  <si>
    <t>3.10-16A</t>
  </si>
  <si>
    <t>LUK 3:10</t>
  </si>
  <si>
    <t>LUK 3:16</t>
  </si>
  <si>
    <t>3.16B-E</t>
  </si>
  <si>
    <t>3.17-18</t>
  </si>
  <si>
    <t>LUK 3:17</t>
  </si>
  <si>
    <t>LUK 3:18</t>
  </si>
  <si>
    <t>3.19-20</t>
  </si>
  <si>
    <t>LUK 3:19</t>
  </si>
  <si>
    <t>LUK 3:20</t>
  </si>
  <si>
    <t>3.21-22</t>
  </si>
  <si>
    <t>LUK 3:21</t>
  </si>
  <si>
    <t>LUK 3:22</t>
  </si>
  <si>
    <t>3.23-38</t>
  </si>
  <si>
    <t>LUK 3:23</t>
  </si>
  <si>
    <t>LUK 3:38</t>
  </si>
  <si>
    <t>4.1-2A</t>
  </si>
  <si>
    <t>LUK 4:1</t>
  </si>
  <si>
    <t>LUK 4:2</t>
  </si>
  <si>
    <t>4.2B-13</t>
  </si>
  <si>
    <t>LUK 4:13</t>
  </si>
  <si>
    <t>4.14-15</t>
  </si>
  <si>
    <t>LUK 4:14</t>
  </si>
  <si>
    <t>LUK 4:15</t>
  </si>
  <si>
    <t>4.16-21</t>
  </si>
  <si>
    <t>LUK 4:16</t>
  </si>
  <si>
    <t>LUK 4:21</t>
  </si>
  <si>
    <t>LUK 4:22</t>
  </si>
  <si>
    <t>LUK 4:23</t>
  </si>
  <si>
    <t>LUK 4:24</t>
  </si>
  <si>
    <t>4.25-30</t>
  </si>
  <si>
    <t>LUK 4:25</t>
  </si>
  <si>
    <t>LUK 4:30</t>
  </si>
  <si>
    <t>LUK 4:31</t>
  </si>
  <si>
    <t>LUK 4:32</t>
  </si>
  <si>
    <t>4.33-37</t>
  </si>
  <si>
    <t>LUK 4:33</t>
  </si>
  <si>
    <t>LUK 4:37</t>
  </si>
  <si>
    <t>4.38-40</t>
  </si>
  <si>
    <t>LUK 4:38</t>
  </si>
  <si>
    <t>LUK 4:40</t>
  </si>
  <si>
    <t>LUK 4:41</t>
  </si>
  <si>
    <t>4.42-44</t>
  </si>
  <si>
    <t>LUK 4:42</t>
  </si>
  <si>
    <t>LUK 4:44</t>
  </si>
  <si>
    <t>5.1-3</t>
  </si>
  <si>
    <t>LUK 5:1</t>
  </si>
  <si>
    <t>LUK 5:3</t>
  </si>
  <si>
    <t>5.4-7</t>
  </si>
  <si>
    <t>LUK 5:4</t>
  </si>
  <si>
    <t>LUK 5:7</t>
  </si>
  <si>
    <t>5.8-10A</t>
  </si>
  <si>
    <t>LUK 5:8</t>
  </si>
  <si>
    <t>LUK 5:10</t>
  </si>
  <si>
    <t>5.10B-11</t>
  </si>
  <si>
    <t>LUK 5:11</t>
  </si>
  <si>
    <t>5.12-14</t>
  </si>
  <si>
    <t>LUK 5:12</t>
  </si>
  <si>
    <t>LUK 5:14</t>
  </si>
  <si>
    <t>LUK 5:15</t>
  </si>
  <si>
    <t>LUK 5:16</t>
  </si>
  <si>
    <t>LUK 5:17</t>
  </si>
  <si>
    <t>5.18-26</t>
  </si>
  <si>
    <t>LUK 5:18</t>
  </si>
  <si>
    <t>LUK 5:26</t>
  </si>
  <si>
    <t>5.27-28</t>
  </si>
  <si>
    <t>LUK 5:27</t>
  </si>
  <si>
    <t>LUK 5:28</t>
  </si>
  <si>
    <t>5.29-30</t>
  </si>
  <si>
    <t>LUK 5:29</t>
  </si>
  <si>
    <t>LUK 5:30</t>
  </si>
  <si>
    <t>5.31-39</t>
  </si>
  <si>
    <t>LUK 5:31</t>
  </si>
  <si>
    <t>LUK 5:39</t>
  </si>
  <si>
    <t>6.1-5</t>
  </si>
  <si>
    <t>LUK 6:1</t>
  </si>
  <si>
    <t>LUK 6:5</t>
  </si>
  <si>
    <t>6.6-11</t>
  </si>
  <si>
    <t>LUK 6:6</t>
  </si>
  <si>
    <t>LUK 6:11</t>
  </si>
  <si>
    <t>LUK 6:12</t>
  </si>
  <si>
    <t>6.13-16</t>
  </si>
  <si>
    <t>LUK 6:13</t>
  </si>
  <si>
    <t>LUK 6:16</t>
  </si>
  <si>
    <t>6.17-19</t>
  </si>
  <si>
    <t>LUK 6:17</t>
  </si>
  <si>
    <t>LUK 6:19</t>
  </si>
  <si>
    <t>6.21A</t>
  </si>
  <si>
    <t>LUK 6:21</t>
  </si>
  <si>
    <t>6.21B</t>
  </si>
  <si>
    <t>LUK 6:22</t>
  </si>
  <si>
    <t>LUK 6:23</t>
  </si>
  <si>
    <t>6.24-25</t>
  </si>
  <si>
    <t>LUK 6:24</t>
  </si>
  <si>
    <t>LUK 6:25</t>
  </si>
  <si>
    <t>LUK 6:26</t>
  </si>
  <si>
    <t>6.27-28</t>
  </si>
  <si>
    <t>LUK 6:27</t>
  </si>
  <si>
    <t>LUK 6:28</t>
  </si>
  <si>
    <t>6.29-30</t>
  </si>
  <si>
    <t>LUK 6:29</t>
  </si>
  <si>
    <t>LUK 6:30</t>
  </si>
  <si>
    <t>LUK 6:31</t>
  </si>
  <si>
    <t>6.32-35</t>
  </si>
  <si>
    <t>LUK 6:32</t>
  </si>
  <si>
    <t>LUK 6:35</t>
  </si>
  <si>
    <t>6.36-38</t>
  </si>
  <si>
    <t>LUK 6:36</t>
  </si>
  <si>
    <t>LUK 6:38</t>
  </si>
  <si>
    <t>LUK 6:39</t>
  </si>
  <si>
    <t>6.41-42</t>
  </si>
  <si>
    <t>LUK 6:41</t>
  </si>
  <si>
    <t>LUK 6:42</t>
  </si>
  <si>
    <t>6.43-44A</t>
  </si>
  <si>
    <t>LUK 6:43</t>
  </si>
  <si>
    <t>LUK 6:44</t>
  </si>
  <si>
    <t>6.44B</t>
  </si>
  <si>
    <t>LUK 6:45</t>
  </si>
  <si>
    <t>LUK 6:46</t>
  </si>
  <si>
    <t>6.47-49</t>
  </si>
  <si>
    <t>LUK 6:47</t>
  </si>
  <si>
    <t>LUK 6:49</t>
  </si>
  <si>
    <t>7.1-9</t>
  </si>
  <si>
    <t>LUK 7:1</t>
  </si>
  <si>
    <t>LUK 7:9</t>
  </si>
  <si>
    <t>7.11-16</t>
  </si>
  <si>
    <t>LUK 7:11</t>
  </si>
  <si>
    <t>LUK 7:16</t>
  </si>
  <si>
    <t>LUK 7:17</t>
  </si>
  <si>
    <t>7.18-26</t>
  </si>
  <si>
    <t>LUK 7:18</t>
  </si>
  <si>
    <t>LUK 7:26</t>
  </si>
  <si>
    <t>LUK 7:27</t>
  </si>
  <si>
    <t>LUK 7:28</t>
  </si>
  <si>
    <t>7.29-30</t>
  </si>
  <si>
    <t>LUK 7:29</t>
  </si>
  <si>
    <t>LUK 7:30</t>
  </si>
  <si>
    <t>7.31-35</t>
  </si>
  <si>
    <t>LUK 7:31</t>
  </si>
  <si>
    <t>LUK 7:35</t>
  </si>
  <si>
    <t>7.36-50</t>
  </si>
  <si>
    <t>LUK 7:36</t>
  </si>
  <si>
    <t>LUK 7:50</t>
  </si>
  <si>
    <t>8.1-3</t>
  </si>
  <si>
    <t>LUK 8:1</t>
  </si>
  <si>
    <t>LUK 8:3</t>
  </si>
  <si>
    <t>8.4-10A</t>
  </si>
  <si>
    <t>LUK 8:4</t>
  </si>
  <si>
    <t>LUK 8:10</t>
  </si>
  <si>
    <t>8.10B</t>
  </si>
  <si>
    <t>8.11-15</t>
  </si>
  <si>
    <t>LUK 8:11</t>
  </si>
  <si>
    <t>LUK 8:15</t>
  </si>
  <si>
    <t>LUK 8:16</t>
  </si>
  <si>
    <t>LUK 8:17</t>
  </si>
  <si>
    <t>LUK 8:18</t>
  </si>
  <si>
    <t>8.19-21</t>
  </si>
  <si>
    <t>LUK 8:19</t>
  </si>
  <si>
    <t>LUK 8:21</t>
  </si>
  <si>
    <t>8.22-37A</t>
  </si>
  <si>
    <t>LUK 8:22</t>
  </si>
  <si>
    <t>LUK 8:37</t>
  </si>
  <si>
    <t>8.37B-39</t>
  </si>
  <si>
    <t>LUK 8:39</t>
  </si>
  <si>
    <t>8.40-56</t>
  </si>
  <si>
    <t>LUK 8:40</t>
  </si>
  <si>
    <t>LUK 8:56</t>
  </si>
  <si>
    <t>9.1-2</t>
  </si>
  <si>
    <t>LUK 9:1</t>
  </si>
  <si>
    <t>LUK 9:2</t>
  </si>
  <si>
    <t>9.3-4</t>
  </si>
  <si>
    <t>LUK 9:3</t>
  </si>
  <si>
    <t>LUK 9:4</t>
  </si>
  <si>
    <t>LUK 9:5</t>
  </si>
  <si>
    <t>LUK 9:6</t>
  </si>
  <si>
    <t>9.7-9</t>
  </si>
  <si>
    <t>LUK 9:7</t>
  </si>
  <si>
    <t>LUK 9:9</t>
  </si>
  <si>
    <t>9.10A</t>
  </si>
  <si>
    <t>LUK 9:10</t>
  </si>
  <si>
    <t>9.10B-11</t>
  </si>
  <si>
    <t>LUK 9:11</t>
  </si>
  <si>
    <t>LUK 9:12</t>
  </si>
  <si>
    <t>LUK 9:17</t>
  </si>
  <si>
    <t>9.18-20</t>
  </si>
  <si>
    <t>LUK 9:18</t>
  </si>
  <si>
    <t>LUK 9:20</t>
  </si>
  <si>
    <t>9.21-22</t>
  </si>
  <si>
    <t>LUK 9:21</t>
  </si>
  <si>
    <t>LUK 9:22</t>
  </si>
  <si>
    <t>9.23-25</t>
  </si>
  <si>
    <t>LUK 9:23</t>
  </si>
  <si>
    <t>LUK 9:25</t>
  </si>
  <si>
    <t>LUK 9:26</t>
  </si>
  <si>
    <t>9.27-36</t>
  </si>
  <si>
    <t>LUK 9:27</t>
  </si>
  <si>
    <t>LUK 9:36</t>
  </si>
  <si>
    <t>9.37-42</t>
  </si>
  <si>
    <t>LUK 9:37</t>
  </si>
  <si>
    <t>LUK 9:42</t>
  </si>
  <si>
    <t>9.43A</t>
  </si>
  <si>
    <t>LUK 9:43</t>
  </si>
  <si>
    <t>9.43B-45</t>
  </si>
  <si>
    <t>LUK 9:45</t>
  </si>
  <si>
    <t>9.46-48</t>
  </si>
  <si>
    <t>LUK 9:46</t>
  </si>
  <si>
    <t>LUK 9:48</t>
  </si>
  <si>
    <t>9.49-50</t>
  </si>
  <si>
    <t>LUK 9:49</t>
  </si>
  <si>
    <t>LUK 9:50</t>
  </si>
  <si>
    <t>9.51-56</t>
  </si>
  <si>
    <t>LUK 9:51</t>
  </si>
  <si>
    <t>LUK 9:56</t>
  </si>
  <si>
    <t>9.57-60</t>
  </si>
  <si>
    <t>LUK 9:57</t>
  </si>
  <si>
    <t>LUK 9:60</t>
  </si>
  <si>
    <t>9.61-62</t>
  </si>
  <si>
    <t>LUK 9:61</t>
  </si>
  <si>
    <t>LUK 9:62</t>
  </si>
  <si>
    <t>LUK 10:1</t>
  </si>
  <si>
    <t>LUK 10:2</t>
  </si>
  <si>
    <t>LUK 10:3</t>
  </si>
  <si>
    <t>LUK 10:4</t>
  </si>
  <si>
    <t>LUK 10:5</t>
  </si>
  <si>
    <t>LUK 10:6</t>
  </si>
  <si>
    <t>10.7A</t>
  </si>
  <si>
    <t>LUK 10:7</t>
  </si>
  <si>
    <t>10.7B-9</t>
  </si>
  <si>
    <t>LUK 10:9</t>
  </si>
  <si>
    <t>10.10-12</t>
  </si>
  <si>
    <t>LUK 10:10</t>
  </si>
  <si>
    <t>LUK 10:12</t>
  </si>
  <si>
    <t>10.13-15</t>
  </si>
  <si>
    <t>LUK 10:13</t>
  </si>
  <si>
    <t>LUK 10:15</t>
  </si>
  <si>
    <t>LUK 10:16</t>
  </si>
  <si>
    <t>10.17-20</t>
  </si>
  <si>
    <t>LUK 10:17</t>
  </si>
  <si>
    <t>LUK 10:20</t>
  </si>
  <si>
    <t>LUK 10:21</t>
  </si>
  <si>
    <t>LUK 10:22</t>
  </si>
  <si>
    <t>10.23-24</t>
  </si>
  <si>
    <t>LUK 10:23</t>
  </si>
  <si>
    <t>LUK 10:24</t>
  </si>
  <si>
    <t>10.25-28</t>
  </si>
  <si>
    <t>LUK 10:25</t>
  </si>
  <si>
    <t>LUK 10:28</t>
  </si>
  <si>
    <t>10.29-42</t>
  </si>
  <si>
    <t>LUK 10:29</t>
  </si>
  <si>
    <t>LUK 10:42</t>
  </si>
  <si>
    <t>11.1-4</t>
  </si>
  <si>
    <t>LUK 11:1</t>
  </si>
  <si>
    <t>LUK 11:4</t>
  </si>
  <si>
    <t>11.5-8</t>
  </si>
  <si>
    <t>LUK 11:5</t>
  </si>
  <si>
    <t>LUK 11:8</t>
  </si>
  <si>
    <t>11.9-13</t>
  </si>
  <si>
    <t>LUK 11:9</t>
  </si>
  <si>
    <t>LUK 11:13</t>
  </si>
  <si>
    <t>LUK 11:14</t>
  </si>
  <si>
    <t>LUK 11:15</t>
  </si>
  <si>
    <t>LUK 11:16</t>
  </si>
  <si>
    <t>11.17-23</t>
  </si>
  <si>
    <t>LUK 11:17</t>
  </si>
  <si>
    <t>LUK 11:23</t>
  </si>
  <si>
    <t>11.24-26</t>
  </si>
  <si>
    <t>LUK 11:24</t>
  </si>
  <si>
    <t>LUK 11:26</t>
  </si>
  <si>
    <t>11.27-28</t>
  </si>
  <si>
    <t>LUK 11:27</t>
  </si>
  <si>
    <t>LUK 11:28</t>
  </si>
  <si>
    <t>11.29-32</t>
  </si>
  <si>
    <t>LUK 11:29</t>
  </si>
  <si>
    <t>LUK 11:32</t>
  </si>
  <si>
    <t>LUK 11:33</t>
  </si>
  <si>
    <t>11.34-36</t>
  </si>
  <si>
    <t>LUK 11:34</t>
  </si>
  <si>
    <t>LUK 11:36</t>
  </si>
  <si>
    <t>11.37-41</t>
  </si>
  <si>
    <t>LUK 11:37</t>
  </si>
  <si>
    <t>LUK 11:41</t>
  </si>
  <si>
    <t>LUK 11:42</t>
  </si>
  <si>
    <t>LUK 11:43</t>
  </si>
  <si>
    <t>LUK 11:44</t>
  </si>
  <si>
    <t>11.45-46</t>
  </si>
  <si>
    <t>LUK 11:45</t>
  </si>
  <si>
    <t>LUK 11:46</t>
  </si>
  <si>
    <t>11.47-48</t>
  </si>
  <si>
    <t>LUK 11:47</t>
  </si>
  <si>
    <t>LUK 11:48</t>
  </si>
  <si>
    <t>11.49-51</t>
  </si>
  <si>
    <t>LUK 11:49</t>
  </si>
  <si>
    <t>LUK 11:51</t>
  </si>
  <si>
    <t>LUK 11:52</t>
  </si>
  <si>
    <t>11.53-12.1B</t>
  </si>
  <si>
    <t>LUK 11:53</t>
  </si>
  <si>
    <t>LUK 12:1</t>
  </si>
  <si>
    <t>12.1C</t>
  </si>
  <si>
    <t>12.2-8</t>
  </si>
  <si>
    <t>LUK 12:2</t>
  </si>
  <si>
    <t>LUK 12:8</t>
  </si>
  <si>
    <t>LUK 12:9</t>
  </si>
  <si>
    <t>12.11-12</t>
  </si>
  <si>
    <t>LUK 12:11</t>
  </si>
  <si>
    <t>LUK 12:12</t>
  </si>
  <si>
    <t>12.13-21</t>
  </si>
  <si>
    <t>LUK 12:13</t>
  </si>
  <si>
    <t>LUK 12:21</t>
  </si>
  <si>
    <t>12.22-31</t>
  </si>
  <si>
    <t>LUK 12:22</t>
  </si>
  <si>
    <t>LUK 12:31</t>
  </si>
  <si>
    <t>LUK 12:32</t>
  </si>
  <si>
    <t>12.33A</t>
  </si>
  <si>
    <t>LUK 12:33</t>
  </si>
  <si>
    <t>12.33B-34</t>
  </si>
  <si>
    <t>LUK 12:34</t>
  </si>
  <si>
    <t>12.35-36</t>
  </si>
  <si>
    <t>LUK 12:35</t>
  </si>
  <si>
    <t>LUK 12:36</t>
  </si>
  <si>
    <t>12.37-38</t>
  </si>
  <si>
    <t>LUK 12:37</t>
  </si>
  <si>
    <t>LUK 12:38</t>
  </si>
  <si>
    <t>12.39-40</t>
  </si>
  <si>
    <t>LUK 12:39</t>
  </si>
  <si>
    <t>LUK 12:40</t>
  </si>
  <si>
    <t>12.41-44</t>
  </si>
  <si>
    <t>LUK 12:41</t>
  </si>
  <si>
    <t>LUK 12:44</t>
  </si>
  <si>
    <t>12.45-46</t>
  </si>
  <si>
    <t>LUK 12:45</t>
  </si>
  <si>
    <t>LUK 12:46</t>
  </si>
  <si>
    <t>12.47-48</t>
  </si>
  <si>
    <t>LUK 12:47</t>
  </si>
  <si>
    <t>LUK 12:48</t>
  </si>
  <si>
    <t>12.49-53</t>
  </si>
  <si>
    <t>LUK 12:49</t>
  </si>
  <si>
    <t>LUK 12:53</t>
  </si>
  <si>
    <t>12.54-56</t>
  </si>
  <si>
    <t>LUK 12:54</t>
  </si>
  <si>
    <t>12.58-59</t>
  </si>
  <si>
    <t>LUK 12:58</t>
  </si>
  <si>
    <t>LUK 12:59</t>
  </si>
  <si>
    <t>13.1-5</t>
  </si>
  <si>
    <t>LUK 13:1</t>
  </si>
  <si>
    <t>LUK 13:5</t>
  </si>
  <si>
    <t>13.6-13</t>
  </si>
  <si>
    <t>LUK 13:6</t>
  </si>
  <si>
    <t>LUK 13:13</t>
  </si>
  <si>
    <t>13.14-16</t>
  </si>
  <si>
    <t>LUK 13:14</t>
  </si>
  <si>
    <t>LUK 13:16</t>
  </si>
  <si>
    <t>LUK 13:17</t>
  </si>
  <si>
    <t>13.18-19</t>
  </si>
  <si>
    <t>LUK 13:18</t>
  </si>
  <si>
    <t>LUK 13:19</t>
  </si>
  <si>
    <t>13.20-21</t>
  </si>
  <si>
    <t>LUK 13:20</t>
  </si>
  <si>
    <t>LUK 13:21</t>
  </si>
  <si>
    <t>LUK 13:22</t>
  </si>
  <si>
    <t>13.23-24</t>
  </si>
  <si>
    <t>LUK 13:23</t>
  </si>
  <si>
    <t>LUK 13:24</t>
  </si>
  <si>
    <t>13.25-28A</t>
  </si>
  <si>
    <t>LUK 13:25</t>
  </si>
  <si>
    <t>LUK 13:28</t>
  </si>
  <si>
    <t>13.28B-29</t>
  </si>
  <si>
    <t>LUK 13:29</t>
  </si>
  <si>
    <t>13.31-33</t>
  </si>
  <si>
    <t>LUK 13:31</t>
  </si>
  <si>
    <t>LUK 13:33</t>
  </si>
  <si>
    <t>LUK 13:34</t>
  </si>
  <si>
    <t>LUK 13:35</t>
  </si>
  <si>
    <t>14.1-4</t>
  </si>
  <si>
    <t>LUK 14:1</t>
  </si>
  <si>
    <t>LUK 14:4</t>
  </si>
  <si>
    <t>14.5-6</t>
  </si>
  <si>
    <t>LUK 14:5</t>
  </si>
  <si>
    <t>LUK 14:6</t>
  </si>
  <si>
    <t>14.7-10</t>
  </si>
  <si>
    <t>LUK 14:7</t>
  </si>
  <si>
    <t>LUK 14:10</t>
  </si>
  <si>
    <t>LUK 14:11</t>
  </si>
  <si>
    <t>14.12-15</t>
  </si>
  <si>
    <t>LUK 14:12</t>
  </si>
  <si>
    <t>LUK 14:15</t>
  </si>
  <si>
    <t>14.16-24</t>
  </si>
  <si>
    <t>LUK 14:16</t>
  </si>
  <si>
    <t>LUK 14:24</t>
  </si>
  <si>
    <t>14.25-27</t>
  </si>
  <si>
    <t>LUK 14:25</t>
  </si>
  <si>
    <t>LUK 14:27</t>
  </si>
  <si>
    <t>14.28-32</t>
  </si>
  <si>
    <t>LUK 14:28</t>
  </si>
  <si>
    <t>LUK 14:32</t>
  </si>
  <si>
    <t>LUK 14:33</t>
  </si>
  <si>
    <t>LUK 14:34</t>
  </si>
  <si>
    <t>15.1-2</t>
  </si>
  <si>
    <t>LUK 15:1</t>
  </si>
  <si>
    <t>LUK 15:2</t>
  </si>
  <si>
    <t>15.3-7</t>
  </si>
  <si>
    <t>LUK 15:3</t>
  </si>
  <si>
    <t>LUK 15:7</t>
  </si>
  <si>
    <t>15.8-9</t>
  </si>
  <si>
    <t>LUK 15:8</t>
  </si>
  <si>
    <t>LUK 15:9</t>
  </si>
  <si>
    <t>15.11-16.12</t>
  </si>
  <si>
    <t>LUK 15:11</t>
  </si>
  <si>
    <t>LUK 16:12</t>
  </si>
  <si>
    <t>LUK 16:13</t>
  </si>
  <si>
    <t>16.14-15</t>
  </si>
  <si>
    <t>LUK 16:14</t>
  </si>
  <si>
    <t>LUK 16:15</t>
  </si>
  <si>
    <t>LUK 16:16</t>
  </si>
  <si>
    <t>LUK 16:17</t>
  </si>
  <si>
    <t>LUK 16:18</t>
  </si>
  <si>
    <t>16.19-31</t>
  </si>
  <si>
    <t>LUK 16:19</t>
  </si>
  <si>
    <t>LUK 16:31</t>
  </si>
  <si>
    <t>17.1-2</t>
  </si>
  <si>
    <t>LUK 17:1</t>
  </si>
  <si>
    <t>LUK 17:2</t>
  </si>
  <si>
    <t>17.3AB</t>
  </si>
  <si>
    <t>LUK 17:3</t>
  </si>
  <si>
    <t>17.3C-4</t>
  </si>
  <si>
    <t>LUK 17:4</t>
  </si>
  <si>
    <t>17.5-6</t>
  </si>
  <si>
    <t>LUK 17:5</t>
  </si>
  <si>
    <t>LUK 17:6</t>
  </si>
  <si>
    <t>17.7-19</t>
  </si>
  <si>
    <t>LUK 17:7</t>
  </si>
  <si>
    <t>LUK 17:19</t>
  </si>
  <si>
    <t>17.20-21</t>
  </si>
  <si>
    <t>LUK 17:20</t>
  </si>
  <si>
    <t>LUK 17:21</t>
  </si>
  <si>
    <t>LUK 17:22</t>
  </si>
  <si>
    <t>LUK 17:23</t>
  </si>
  <si>
    <t>LUK 17:24</t>
  </si>
  <si>
    <t>LUK 17:25</t>
  </si>
  <si>
    <t>17.26-27</t>
  </si>
  <si>
    <t>LUK 17:26</t>
  </si>
  <si>
    <t>LUK 17:27</t>
  </si>
  <si>
    <t>17.28-30</t>
  </si>
  <si>
    <t>LUK 17:28</t>
  </si>
  <si>
    <t>LUK 17:30</t>
  </si>
  <si>
    <t>LUK 17:31</t>
  </si>
  <si>
    <t>LUK 17:32</t>
  </si>
  <si>
    <t>LUK 17:33</t>
  </si>
  <si>
    <t>17.34-35 (+36, in note)</t>
  </si>
  <si>
    <t>LUK 17:37</t>
  </si>
  <si>
    <t>18.1-14A</t>
  </si>
  <si>
    <t>LUK 18:1</t>
  </si>
  <si>
    <t>LUK 18:14</t>
  </si>
  <si>
    <t>18.14B</t>
  </si>
  <si>
    <t>18.15-16</t>
  </si>
  <si>
    <t>LUK 18:15</t>
  </si>
  <si>
    <t>LUK 18:16</t>
  </si>
  <si>
    <t>LUK 18:17</t>
  </si>
  <si>
    <t>18.18-21</t>
  </si>
  <si>
    <t>LUK 18:18</t>
  </si>
  <si>
    <t>LUK 18:21</t>
  </si>
  <si>
    <t>LUK 18:22</t>
  </si>
  <si>
    <t>18.23-28</t>
  </si>
  <si>
    <t>LUK 18:23</t>
  </si>
  <si>
    <t>LUK 18:28</t>
  </si>
  <si>
    <t>18.29-30</t>
  </si>
  <si>
    <t>LUK 18:29</t>
  </si>
  <si>
    <t>LUK 18:30</t>
  </si>
  <si>
    <t>18.31-33</t>
  </si>
  <si>
    <t>LUK 18:31</t>
  </si>
  <si>
    <t>LUK 18:33</t>
  </si>
  <si>
    <t>LUK 18:34</t>
  </si>
  <si>
    <t>18.35-43</t>
  </si>
  <si>
    <t>LUK 18:35</t>
  </si>
  <si>
    <t>LUK 18:43</t>
  </si>
  <si>
    <t>19.1-9</t>
  </si>
  <si>
    <t>LUK 19:1</t>
  </si>
  <si>
    <t>LUK 19:9</t>
  </si>
  <si>
    <t>LUK 19:11</t>
  </si>
  <si>
    <t>LUK 19:12</t>
  </si>
  <si>
    <t>19.13-25</t>
  </si>
  <si>
    <t>LUK 19:13</t>
  </si>
  <si>
    <t>LUK 19:25</t>
  </si>
  <si>
    <t>LUK 19:26</t>
  </si>
  <si>
    <t>LUK 19:27</t>
  </si>
  <si>
    <t>19.28-31</t>
  </si>
  <si>
    <t>LUK 19:28</t>
  </si>
  <si>
    <t>LUK 19:31</t>
  </si>
  <si>
    <t>19.32-36</t>
  </si>
  <si>
    <t>LUK 19:32</t>
  </si>
  <si>
    <t>LUK 19:36</t>
  </si>
  <si>
    <t>19.37-38</t>
  </si>
  <si>
    <t>LUK 19:37</t>
  </si>
  <si>
    <t>LUK 19:38</t>
  </si>
  <si>
    <t>19.39-40</t>
  </si>
  <si>
    <t>LUK 19:39</t>
  </si>
  <si>
    <t>LUK 19:40</t>
  </si>
  <si>
    <t>19.41-44A</t>
  </si>
  <si>
    <t>LUK 19:41</t>
  </si>
  <si>
    <t>LUK 19:44</t>
  </si>
  <si>
    <t>19.44BC</t>
  </si>
  <si>
    <t>19.45-46</t>
  </si>
  <si>
    <t>LUK 19:45</t>
  </si>
  <si>
    <t>LUK 19:46</t>
  </si>
  <si>
    <t>19.47-48</t>
  </si>
  <si>
    <t>LUK 19:47</t>
  </si>
  <si>
    <t>LUK 19:48</t>
  </si>
  <si>
    <t>20.1-8</t>
  </si>
  <si>
    <t>LUK 20:1</t>
  </si>
  <si>
    <t>LUK 20:8</t>
  </si>
  <si>
    <t>20.9-18</t>
  </si>
  <si>
    <t>LUK 20:9</t>
  </si>
  <si>
    <t>LUK 20:18</t>
  </si>
  <si>
    <t>LUK 20:19</t>
  </si>
  <si>
    <t>20.20-39</t>
  </si>
  <si>
    <t>LUK 20:20</t>
  </si>
  <si>
    <t>LUK 20:39</t>
  </si>
  <si>
    <t>20.41-44</t>
  </si>
  <si>
    <t>LUK 20:41</t>
  </si>
  <si>
    <t>LUK 20:44</t>
  </si>
  <si>
    <t>20.45-46</t>
  </si>
  <si>
    <t>LUK 20:45</t>
  </si>
  <si>
    <t>LUK 20:46</t>
  </si>
  <si>
    <t>20.47-21.4</t>
  </si>
  <si>
    <t>LUK 20:47</t>
  </si>
  <si>
    <t>LUK 21:4</t>
  </si>
  <si>
    <t>21.5-6</t>
  </si>
  <si>
    <t>LUK 21:5</t>
  </si>
  <si>
    <t>LUK 21:6</t>
  </si>
  <si>
    <t>21.7-11</t>
  </si>
  <si>
    <t>LUK 21:7</t>
  </si>
  <si>
    <t>LUK 21:11</t>
  </si>
  <si>
    <t>LUK 21:12</t>
  </si>
  <si>
    <t>LUK 21:13</t>
  </si>
  <si>
    <t>21.14-19</t>
  </si>
  <si>
    <t>LUK 21:14</t>
  </si>
  <si>
    <t>LUK 21:19</t>
  </si>
  <si>
    <t>21.21-22</t>
  </si>
  <si>
    <t>LUK 21:21</t>
  </si>
  <si>
    <t>LUK 21:22</t>
  </si>
  <si>
    <t>21.23A</t>
  </si>
  <si>
    <t>LUK 21:23</t>
  </si>
  <si>
    <t>21.23B</t>
  </si>
  <si>
    <t>LUK 21:24</t>
  </si>
  <si>
    <t>21.25-26</t>
  </si>
  <si>
    <t>LUK 21:25</t>
  </si>
  <si>
    <t>LUK 21:26</t>
  </si>
  <si>
    <t>21.27-33</t>
  </si>
  <si>
    <t>LUK 21:27</t>
  </si>
  <si>
    <t>LUK 21:33</t>
  </si>
  <si>
    <t>21.34-38</t>
  </si>
  <si>
    <t>LUK 21:34</t>
  </si>
  <si>
    <t>LUK 21:38</t>
  </si>
  <si>
    <t>LUK 22:1</t>
  </si>
  <si>
    <t>LUK 22:2</t>
  </si>
  <si>
    <t>LUK 22:3</t>
  </si>
  <si>
    <t>22.4-13</t>
  </si>
  <si>
    <t>LUK 22:4</t>
  </si>
  <si>
    <t>LUK 22:13</t>
  </si>
  <si>
    <t>22.14-15</t>
  </si>
  <si>
    <t>LUK 22:14</t>
  </si>
  <si>
    <t>LUK 22:15</t>
  </si>
  <si>
    <t>22.16-18</t>
  </si>
  <si>
    <t>LUK 22:16</t>
  </si>
  <si>
    <t>LUK 22:18</t>
  </si>
  <si>
    <t>LUK 22:19</t>
  </si>
  <si>
    <t>22.21-22</t>
  </si>
  <si>
    <t>LUK 22:21</t>
  </si>
  <si>
    <t>LUK 22:22</t>
  </si>
  <si>
    <t>LUK 22:23</t>
  </si>
  <si>
    <t>22.24-26</t>
  </si>
  <si>
    <t>LUK 22:24</t>
  </si>
  <si>
    <t>LUK 22:26</t>
  </si>
  <si>
    <t>22.27-30A</t>
  </si>
  <si>
    <t>LUK 22:27</t>
  </si>
  <si>
    <t>LUK 22:30</t>
  </si>
  <si>
    <t>22.30B</t>
  </si>
  <si>
    <t>22.31-32A</t>
  </si>
  <si>
    <t>LUK 22:31</t>
  </si>
  <si>
    <t>LUK 22:32</t>
  </si>
  <si>
    <t>22.32B</t>
  </si>
  <si>
    <t>22.33-34</t>
  </si>
  <si>
    <t>LUK 22:33</t>
  </si>
  <si>
    <t>LUK 22:34</t>
  </si>
  <si>
    <t>22.35-36</t>
  </si>
  <si>
    <t>LUK 22:35</t>
  </si>
  <si>
    <t>LUK 22:36</t>
  </si>
  <si>
    <t>LUK 22:37</t>
  </si>
  <si>
    <t>LUK 22:38</t>
  </si>
  <si>
    <t>LUK 22:39</t>
  </si>
  <si>
    <t>LUK 22:41</t>
  </si>
  <si>
    <t>LUK 22:42</t>
  </si>
  <si>
    <t>22.43-44</t>
  </si>
  <si>
    <t>LUK 22:43</t>
  </si>
  <si>
    <t>LUK 22:44</t>
  </si>
  <si>
    <t>22.45-46</t>
  </si>
  <si>
    <t>LUK 22:45</t>
  </si>
  <si>
    <t>LUK 22:46</t>
  </si>
  <si>
    <t>22.47A</t>
  </si>
  <si>
    <t>LUK 22:47</t>
  </si>
  <si>
    <t>22.47B-48</t>
  </si>
  <si>
    <t>LUK 22:48</t>
  </si>
  <si>
    <t>22.49-50</t>
  </si>
  <si>
    <t>LUK 22:49</t>
  </si>
  <si>
    <t>LUK 22:50</t>
  </si>
  <si>
    <t>LUK 22:51</t>
  </si>
  <si>
    <t>22.52-53</t>
  </si>
  <si>
    <t>LUK 22:52</t>
  </si>
  <si>
    <t>LUK 22:53</t>
  </si>
  <si>
    <t>22.54A</t>
  </si>
  <si>
    <t>LUK 22:54</t>
  </si>
  <si>
    <t>22.54B-57</t>
  </si>
  <si>
    <t>LUK 22:57</t>
  </si>
  <si>
    <t>22.58-61A</t>
  </si>
  <si>
    <t>LUK 22:58</t>
  </si>
  <si>
    <t>LUK 22:61</t>
  </si>
  <si>
    <t>22.61B-62</t>
  </si>
  <si>
    <t>LUK 22:62</t>
  </si>
  <si>
    <t>22.63-65</t>
  </si>
  <si>
    <t>LUK 22:63</t>
  </si>
  <si>
    <t>LUK 22:65</t>
  </si>
  <si>
    <t>22.66-67A</t>
  </si>
  <si>
    <t>LUK 22:66</t>
  </si>
  <si>
    <t>LUK 22:67</t>
  </si>
  <si>
    <t>22.67B-68</t>
  </si>
  <si>
    <t>LUK 22:68</t>
  </si>
  <si>
    <t>LUK 22:69</t>
  </si>
  <si>
    <t>LUK 22:71</t>
  </si>
  <si>
    <t>LUK 23:1</t>
  </si>
  <si>
    <t>LUK 23:2</t>
  </si>
  <si>
    <t>LUK 23:3</t>
  </si>
  <si>
    <t>LUK 23:4</t>
  </si>
  <si>
    <t>23.5-9</t>
  </si>
  <si>
    <t>LUK 23:5</t>
  </si>
  <si>
    <t>LUK 23:9</t>
  </si>
  <si>
    <t>23.11-12</t>
  </si>
  <si>
    <t>LUK 23:11</t>
  </si>
  <si>
    <t>LUK 23:12</t>
  </si>
  <si>
    <t>23.13-14</t>
  </si>
  <si>
    <t>LUK 23:13</t>
  </si>
  <si>
    <t>LUK 23:14</t>
  </si>
  <si>
    <t>23.15-16</t>
  </si>
  <si>
    <t>LUK 23:15</t>
  </si>
  <si>
    <t>LUK 23:16</t>
  </si>
  <si>
    <t>23.17 (in note)</t>
  </si>
  <si>
    <t>23.18-19</t>
  </si>
  <si>
    <t>LUK 23:18</t>
  </si>
  <si>
    <t>LUK 23:19</t>
  </si>
  <si>
    <t>23.20-21</t>
  </si>
  <si>
    <t>LUK 23:20</t>
  </si>
  <si>
    <t>LUK 23:21</t>
  </si>
  <si>
    <t>LUK 23:22</t>
  </si>
  <si>
    <t>LUK 23:23</t>
  </si>
  <si>
    <t>23.24-25</t>
  </si>
  <si>
    <t>LUK 23:24</t>
  </si>
  <si>
    <t>LUK 23:25</t>
  </si>
  <si>
    <t>LUK 23:26</t>
  </si>
  <si>
    <t>LUK 23:27</t>
  </si>
  <si>
    <t>LUK 23:32</t>
  </si>
  <si>
    <t>23.33A</t>
  </si>
  <si>
    <t>LUK 23:33</t>
  </si>
  <si>
    <t>23.33B</t>
  </si>
  <si>
    <t>23.34A</t>
  </si>
  <si>
    <t>LUK 23:34</t>
  </si>
  <si>
    <t>23.34B-35A</t>
  </si>
  <si>
    <t>LUK 23:35</t>
  </si>
  <si>
    <t>23.35B</t>
  </si>
  <si>
    <t>23.36-37</t>
  </si>
  <si>
    <t>LUK 23:36</t>
  </si>
  <si>
    <t>LUK 23:37</t>
  </si>
  <si>
    <t>LUK 23:38</t>
  </si>
  <si>
    <t>LUK 23:39</t>
  </si>
  <si>
    <t>23.40-43</t>
  </si>
  <si>
    <t>LUK 23:40</t>
  </si>
  <si>
    <t>LUK 23:43</t>
  </si>
  <si>
    <t>23.44-45A</t>
  </si>
  <si>
    <t>LUK 23:44</t>
  </si>
  <si>
    <t>LUK 23:45</t>
  </si>
  <si>
    <t>23.45B</t>
  </si>
  <si>
    <t>LUK 23:46</t>
  </si>
  <si>
    <t>LUK 23:47</t>
  </si>
  <si>
    <t>23.48-49</t>
  </si>
  <si>
    <t>LUK 23:48</t>
  </si>
  <si>
    <t>LUK 23:49</t>
  </si>
  <si>
    <t>23.50-52</t>
  </si>
  <si>
    <t>LUK 23:50</t>
  </si>
  <si>
    <t>LUK 23:52</t>
  </si>
  <si>
    <t>LUK 23:53</t>
  </si>
  <si>
    <t>23.54-55</t>
  </si>
  <si>
    <t>LUK 23:54</t>
  </si>
  <si>
    <t>LUK 23:55</t>
  </si>
  <si>
    <t>LUK 23:56</t>
  </si>
  <si>
    <t>24.1-4</t>
  </si>
  <si>
    <t>LUK 24:1</t>
  </si>
  <si>
    <t>LUK 24:4</t>
  </si>
  <si>
    <t>24.5-8</t>
  </si>
  <si>
    <t>LUK 24:5</t>
  </si>
  <si>
    <t>LUK 24:8</t>
  </si>
  <si>
    <t>LUK 24:9</t>
  </si>
  <si>
    <t>24.10-35</t>
  </si>
  <si>
    <t>LUK 24:10</t>
  </si>
  <si>
    <t>LUK 24:35</t>
  </si>
  <si>
    <t>24.36-40</t>
  </si>
  <si>
    <t>LUK 24:36</t>
  </si>
  <si>
    <t>LUK 24:40</t>
  </si>
  <si>
    <t>24.41-43</t>
  </si>
  <si>
    <t>LUK 24:41</t>
  </si>
  <si>
    <t>LUK 24:43</t>
  </si>
  <si>
    <t>24.44-53</t>
  </si>
  <si>
    <t>LUK 24:44</t>
  </si>
  <si>
    <t>LUK 24:53</t>
  </si>
  <si>
    <t>1.1-5</t>
  </si>
  <si>
    <t>JHN 1:1</t>
  </si>
  <si>
    <t>JHN 1:5</t>
  </si>
  <si>
    <t>1.6-8</t>
  </si>
  <si>
    <t>JHN 1:6</t>
  </si>
  <si>
    <t>JHN 1:8</t>
  </si>
  <si>
    <t>1.9-10</t>
  </si>
  <si>
    <t>JHN 1:9</t>
  </si>
  <si>
    <t>JHN 1:10</t>
  </si>
  <si>
    <t>1.11-13</t>
  </si>
  <si>
    <t>JHN 1:11</t>
  </si>
  <si>
    <t>JHN 1:13</t>
  </si>
  <si>
    <t>JHN 1:14</t>
  </si>
  <si>
    <t>JHN 1:15</t>
  </si>
  <si>
    <t>1.16-17</t>
  </si>
  <si>
    <t>JHN 1:16</t>
  </si>
  <si>
    <t>JHN 1:17</t>
  </si>
  <si>
    <t>JHN 1:18</t>
  </si>
  <si>
    <t>1.19-22</t>
  </si>
  <si>
    <t>JHN 1:19</t>
  </si>
  <si>
    <t>JHN 1:22</t>
  </si>
  <si>
    <t>JHN 1:23</t>
  </si>
  <si>
    <t>1.24-25</t>
  </si>
  <si>
    <t>JHN 1:24</t>
  </si>
  <si>
    <t>JHN 1:25</t>
  </si>
  <si>
    <t>1.26-27</t>
  </si>
  <si>
    <t>JHN 1:26</t>
  </si>
  <si>
    <t>JHN 1:27</t>
  </si>
  <si>
    <t>1.28-29</t>
  </si>
  <si>
    <t>JHN 1:28</t>
  </si>
  <si>
    <t>JHN 1:29</t>
  </si>
  <si>
    <t>1.30-31</t>
  </si>
  <si>
    <t>JHN 1:30</t>
  </si>
  <si>
    <t>JHN 1:31</t>
  </si>
  <si>
    <t>1.32-34</t>
  </si>
  <si>
    <t>JHN 1:32</t>
  </si>
  <si>
    <t>JHN 1:34</t>
  </si>
  <si>
    <t>1.35-40</t>
  </si>
  <si>
    <t>JHN 1:35</t>
  </si>
  <si>
    <t>JHN 1:40</t>
  </si>
  <si>
    <t>1.41-42</t>
  </si>
  <si>
    <t>JHN 1:41</t>
  </si>
  <si>
    <t>JHN 1:42</t>
  </si>
  <si>
    <t>1.43-2.11</t>
  </si>
  <si>
    <t>JHN 1:43</t>
  </si>
  <si>
    <t>JHN 2:11</t>
  </si>
  <si>
    <t>JHN 2:12</t>
  </si>
  <si>
    <t>JHN 2:13</t>
  </si>
  <si>
    <t>2.14-16</t>
  </si>
  <si>
    <t>JHN 2:14</t>
  </si>
  <si>
    <t>JHN 2:16</t>
  </si>
  <si>
    <t>JHN 2:17</t>
  </si>
  <si>
    <t>JHN 2:18</t>
  </si>
  <si>
    <t>2.19-3.22</t>
  </si>
  <si>
    <t>JHN 2:19</t>
  </si>
  <si>
    <t>JHN 3:22</t>
  </si>
  <si>
    <t>JHN 3:23</t>
  </si>
  <si>
    <t>JHN 3:24</t>
  </si>
  <si>
    <t>3.25-27</t>
  </si>
  <si>
    <t>JHN 3:25</t>
  </si>
  <si>
    <t>JHN 3:27</t>
  </si>
  <si>
    <t>JHN 3:28</t>
  </si>
  <si>
    <t>3.29-34</t>
  </si>
  <si>
    <t>JHN 3:29</t>
  </si>
  <si>
    <t>JHN 3:34</t>
  </si>
  <si>
    <t>JHN 3:35</t>
  </si>
  <si>
    <t>3.36-4.2</t>
  </si>
  <si>
    <t>JHN 3:36</t>
  </si>
  <si>
    <t>JHN 4:2</t>
  </si>
  <si>
    <t>JHN 4:3</t>
  </si>
  <si>
    <t>4.4-42</t>
  </si>
  <si>
    <t>JHN 4:4</t>
  </si>
  <si>
    <t>JHN 4:42</t>
  </si>
  <si>
    <t>JHN 4:43</t>
  </si>
  <si>
    <t>JHN 4:44</t>
  </si>
  <si>
    <t>4.45-46A</t>
  </si>
  <si>
    <t>JHN 4:45</t>
  </si>
  <si>
    <t>JHN 4:46</t>
  </si>
  <si>
    <t>4.46B-54</t>
  </si>
  <si>
    <t>JHN 4:54</t>
  </si>
  <si>
    <t>5.1-10</t>
  </si>
  <si>
    <t>JHN 5:1</t>
  </si>
  <si>
    <t>JHN 5:10</t>
  </si>
  <si>
    <t>5.11-23A</t>
  </si>
  <si>
    <t>JHN 5:11</t>
  </si>
  <si>
    <t>JHN 5:23</t>
  </si>
  <si>
    <t>5.23B</t>
  </si>
  <si>
    <t>5.24-30A</t>
  </si>
  <si>
    <t>JHN 5:24</t>
  </si>
  <si>
    <t>JHN 5:30</t>
  </si>
  <si>
    <t>5.30B</t>
  </si>
  <si>
    <t>5.31-37A</t>
  </si>
  <si>
    <t>JHN 5:31</t>
  </si>
  <si>
    <t>JHN 5:37</t>
  </si>
  <si>
    <t>5.37B</t>
  </si>
  <si>
    <t>5.38-47</t>
  </si>
  <si>
    <t>JHN 5:38</t>
  </si>
  <si>
    <t>JHN 5:47</t>
  </si>
  <si>
    <t>6.1-2</t>
  </si>
  <si>
    <t>JHN 6:1</t>
  </si>
  <si>
    <t>JHN 6:2</t>
  </si>
  <si>
    <t>JHN 6:3</t>
  </si>
  <si>
    <t>JHN 6:4</t>
  </si>
  <si>
    <t>6.5-13</t>
  </si>
  <si>
    <t>JHN 6:5</t>
  </si>
  <si>
    <t>JHN 6:13</t>
  </si>
  <si>
    <t>6.14-15A</t>
  </si>
  <si>
    <t>JHN 6:14</t>
  </si>
  <si>
    <t>JHN 6:15</t>
  </si>
  <si>
    <t>6.15B-21</t>
  </si>
  <si>
    <t>JHN 6:21</t>
  </si>
  <si>
    <t>6.22-29</t>
  </si>
  <si>
    <t>JHN 6:22</t>
  </si>
  <si>
    <t>JHN 6:29</t>
  </si>
  <si>
    <t>6.31-34</t>
  </si>
  <si>
    <t>JHN 6:31</t>
  </si>
  <si>
    <t>JHN 6:34</t>
  </si>
  <si>
    <t>6.35A</t>
  </si>
  <si>
    <t>JHN 6:35</t>
  </si>
  <si>
    <t>6.35B-37</t>
  </si>
  <si>
    <t>JHN 6:37</t>
  </si>
  <si>
    <t>JHN 6:38</t>
  </si>
  <si>
    <t>6.39-40</t>
  </si>
  <si>
    <t>JHN 6:39</t>
  </si>
  <si>
    <t>JHN 6:40</t>
  </si>
  <si>
    <t>JHN 6:41</t>
  </si>
  <si>
    <t>JHN 6:42</t>
  </si>
  <si>
    <t>6.43-45</t>
  </si>
  <si>
    <t>JHN 6:43</t>
  </si>
  <si>
    <t>JHN 6:45</t>
  </si>
  <si>
    <t>JHN 6:46</t>
  </si>
  <si>
    <t>JHN 6:47</t>
  </si>
  <si>
    <t>JHN 6:48</t>
  </si>
  <si>
    <t>6.49-50</t>
  </si>
  <si>
    <t>JHN 6:49</t>
  </si>
  <si>
    <t>JHN 6:50</t>
  </si>
  <si>
    <t>JHN 6:51</t>
  </si>
  <si>
    <t>6.52-54</t>
  </si>
  <si>
    <t>JHN 6:52</t>
  </si>
  <si>
    <t>JHN 6:54</t>
  </si>
  <si>
    <t>JHN 6:55</t>
  </si>
  <si>
    <t>6.56-61</t>
  </si>
  <si>
    <t>JHN 6:56</t>
  </si>
  <si>
    <t>JHN 6:61</t>
  </si>
  <si>
    <t>JHN 6:62</t>
  </si>
  <si>
    <t>6.63A</t>
  </si>
  <si>
    <t>JHN 6:63</t>
  </si>
  <si>
    <t>6.63B-64A</t>
  </si>
  <si>
    <t>JHN 6:64</t>
  </si>
  <si>
    <t>6.64B</t>
  </si>
  <si>
    <t>6.65-67</t>
  </si>
  <si>
    <t>JHN 6:65</t>
  </si>
  <si>
    <t>JHN 6:67</t>
  </si>
  <si>
    <t>6.68-69</t>
  </si>
  <si>
    <t>JHN 6:68</t>
  </si>
  <si>
    <t>JHN 6:69</t>
  </si>
  <si>
    <t>6.70-7.27</t>
  </si>
  <si>
    <t>JHN 6:70</t>
  </si>
  <si>
    <t>JHN 7:27</t>
  </si>
  <si>
    <t>JHN 7:28</t>
  </si>
  <si>
    <t>JHN 7:29</t>
  </si>
  <si>
    <t>7.31-32A</t>
  </si>
  <si>
    <t>JHN 7:31</t>
  </si>
  <si>
    <t>JHN 7:32</t>
  </si>
  <si>
    <t>7.32B</t>
  </si>
  <si>
    <t>JHN 7:33</t>
  </si>
  <si>
    <t>7.34-39</t>
  </si>
  <si>
    <t>JHN 7:34</t>
  </si>
  <si>
    <t>JHN 7:39</t>
  </si>
  <si>
    <t>7.40-41A</t>
  </si>
  <si>
    <t>JHN 7:40</t>
  </si>
  <si>
    <t>JHN 7:41</t>
  </si>
  <si>
    <t>7.41B-42</t>
  </si>
  <si>
    <t>JHN 7:42</t>
  </si>
  <si>
    <t>JHN 7:43</t>
  </si>
  <si>
    <t>JHN 7:44</t>
  </si>
  <si>
    <t>7.45-8.19A</t>
  </si>
  <si>
    <t>JHN 7:45</t>
  </si>
  <si>
    <t>JHN 8:19</t>
  </si>
  <si>
    <t>8.19B</t>
  </si>
  <si>
    <t>JHN 8:2</t>
  </si>
  <si>
    <t>8.21-10.14</t>
  </si>
  <si>
    <t>JHN 8:21</t>
  </si>
  <si>
    <t>JHN 10:14</t>
  </si>
  <si>
    <t>10.15A</t>
  </si>
  <si>
    <t>JHN 10:15</t>
  </si>
  <si>
    <t>10.15B</t>
  </si>
  <si>
    <t>10.16-38</t>
  </si>
  <si>
    <t>JHN 10:16</t>
  </si>
  <si>
    <t>JHN 10:38</t>
  </si>
  <si>
    <t>10.39-40</t>
  </si>
  <si>
    <t>JHN 10:39</t>
  </si>
  <si>
    <t>JHN 10:40</t>
  </si>
  <si>
    <t>10.41-11.52</t>
  </si>
  <si>
    <t>JHN 10:41</t>
  </si>
  <si>
    <t>JHN 11:52</t>
  </si>
  <si>
    <t>11.53-54</t>
  </si>
  <si>
    <t>JHN 11:53</t>
  </si>
  <si>
    <t>JHN 11:54</t>
  </si>
  <si>
    <t>11.55A</t>
  </si>
  <si>
    <t>JHN 11:55</t>
  </si>
  <si>
    <t>11.55B-12.1</t>
  </si>
  <si>
    <t>JHN 12:1</t>
  </si>
  <si>
    <t>JHN 12:2</t>
  </si>
  <si>
    <t>JHN 12:8</t>
  </si>
  <si>
    <t>12.9-11</t>
  </si>
  <si>
    <t>JHN 12:9</t>
  </si>
  <si>
    <t>JHN 12:11</t>
  </si>
  <si>
    <t>12.12-13</t>
  </si>
  <si>
    <t>JHN 12:12</t>
  </si>
  <si>
    <t>JHN 12:13</t>
  </si>
  <si>
    <t>12.14-15</t>
  </si>
  <si>
    <t>JHN 12:14</t>
  </si>
  <si>
    <t>JHN 12:15</t>
  </si>
  <si>
    <t>12.16-22</t>
  </si>
  <si>
    <t>JHN 12:16</t>
  </si>
  <si>
    <t>JHN 12:22</t>
  </si>
  <si>
    <t>JHN 12:23</t>
  </si>
  <si>
    <t>JHN 12:24</t>
  </si>
  <si>
    <t>JHN 12:25</t>
  </si>
  <si>
    <t>12.26A</t>
  </si>
  <si>
    <t>JHN 12:26</t>
  </si>
  <si>
    <t>12.26B-27A</t>
  </si>
  <si>
    <t>JHN 12:27</t>
  </si>
  <si>
    <t>12.27B-38</t>
  </si>
  <si>
    <t>JHN 12:38</t>
  </si>
  <si>
    <t>JHN 12:39</t>
  </si>
  <si>
    <t>JHN 12:40</t>
  </si>
  <si>
    <t>12.41-43</t>
  </si>
  <si>
    <t>JHN 12:41</t>
  </si>
  <si>
    <t>JHN 12:43</t>
  </si>
  <si>
    <t>12.44-45</t>
  </si>
  <si>
    <t>JHN 12:44</t>
  </si>
  <si>
    <t>JHN 12:45</t>
  </si>
  <si>
    <t>12.46-13.1</t>
  </si>
  <si>
    <t>JHN 12:46</t>
  </si>
  <si>
    <t>JHN 13:1</t>
  </si>
  <si>
    <t>JHN 13:2</t>
  </si>
  <si>
    <t>13.3A</t>
  </si>
  <si>
    <t>JHN 13:3</t>
  </si>
  <si>
    <t>13.3B-12</t>
  </si>
  <si>
    <t>JHN 13:12</t>
  </si>
  <si>
    <t>JHN 13:13</t>
  </si>
  <si>
    <t>13.14-15</t>
  </si>
  <si>
    <t>JHN 13:14</t>
  </si>
  <si>
    <t>JHN 13:15</t>
  </si>
  <si>
    <t>JHN 13:16</t>
  </si>
  <si>
    <t>JHN 13:17</t>
  </si>
  <si>
    <t>JHN 13:18</t>
  </si>
  <si>
    <t>JHN 13:19</t>
  </si>
  <si>
    <t>JHN 13:21</t>
  </si>
  <si>
    <t>JHN 13:22</t>
  </si>
  <si>
    <t>13.23-26A</t>
  </si>
  <si>
    <t>JHN 13:23</t>
  </si>
  <si>
    <t>JHN 13:26</t>
  </si>
  <si>
    <t>13.26B-27A</t>
  </si>
  <si>
    <t>JHN 13:27</t>
  </si>
  <si>
    <t>13.27B-35</t>
  </si>
  <si>
    <t>JHN 13:35</t>
  </si>
  <si>
    <t>13.36-38</t>
  </si>
  <si>
    <t>JHN 13:36</t>
  </si>
  <si>
    <t>JHN 13:38</t>
  </si>
  <si>
    <t>14.1-12</t>
  </si>
  <si>
    <t>JHN 14:1</t>
  </si>
  <si>
    <t>JHN 14:12</t>
  </si>
  <si>
    <t>14.13-21A</t>
  </si>
  <si>
    <t>JHN 14:13</t>
  </si>
  <si>
    <t>JHN 14:21</t>
  </si>
  <si>
    <t>14.22-24A</t>
  </si>
  <si>
    <t>JHN 14:22</t>
  </si>
  <si>
    <t>JHN 14:24</t>
  </si>
  <si>
    <t>14.24B-25</t>
  </si>
  <si>
    <t>JHN 14:25</t>
  </si>
  <si>
    <t>14.26-15.6</t>
  </si>
  <si>
    <t>JHN 14:26</t>
  </si>
  <si>
    <t>JHN 15:6</t>
  </si>
  <si>
    <t>JHN 15:7</t>
  </si>
  <si>
    <t>15.8-12</t>
  </si>
  <si>
    <t>JHN 15:8</t>
  </si>
  <si>
    <t>JHN 15:12</t>
  </si>
  <si>
    <t>JHN 15:13</t>
  </si>
  <si>
    <t>15.14-16A</t>
  </si>
  <si>
    <t>JHN 15:14</t>
  </si>
  <si>
    <t>JHN 15:16</t>
  </si>
  <si>
    <t>15.16B</t>
  </si>
  <si>
    <t>15.17-19</t>
  </si>
  <si>
    <t>JHN 15:17</t>
  </si>
  <si>
    <t>JHN 15:19</t>
  </si>
  <si>
    <t>15.20A</t>
  </si>
  <si>
    <t>JHN 15:20</t>
  </si>
  <si>
    <t>15.20B</t>
  </si>
  <si>
    <t>15.21A</t>
  </si>
  <si>
    <t>JHN 15:21</t>
  </si>
  <si>
    <t>15.21B</t>
  </si>
  <si>
    <t>JHN 15:22</t>
  </si>
  <si>
    <t>JHN 15:23</t>
  </si>
  <si>
    <t>15.24-16.2A</t>
  </si>
  <si>
    <t>JHN 15:24</t>
  </si>
  <si>
    <t>JHN 16:2</t>
  </si>
  <si>
    <t>16.2B-4A</t>
  </si>
  <si>
    <t>JHN 16:4</t>
  </si>
  <si>
    <t>16.4B-14</t>
  </si>
  <si>
    <t>JHN 16:14</t>
  </si>
  <si>
    <t>16.15A</t>
  </si>
  <si>
    <t>JHN 16:15</t>
  </si>
  <si>
    <t>16.15B-23A</t>
  </si>
  <si>
    <t>JHN 16:23</t>
  </si>
  <si>
    <t>16.23B-24</t>
  </si>
  <si>
    <t>JHN 16:24</t>
  </si>
  <si>
    <t>16.25-30</t>
  </si>
  <si>
    <t>JHN 16:25</t>
  </si>
  <si>
    <t>JHN 16:30</t>
  </si>
  <si>
    <t>16.31-32</t>
  </si>
  <si>
    <t>JHN 16:31</t>
  </si>
  <si>
    <t>JHN 16:32</t>
  </si>
  <si>
    <t>16.33-17.24</t>
  </si>
  <si>
    <t>JHN 16:33</t>
  </si>
  <si>
    <t>JHN 17:24</t>
  </si>
  <si>
    <t>17.25A</t>
  </si>
  <si>
    <t>JHN 17:25</t>
  </si>
  <si>
    <t>17.25B-26</t>
  </si>
  <si>
    <t>JHN 17:26</t>
  </si>
  <si>
    <t>JHN 18:1</t>
  </si>
  <si>
    <t>JHN 18:2</t>
  </si>
  <si>
    <t>JHN 18:3</t>
  </si>
  <si>
    <t>18.4-9</t>
  </si>
  <si>
    <t>JHN 18:4</t>
  </si>
  <si>
    <t>JHN 18:9</t>
  </si>
  <si>
    <t>18.10-11AB</t>
  </si>
  <si>
    <t>JHN 18:10</t>
  </si>
  <si>
    <t>JHN 18:11</t>
  </si>
  <si>
    <t>18.11C</t>
  </si>
  <si>
    <t>JHN 18:12</t>
  </si>
  <si>
    <t>18.13-14</t>
  </si>
  <si>
    <t>JHN 18:13</t>
  </si>
  <si>
    <t>JHN 18:14</t>
  </si>
  <si>
    <t>18.15A</t>
  </si>
  <si>
    <t>JHN 18:15</t>
  </si>
  <si>
    <t>18.15B</t>
  </si>
  <si>
    <t>18.16A</t>
  </si>
  <si>
    <t>JHN 18:16</t>
  </si>
  <si>
    <t>18.16B</t>
  </si>
  <si>
    <t>JHN 18:17</t>
  </si>
  <si>
    <t>18.18-19</t>
  </si>
  <si>
    <t>JHN 18:18</t>
  </si>
  <si>
    <t>JHN 18:19</t>
  </si>
  <si>
    <t>JHN 18:21</t>
  </si>
  <si>
    <t>JHN 18:22</t>
  </si>
  <si>
    <t>JHN 18:23</t>
  </si>
  <si>
    <t>JHN 18:24</t>
  </si>
  <si>
    <t>18.25-27</t>
  </si>
  <si>
    <t>JHN 18:25</t>
  </si>
  <si>
    <t>JHN 18:27</t>
  </si>
  <si>
    <t>18.28AB</t>
  </si>
  <si>
    <t>JHN 18:28</t>
  </si>
  <si>
    <t>18.28C-32</t>
  </si>
  <si>
    <t>JHN 18:32</t>
  </si>
  <si>
    <t>JHN 18:33</t>
  </si>
  <si>
    <t>18.34-36</t>
  </si>
  <si>
    <t>JHN 18:34</t>
  </si>
  <si>
    <t>JHN 18:36</t>
  </si>
  <si>
    <t>18.37A</t>
  </si>
  <si>
    <t>JHN 18:37</t>
  </si>
  <si>
    <t>18.37B-38A</t>
  </si>
  <si>
    <t>JHN 18:38</t>
  </si>
  <si>
    <t>18.38B</t>
  </si>
  <si>
    <t>JHN 18:39</t>
  </si>
  <si>
    <t>19.1-3</t>
  </si>
  <si>
    <t>JHN 19:1</t>
  </si>
  <si>
    <t>JHN 19:3</t>
  </si>
  <si>
    <t>JHN 19:4</t>
  </si>
  <si>
    <t>JHN 19:5</t>
  </si>
  <si>
    <t>19.6A</t>
  </si>
  <si>
    <t>JHN 19:6</t>
  </si>
  <si>
    <t>19.6BC</t>
  </si>
  <si>
    <t>19.6D</t>
  </si>
  <si>
    <t>JHN 19:7</t>
  </si>
  <si>
    <t>19.8-9</t>
  </si>
  <si>
    <t>JHN 19:8</t>
  </si>
  <si>
    <t>JHN 19:9</t>
  </si>
  <si>
    <t>19.10-14</t>
  </si>
  <si>
    <t>JHN 19:10</t>
  </si>
  <si>
    <t>JHN 19:14</t>
  </si>
  <si>
    <t>19.15A</t>
  </si>
  <si>
    <t>JHN 19:15</t>
  </si>
  <si>
    <t>19.15B</t>
  </si>
  <si>
    <t>JHN 19:16</t>
  </si>
  <si>
    <t>19.17-18A</t>
  </si>
  <si>
    <t>JHN 19:17</t>
  </si>
  <si>
    <t>JHN 19:18</t>
  </si>
  <si>
    <t>19.18B</t>
  </si>
  <si>
    <t>JHN 19:19</t>
  </si>
  <si>
    <t>19.20-22</t>
  </si>
  <si>
    <t>JHN 19:20</t>
  </si>
  <si>
    <t>JHN 19:22</t>
  </si>
  <si>
    <t>19.23-24B</t>
  </si>
  <si>
    <t>JHN 19:23</t>
  </si>
  <si>
    <t>JHN 19:24</t>
  </si>
  <si>
    <t>19.24C (=19.25 NRSV) -27</t>
  </si>
  <si>
    <t>19.28-30A</t>
  </si>
  <si>
    <t>JHN 19:28</t>
  </si>
  <si>
    <t>JHN 19:30</t>
  </si>
  <si>
    <t>19.30B</t>
  </si>
  <si>
    <t>19.31-37</t>
  </si>
  <si>
    <t>JHN 19:31</t>
  </si>
  <si>
    <t>JHN 19:37</t>
  </si>
  <si>
    <t>JHN 19:38</t>
  </si>
  <si>
    <t>JHN 19:39</t>
  </si>
  <si>
    <t>19.40-42</t>
  </si>
  <si>
    <t>JHN 19:40</t>
  </si>
  <si>
    <t>JHN 19:42</t>
  </si>
  <si>
    <t>JHN 20:1</t>
  </si>
  <si>
    <t>20.2-10</t>
  </si>
  <si>
    <t>JHN 20:2</t>
  </si>
  <si>
    <t>JHN 20:10</t>
  </si>
  <si>
    <t>20.11-12</t>
  </si>
  <si>
    <t>JHN 20:11</t>
  </si>
  <si>
    <t>JHN 20:12</t>
  </si>
  <si>
    <t>20.13-18</t>
  </si>
  <si>
    <t>JHN 20:13</t>
  </si>
  <si>
    <t>JHN 20:18</t>
  </si>
  <si>
    <t>20.19-20A</t>
  </si>
  <si>
    <t>JHN 20:19</t>
  </si>
  <si>
    <t>JHN 20:20</t>
  </si>
  <si>
    <t>20.20B-22</t>
  </si>
  <si>
    <t>JHN 20:22</t>
  </si>
  <si>
    <t>JHN 20:23</t>
  </si>
  <si>
    <t>20.24-25</t>
  </si>
  <si>
    <t>JHN 20:24</t>
  </si>
  <si>
    <t>JHN 20:25</t>
  </si>
  <si>
    <t>20.26-27</t>
  </si>
  <si>
    <t>JHN 20:26</t>
  </si>
  <si>
    <t>JHN 20:27</t>
  </si>
  <si>
    <t>20.28-31</t>
  </si>
  <si>
    <t>JHN 20:28</t>
  </si>
  <si>
    <t>JHN 20:31</t>
  </si>
  <si>
    <t>21.1-6</t>
  </si>
  <si>
    <t>JHN 21:1</t>
  </si>
  <si>
    <t>JHN 21:6</t>
  </si>
  <si>
    <t>21.7-8</t>
  </si>
  <si>
    <t>JHN 21:7</t>
  </si>
  <si>
    <t>JHN 21:8</t>
  </si>
  <si>
    <t>21.9-10</t>
  </si>
  <si>
    <t>JHN 21:9</t>
  </si>
  <si>
    <t>JHN 21:10</t>
  </si>
  <si>
    <t>JHN 21:11</t>
  </si>
  <si>
    <t>21.12A</t>
  </si>
  <si>
    <t>JHN 21:12</t>
  </si>
  <si>
    <t>21.12B</t>
  </si>
  <si>
    <t>JHN 21:13</t>
  </si>
  <si>
    <t>21.14-15AB</t>
  </si>
  <si>
    <t>JHN 21:14</t>
  </si>
  <si>
    <t>JHN 21:15</t>
  </si>
  <si>
    <t>21.15C</t>
  </si>
  <si>
    <t>21.16AB</t>
  </si>
  <si>
    <t>JHN 21:16</t>
  </si>
  <si>
    <t>21.16C</t>
  </si>
  <si>
    <t>21.17AB</t>
  </si>
  <si>
    <t>JHN 21:17</t>
  </si>
  <si>
    <t>21.17C</t>
  </si>
  <si>
    <t>21.18-25</t>
  </si>
  <si>
    <t>JHN 21:18</t>
  </si>
  <si>
    <t>JHN 21:25</t>
  </si>
  <si>
    <t>Start</t>
  </si>
  <si>
    <t>End</t>
  </si>
  <si>
    <t>Merged.Start</t>
  </si>
  <si>
    <t>Merged.End</t>
  </si>
  <si>
    <t>Sequence</t>
  </si>
  <si>
    <t>MAT 5:26</t>
  </si>
  <si>
    <t>MAT 9:38</t>
  </si>
  <si>
    <t>MAT 10:40</t>
  </si>
  <si>
    <t>MAT 11:10</t>
  </si>
  <si>
    <t>MAT 19:30</t>
  </si>
  <si>
    <t>MAT 24:20</t>
  </si>
  <si>
    <t>25.3</t>
  </si>
  <si>
    <t>MAT 25:30</t>
  </si>
  <si>
    <t>MAT 26:30</t>
  </si>
  <si>
    <t>MAT 27:50</t>
  </si>
  <si>
    <t>MRK 6:10</t>
  </si>
  <si>
    <t>MRK 6:30</t>
  </si>
  <si>
    <t>MRK 7:15</t>
  </si>
  <si>
    <t>MRK 9:10</t>
  </si>
  <si>
    <t>MRK 9:50</t>
  </si>
  <si>
    <t>MRK 10:10</t>
  </si>
  <si>
    <t>MRK 9:48</t>
  </si>
  <si>
    <t>MRK 13:10</t>
  </si>
  <si>
    <t>MRK 13:20</t>
  </si>
  <si>
    <t>MRK 15:20</t>
  </si>
  <si>
    <t>LUK 17:34</t>
  </si>
  <si>
    <t>LUK 17:36</t>
  </si>
  <si>
    <t>LUK 23:17</t>
  </si>
  <si>
    <t>LUK 6:20</t>
  </si>
  <si>
    <t>LUK 6:40</t>
  </si>
  <si>
    <t>LUK 7:10</t>
  </si>
  <si>
    <t>LUK 12:10</t>
  </si>
  <si>
    <t>LUK 12:57</t>
  </si>
  <si>
    <t>LUK 13:30</t>
  </si>
  <si>
    <t>LUK 14:35</t>
  </si>
  <si>
    <t>LUK 15:10</t>
  </si>
  <si>
    <t>LUK 19:10</t>
  </si>
  <si>
    <t>20.4</t>
  </si>
  <si>
    <t>LUK 20:40</t>
  </si>
  <si>
    <t>LUK 21:20</t>
  </si>
  <si>
    <t>LUK 22:20</t>
  </si>
  <si>
    <t>LUK 22:40</t>
  </si>
  <si>
    <t>LUK 22:70</t>
  </si>
  <si>
    <t>LUK 23:10</t>
  </si>
  <si>
    <t>LUK 23:31</t>
  </si>
  <si>
    <t>JHN 19:27</t>
  </si>
  <si>
    <t>JHN 6:30</t>
  </si>
  <si>
    <t>JHN 7:30</t>
  </si>
  <si>
    <t>JHN 13:20</t>
  </si>
  <si>
    <t>JHN 18:20</t>
  </si>
  <si>
    <t>JHN 18:40</t>
  </si>
  <si>
    <t>MRK 11:25</t>
  </si>
  <si>
    <t>MRK 11:26</t>
  </si>
  <si>
    <t>MRK 15:28</t>
  </si>
  <si>
    <t>MAT 18:10</t>
  </si>
  <si>
    <t>MAT 18:11</t>
  </si>
  <si>
    <t>MAT 23:13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</si>
</sst>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MS Shell Dlg 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right" vertical="center" wrapText="1"/>
    </xf>
    <xf numFmtId="0" fontId="0" fillId="0" borderId="0" xfId="0" applyFont="1" applyBorder="1"/>
    <xf numFmtId="0" fontId="0" fillId="0" borderId="0" xfId="0" applyBorder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C47B5A-D380-4B5B-BB7D-D418377254F4}" name="Table2" displayName="Table2" ref="A1:M356" totalsRowShown="0">
  <autoFilter ref="A1:M356" xr:uid="{44C47B5A-D380-4B5B-BB7D-D418377254F4}"/>
  <tableColumns count="13">
    <tableColumn id="1" xr3:uid="{B6E5A4A3-A325-4655-BAED-26FB08A96D47}" name="Section"/>
    <tableColumn id="2" xr3:uid="{62441186-BB71-4D4C-9C36-4B9FF3CB823C}" name="Canon"/>
    <tableColumn id="3" xr3:uid="{BF631784-4C87-4854-A384-8DC991C47ADB}" name="Reference" dataDxfId="9"/>
    <tableColumn id="4" xr3:uid="{18B8CA7A-7AE8-479C-B81D-4CCB34CD23F1}" name="StartR"/>
    <tableColumn id="5" xr3:uid="{82688CD3-3445-4B5F-8C27-9B49F2C42ED1}" name="EndR"/>
    <tableColumn id="6" xr3:uid="{A1179EF4-53AC-4594-95BC-6F67DF2D5AD0}" name="StartN"/>
    <tableColumn id="7" xr3:uid="{8B96725E-175F-46F8-A283-BB49B0FFDC51}" name="EndN"/>
    <tableColumn id="8" xr3:uid="{6C3D030F-E8D3-4BC0-B7CF-DADC9995FD94}" name="NeedsAttention"/>
    <tableColumn id="9" xr3:uid="{8BB3D8DD-5637-41F6-A3BE-806E06338A61}" name="Start"/>
    <tableColumn id="10" xr3:uid="{21E0859D-B9DB-4692-BB22-9F206F89FF74}" name="End"/>
    <tableColumn id="13" xr3:uid="{E248FEDA-8826-4F48-A1BC-C19C18A07885}" name="Merged.Start">
      <calculatedColumnFormula>IF(Table2[[#This Row],[NeedsAttention]]=1,Table2[[#This Row],[Start]],Table2[[#This Row],[StartN]])</calculatedColumnFormula>
    </tableColumn>
    <tableColumn id="14" xr3:uid="{36CA1AE8-D9B5-4F46-A263-88AF72CF8786}" name="Merged.End">
      <calculatedColumnFormula>IF(Table2[[#This Row],[NeedsAttention]]=1,Table2[[#This Row],[End]],Table2[[#This Row],[EndN]])</calculatedColumnFormula>
    </tableColumn>
    <tableColumn id="15" xr3:uid="{63D142A4-62E1-46C5-9C17-92402D339F74}" name="Sequenc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E701F6-B5AB-42B6-93BA-F84D804CFB6D}" name="Table3" displayName="Table3" ref="A1:M242" totalsRowShown="0">
  <autoFilter ref="A1:M242" xr:uid="{02E701F6-B5AB-42B6-93BA-F84D804CFB6D}"/>
  <tableColumns count="13">
    <tableColumn id="1" xr3:uid="{2E1F349C-3B67-4459-AE2F-FD8D1A25D7BC}" name="Section"/>
    <tableColumn id="2" xr3:uid="{49D31E25-B80E-4064-9EEA-BE0CAC8A8003}" name="Canon"/>
    <tableColumn id="3" xr3:uid="{2707933C-0FEA-4C2F-AA42-F29B31C7D7FF}" name="Reference" dataDxfId="8"/>
    <tableColumn id="4" xr3:uid="{8C3A7453-2FC0-4640-B3D8-04A3B2513D6D}" name="StartR"/>
    <tableColumn id="5" xr3:uid="{B17726E3-DF64-461D-BBBC-A5F3016B539C}" name="EndR"/>
    <tableColumn id="6" xr3:uid="{3C6DE376-2862-4C97-B1AD-C15E54920986}" name="StartN"/>
    <tableColumn id="7" xr3:uid="{4CCB2990-A5DE-4F45-A28E-959445E8501D}" name="EndN"/>
    <tableColumn id="8" xr3:uid="{F9B45E5B-DA11-48E4-8D13-ECDA2DAF9B04}" name="NeedsAttention"/>
    <tableColumn id="9" xr3:uid="{CE50BAFA-E8B0-47ED-84C2-C77C11A59233}" name="Start"/>
    <tableColumn id="10" xr3:uid="{68198529-6639-4FE1-8386-FAFBD3FB0DB2}" name="End"/>
    <tableColumn id="13" xr3:uid="{CE2E1AB8-ADD6-4859-85EA-F937837D6C81}" name="Merged.Start">
      <calculatedColumnFormula>IF(Table3[[#This Row],[NeedsAttention]]=1,Table3[[#This Row],[Start]],Table3[[#This Row],[StartN]])</calculatedColumnFormula>
    </tableColumn>
    <tableColumn id="14" xr3:uid="{9284205B-1886-4A02-A9EE-06033EF589B4}" name="Merged.End">
      <calculatedColumnFormula>IF(Table3[[#This Row],[NeedsAttention]]=1,Table3[[#This Row],[End]],Table3[[#This Row],[EndN]])</calculatedColumnFormula>
    </tableColumn>
    <tableColumn id="15" xr3:uid="{D51C39EB-45F6-4FF2-8BC1-07D982A95484}" name="Sequenc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EF2AB6-105E-4A3D-A93B-3CA363068012}" name="Table4" displayName="Table4" ref="A1:M343" totalsRowShown="0">
  <autoFilter ref="A1:M343" xr:uid="{23EF2AB6-105E-4A3D-A93B-3CA363068012}"/>
  <tableColumns count="13">
    <tableColumn id="1" xr3:uid="{FCC338FF-6D86-4174-9F71-1730D822E7F0}" name="Section"/>
    <tableColumn id="2" xr3:uid="{F3693744-1866-433F-BE4F-9EAD4AC9B4C2}" name="Canon"/>
    <tableColumn id="3" xr3:uid="{EEBF0F20-132D-4B33-B54E-BD5852062EAC}" name="Reference"/>
    <tableColumn id="4" xr3:uid="{E629788D-0CD2-4F88-A05C-CA1B5AF63AA7}" name="StartR"/>
    <tableColumn id="5" xr3:uid="{7524D27F-FDD0-477A-B55D-F9AEDD400194}" name="EndR"/>
    <tableColumn id="6" xr3:uid="{9BB59B06-D291-4C71-9865-7EAC0FE7DCE9}" name="StartN"/>
    <tableColumn id="7" xr3:uid="{81B94876-5F50-4103-A0EE-F650A31E0121}" name="EndN"/>
    <tableColumn id="8" xr3:uid="{6655E5F2-25FA-4B0E-96E7-0657F9956663}" name="NeedsAttention"/>
    <tableColumn id="9" xr3:uid="{81ADE2B0-FCD3-4D59-9200-44F82E1C1524}" name="Start"/>
    <tableColumn id="10" xr3:uid="{EF4953B5-0877-4039-9736-A09C9A700148}" name="End"/>
    <tableColumn id="11" xr3:uid="{8011E41A-46C2-4C88-BA17-74BCE5310E1D}" name="Merged.Start"/>
    <tableColumn id="12" xr3:uid="{98FBBA4D-F009-4D36-B65C-3B2C5BE16D55}" name="Merged.End"/>
    <tableColumn id="13" xr3:uid="{A3184E75-4D1D-4435-844B-106057FC56D5}" name="Sequenc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B0B02A9-0B62-4C5B-A8DA-24D648FA8384}" name="Table5" displayName="Table5" ref="A1:M233" totalsRowShown="0">
  <autoFilter ref="A1:M233" xr:uid="{1B0B02A9-0B62-4C5B-A8DA-24D648FA8384}"/>
  <tableColumns count="13">
    <tableColumn id="1" xr3:uid="{B3703247-7D2A-4754-8C7C-FBE2FC66E93A}" name="Section"/>
    <tableColumn id="2" xr3:uid="{4210403E-3CDA-403C-878F-0D26715CD98E}" name="Canon"/>
    <tableColumn id="3" xr3:uid="{C13E2B2A-DD45-4485-8482-129A58911FF3}" name="Reference"/>
    <tableColumn id="4" xr3:uid="{89FA4662-ACB4-4574-ADBB-A2F23C2A776E}" name="StartR"/>
    <tableColumn id="5" xr3:uid="{7E18429E-969B-4C17-BA4F-A13EC56D8EC8}" name="EndR"/>
    <tableColumn id="6" xr3:uid="{4CADB4FB-6EA7-40C4-B8D3-5EC87678FF7B}" name="StartN"/>
    <tableColumn id="7" xr3:uid="{665311CF-E0DC-4222-908A-F8524AB83297}" name="EndN"/>
    <tableColumn id="8" xr3:uid="{A8262303-DE05-47DE-B083-717B763DECA0}" name="NeedsAttention"/>
    <tableColumn id="9" xr3:uid="{D45C9FB5-49F5-43B4-8903-BA1B94794DA3}" name="Start"/>
    <tableColumn id="10" xr3:uid="{ACC0D9C2-8D78-4D6B-BE04-285160EC4919}" name="End"/>
    <tableColumn id="11" xr3:uid="{D3319906-5C51-4161-940D-39624325BF12}" name="Merged.Start"/>
    <tableColumn id="12" xr3:uid="{D64C1530-496D-43D2-A3A6-2967A4A77558}" name="Merged.End"/>
    <tableColumn id="13" xr3:uid="{8C02EEF2-5179-49AA-9649-4689817AF76C}" name="Sequen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6"/>
  <sheetViews>
    <sheetView tabSelected="1" workbookViewId="0"/>
  </sheetViews>
  <sheetFormatPr defaultRowHeight="15" x14ac:dyDescent="0.25"/>
  <cols>
    <col min="1" max="1" width="9.7109375" customWidth="1"/>
    <col min="2" max="2" width="8.85546875" bestFit="1" customWidth="1"/>
    <col min="3" max="3" width="12.28515625" customWidth="1"/>
    <col min="4" max="5" width="10" bestFit="1" customWidth="1"/>
    <col min="8" max="8" width="17.42578125" customWidth="1"/>
    <col min="11" max="11" width="15" bestFit="1" customWidth="1"/>
    <col min="12" max="12" width="14.140625" bestFit="1" customWidth="1"/>
  </cols>
  <sheetData>
    <row r="1" spans="1:21" x14ac:dyDescent="0.25">
      <c r="A1" t="s">
        <v>0</v>
      </c>
      <c r="B1" t="s">
        <v>1</v>
      </c>
      <c r="C1" t="s">
        <v>799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2498</v>
      </c>
      <c r="J1" t="s">
        <v>2499</v>
      </c>
      <c r="K1" t="s">
        <v>2500</v>
      </c>
      <c r="L1" t="s">
        <v>2501</v>
      </c>
      <c r="M1" t="s">
        <v>2502</v>
      </c>
    </row>
    <row r="2" spans="1:21" x14ac:dyDescent="0.25">
      <c r="A2">
        <v>1</v>
      </c>
      <c r="B2">
        <v>3</v>
      </c>
      <c r="C2" s="1" t="s">
        <v>7</v>
      </c>
      <c r="D2" t="s">
        <v>8</v>
      </c>
      <c r="E2" t="s">
        <v>9</v>
      </c>
      <c r="F2">
        <v>1</v>
      </c>
      <c r="G2">
        <v>246</v>
      </c>
      <c r="H2">
        <v>0</v>
      </c>
      <c r="K2">
        <f>IF(Table2[[#This Row],[NeedsAttention]]=1,Table2[[#This Row],[Start]],Table2[[#This Row],[StartN]])</f>
        <v>1</v>
      </c>
      <c r="L2">
        <f>IF(Table2[[#This Row],[NeedsAttention]]=1,Table2[[#This Row],[End]],Table2[[#This Row],[EndN]])</f>
        <v>246</v>
      </c>
      <c r="O2">
        <f>Table2[[#This Row],[Section]]</f>
        <v>1</v>
      </c>
      <c r="P2">
        <f>Table2[[#This Row],[Canon]]</f>
        <v>3</v>
      </c>
      <c r="Q2" s="1" t="str">
        <f>Table2[[#This Row],[Reference]]</f>
        <v>1.1-16</v>
      </c>
      <c r="R2" t="str">
        <f>Table2[[#This Row],[StartR]]</f>
        <v>MAT 1:1</v>
      </c>
      <c r="S2" t="str">
        <f>Table2[[#This Row],[EndR]]</f>
        <v>MAT 1:16</v>
      </c>
      <c r="T2">
        <f>Table2[[#This Row],[Merged.Start]]</f>
        <v>1</v>
      </c>
      <c r="U2">
        <f>Table2[[#This Row],[Merged.End]]</f>
        <v>246</v>
      </c>
    </row>
    <row r="3" spans="1:21" x14ac:dyDescent="0.25">
      <c r="A3">
        <v>2</v>
      </c>
      <c r="B3">
        <v>10</v>
      </c>
      <c r="C3" s="1">
        <v>1.17</v>
      </c>
      <c r="D3" t="s">
        <v>10</v>
      </c>
      <c r="E3" t="s">
        <v>10</v>
      </c>
      <c r="F3">
        <v>247</v>
      </c>
      <c r="G3">
        <v>275</v>
      </c>
      <c r="H3">
        <v>0</v>
      </c>
      <c r="K3">
        <f>IF(Table2[[#This Row],[NeedsAttention]]=1,Table2[[#This Row],[Start]],Table2[[#This Row],[StartN]])</f>
        <v>247</v>
      </c>
      <c r="L3">
        <f>IF(Table2[[#This Row],[NeedsAttention]]=1,Table2[[#This Row],[End]],Table2[[#This Row],[EndN]])</f>
        <v>275</v>
      </c>
      <c r="M3" t="b">
        <f>Table2[[#This Row],[Merged.Start]]=L2+1</f>
        <v>1</v>
      </c>
      <c r="O3">
        <f>Table2[[#This Row],[Section]]</f>
        <v>2</v>
      </c>
      <c r="P3">
        <f>Table2[[#This Row],[Canon]]</f>
        <v>10</v>
      </c>
      <c r="Q3" s="1">
        <f>Table2[[#This Row],[Reference]]</f>
        <v>1.17</v>
      </c>
      <c r="R3" t="str">
        <f>Table2[[#This Row],[StartR]]</f>
        <v>MAT 1:17</v>
      </c>
      <c r="S3" t="str">
        <f>Table2[[#This Row],[EndR]]</f>
        <v>MAT 1:17</v>
      </c>
      <c r="T3">
        <f>Table2[[#This Row],[Merged.Start]]</f>
        <v>247</v>
      </c>
      <c r="U3">
        <f>Table2[[#This Row],[Merged.End]]</f>
        <v>275</v>
      </c>
    </row>
    <row r="4" spans="1:21" x14ac:dyDescent="0.25">
      <c r="A4">
        <v>3</v>
      </c>
      <c r="B4">
        <v>5</v>
      </c>
      <c r="C4" s="1">
        <v>1.18</v>
      </c>
      <c r="D4" t="s">
        <v>11</v>
      </c>
      <c r="E4" t="s">
        <v>11</v>
      </c>
      <c r="F4">
        <v>276</v>
      </c>
      <c r="G4">
        <v>301</v>
      </c>
      <c r="H4">
        <v>0</v>
      </c>
      <c r="K4">
        <f>IF(Table2[[#This Row],[NeedsAttention]]=1,Table2[[#This Row],[Start]],Table2[[#This Row],[StartN]])</f>
        <v>276</v>
      </c>
      <c r="L4">
        <f>IF(Table2[[#This Row],[NeedsAttention]]=1,Table2[[#This Row],[End]],Table2[[#This Row],[EndN]])</f>
        <v>301</v>
      </c>
      <c r="M4" t="b">
        <f>Table2[[#This Row],[Merged.Start]]=L3+1</f>
        <v>1</v>
      </c>
      <c r="O4">
        <f>Table2[[#This Row],[Section]]</f>
        <v>3</v>
      </c>
      <c r="P4">
        <f>Table2[[#This Row],[Canon]]</f>
        <v>5</v>
      </c>
      <c r="Q4" s="1">
        <f>Table2[[#This Row],[Reference]]</f>
        <v>1.18</v>
      </c>
      <c r="R4" t="str">
        <f>Table2[[#This Row],[StartR]]</f>
        <v>MAT 1:18</v>
      </c>
      <c r="S4" t="str">
        <f>Table2[[#This Row],[EndR]]</f>
        <v>MAT 1:18</v>
      </c>
      <c r="T4">
        <f>Table2[[#This Row],[Merged.Start]]</f>
        <v>276</v>
      </c>
      <c r="U4">
        <f>Table2[[#This Row],[Merged.End]]</f>
        <v>301</v>
      </c>
    </row>
    <row r="5" spans="1:21" x14ac:dyDescent="0.25">
      <c r="A5">
        <v>4</v>
      </c>
      <c r="B5">
        <v>10</v>
      </c>
      <c r="C5" s="1" t="s">
        <v>12</v>
      </c>
      <c r="D5" t="s">
        <v>13</v>
      </c>
      <c r="E5" t="s">
        <v>14</v>
      </c>
      <c r="F5">
        <v>302</v>
      </c>
      <c r="G5">
        <v>503</v>
      </c>
      <c r="H5">
        <v>0</v>
      </c>
      <c r="K5">
        <f>IF(Table2[[#This Row],[NeedsAttention]]=1,Table2[[#This Row],[Start]],Table2[[#This Row],[StartN]])</f>
        <v>302</v>
      </c>
      <c r="L5">
        <f>IF(Table2[[#This Row],[NeedsAttention]]=1,Table2[[#This Row],[End]],Table2[[#This Row],[EndN]])</f>
        <v>503</v>
      </c>
      <c r="M5" t="b">
        <f>Table2[[#This Row],[Merged.Start]]=L4+1</f>
        <v>1</v>
      </c>
      <c r="O5">
        <f>Table2[[#This Row],[Section]]</f>
        <v>4</v>
      </c>
      <c r="P5">
        <f>Table2[[#This Row],[Canon]]</f>
        <v>10</v>
      </c>
      <c r="Q5" s="1" t="str">
        <f>Table2[[#This Row],[Reference]]</f>
        <v>1.19-2.4</v>
      </c>
      <c r="R5" t="str">
        <f>Table2[[#This Row],[StartR]]</f>
        <v>MAT 1:19</v>
      </c>
      <c r="S5" t="str">
        <f>Table2[[#This Row],[EndR]]</f>
        <v>MAT 2:4</v>
      </c>
      <c r="T5">
        <f>Table2[[#This Row],[Merged.Start]]</f>
        <v>302</v>
      </c>
      <c r="U5">
        <f>Table2[[#This Row],[Merged.End]]</f>
        <v>503</v>
      </c>
    </row>
    <row r="6" spans="1:21" x14ac:dyDescent="0.25">
      <c r="A6">
        <v>5</v>
      </c>
      <c r="B6">
        <v>7</v>
      </c>
      <c r="C6" s="1" t="s">
        <v>15</v>
      </c>
      <c r="D6" t="s">
        <v>16</v>
      </c>
      <c r="E6" t="s">
        <v>17</v>
      </c>
      <c r="F6">
        <v>504</v>
      </c>
      <c r="G6">
        <v>541</v>
      </c>
      <c r="H6">
        <v>0</v>
      </c>
      <c r="K6">
        <f>IF(Table2[[#This Row],[NeedsAttention]]=1,Table2[[#This Row],[Start]],Table2[[#This Row],[StartN]])</f>
        <v>504</v>
      </c>
      <c r="L6">
        <f>IF(Table2[[#This Row],[NeedsAttention]]=1,Table2[[#This Row],[End]],Table2[[#This Row],[EndN]])</f>
        <v>541</v>
      </c>
      <c r="M6" t="b">
        <f>Table2[[#This Row],[Merged.Start]]=L5+1</f>
        <v>1</v>
      </c>
      <c r="O6">
        <f>Table2[[#This Row],[Section]]</f>
        <v>5</v>
      </c>
      <c r="P6">
        <f>Table2[[#This Row],[Canon]]</f>
        <v>7</v>
      </c>
      <c r="Q6" s="1" t="str">
        <f>Table2[[#This Row],[Reference]]</f>
        <v>2.5-6</v>
      </c>
      <c r="R6" t="str">
        <f>Table2[[#This Row],[StartR]]</f>
        <v>MAT 2:5</v>
      </c>
      <c r="S6" t="str">
        <f>Table2[[#This Row],[EndR]]</f>
        <v>MAT 2:6</v>
      </c>
      <c r="T6">
        <f>Table2[[#This Row],[Merged.Start]]</f>
        <v>504</v>
      </c>
      <c r="U6">
        <f>Table2[[#This Row],[Merged.End]]</f>
        <v>541</v>
      </c>
    </row>
    <row r="7" spans="1:21" x14ac:dyDescent="0.25">
      <c r="A7">
        <v>6</v>
      </c>
      <c r="B7">
        <v>1</v>
      </c>
      <c r="C7" s="1" t="s">
        <v>18</v>
      </c>
      <c r="D7" t="s">
        <v>19</v>
      </c>
      <c r="E7" t="s">
        <v>20</v>
      </c>
      <c r="F7">
        <v>542</v>
      </c>
      <c r="G7">
        <v>893</v>
      </c>
      <c r="H7">
        <v>0</v>
      </c>
      <c r="K7">
        <f>IF(Table2[[#This Row],[NeedsAttention]]=1,Table2[[#This Row],[Start]],Table2[[#This Row],[StartN]])</f>
        <v>542</v>
      </c>
      <c r="L7">
        <f>IF(Table2[[#This Row],[NeedsAttention]]=1,Table2[[#This Row],[End]],Table2[[#This Row],[EndN]])</f>
        <v>893</v>
      </c>
      <c r="M7" t="b">
        <f>Table2[[#This Row],[Merged.Start]]=L6+1</f>
        <v>1</v>
      </c>
      <c r="O7">
        <f>Table2[[#This Row],[Section]]</f>
        <v>6</v>
      </c>
      <c r="P7">
        <f>Table2[[#This Row],[Canon]]</f>
        <v>1</v>
      </c>
      <c r="Q7" s="1" t="str">
        <f>Table2[[#This Row],[Reference]]</f>
        <v>2.7-23</v>
      </c>
      <c r="R7" t="str">
        <f>Table2[[#This Row],[StartR]]</f>
        <v>MAT 2:7</v>
      </c>
      <c r="S7" t="str">
        <f>Table2[[#This Row],[EndR]]</f>
        <v>MAT 2:23</v>
      </c>
      <c r="T7">
        <f>Table2[[#This Row],[Merged.Start]]</f>
        <v>542</v>
      </c>
      <c r="U7">
        <f>Table2[[#This Row],[Merged.End]]</f>
        <v>893</v>
      </c>
    </row>
    <row r="8" spans="1:21" x14ac:dyDescent="0.25">
      <c r="A8">
        <v>7</v>
      </c>
      <c r="B8">
        <v>3</v>
      </c>
      <c r="C8" s="1" t="s">
        <v>21</v>
      </c>
      <c r="D8" t="s">
        <v>22</v>
      </c>
      <c r="E8" t="s">
        <v>23</v>
      </c>
      <c r="F8">
        <v>894</v>
      </c>
      <c r="G8">
        <v>917</v>
      </c>
      <c r="H8">
        <v>0</v>
      </c>
      <c r="K8">
        <f>IF(Table2[[#This Row],[NeedsAttention]]=1,Table2[[#This Row],[Start]],Table2[[#This Row],[StartN]])</f>
        <v>894</v>
      </c>
      <c r="L8">
        <f>IF(Table2[[#This Row],[NeedsAttention]]=1,Table2[[#This Row],[End]],Table2[[#This Row],[EndN]])</f>
        <v>917</v>
      </c>
      <c r="M8" t="b">
        <f>Table2[[#This Row],[Merged.Start]]=L7+1</f>
        <v>1</v>
      </c>
      <c r="O8">
        <f>Table2[[#This Row],[Section]]</f>
        <v>7</v>
      </c>
      <c r="P8">
        <f>Table2[[#This Row],[Canon]]</f>
        <v>3</v>
      </c>
      <c r="Q8" s="1" t="str">
        <f>Table2[[#This Row],[Reference]]</f>
        <v>3.1-2</v>
      </c>
      <c r="R8" t="str">
        <f>Table2[[#This Row],[StartR]]</f>
        <v>MAT 3:1</v>
      </c>
      <c r="S8" t="str">
        <f>Table2[[#This Row],[EndR]]</f>
        <v>MAT 3:2</v>
      </c>
      <c r="T8">
        <f>Table2[[#This Row],[Merged.Start]]</f>
        <v>894</v>
      </c>
      <c r="U8">
        <f>Table2[[#This Row],[Merged.End]]</f>
        <v>917</v>
      </c>
    </row>
    <row r="9" spans="1:21" x14ac:dyDescent="0.25">
      <c r="A9">
        <v>8</v>
      </c>
      <c r="B9">
        <v>1</v>
      </c>
      <c r="C9" s="1">
        <v>3.3</v>
      </c>
      <c r="D9" t="s">
        <v>24</v>
      </c>
      <c r="E9" t="s">
        <v>24</v>
      </c>
      <c r="F9">
        <v>918</v>
      </c>
      <c r="G9">
        <v>941</v>
      </c>
      <c r="H9">
        <v>0</v>
      </c>
      <c r="K9">
        <f>IF(Table2[[#This Row],[NeedsAttention]]=1,Table2[[#This Row],[Start]],Table2[[#This Row],[StartN]])</f>
        <v>918</v>
      </c>
      <c r="L9">
        <f>IF(Table2[[#This Row],[NeedsAttention]]=1,Table2[[#This Row],[End]],Table2[[#This Row],[EndN]])</f>
        <v>941</v>
      </c>
      <c r="M9" t="b">
        <f>Table2[[#This Row],[Merged.Start]]=L8+1</f>
        <v>1</v>
      </c>
      <c r="O9">
        <f>Table2[[#This Row],[Section]]</f>
        <v>8</v>
      </c>
      <c r="P9">
        <f>Table2[[#This Row],[Canon]]</f>
        <v>1</v>
      </c>
      <c r="Q9" s="1">
        <f>Table2[[#This Row],[Reference]]</f>
        <v>3.3</v>
      </c>
      <c r="R9" t="str">
        <f>Table2[[#This Row],[StartR]]</f>
        <v>MAT 3:3</v>
      </c>
      <c r="S9" t="str">
        <f>Table2[[#This Row],[EndR]]</f>
        <v>MAT 3:3</v>
      </c>
      <c r="T9">
        <f>Table2[[#This Row],[Merged.Start]]</f>
        <v>918</v>
      </c>
      <c r="U9">
        <f>Table2[[#This Row],[Merged.End]]</f>
        <v>941</v>
      </c>
    </row>
    <row r="10" spans="1:21" x14ac:dyDescent="0.25">
      <c r="A10">
        <v>9</v>
      </c>
      <c r="B10">
        <v>6</v>
      </c>
      <c r="C10" s="1" t="s">
        <v>25</v>
      </c>
      <c r="D10" t="s">
        <v>26</v>
      </c>
      <c r="E10" t="s">
        <v>27</v>
      </c>
      <c r="F10">
        <v>942</v>
      </c>
      <c r="G10">
        <v>995</v>
      </c>
      <c r="H10">
        <v>0</v>
      </c>
      <c r="K10">
        <f>IF(Table2[[#This Row],[NeedsAttention]]=1,Table2[[#This Row],[Start]],Table2[[#This Row],[StartN]])</f>
        <v>942</v>
      </c>
      <c r="L10">
        <f>IF(Table2[[#This Row],[NeedsAttention]]=1,Table2[[#This Row],[End]],Table2[[#This Row],[EndN]])</f>
        <v>995</v>
      </c>
      <c r="M10" t="b">
        <f>Table2[[#This Row],[Merged.Start]]=L9+1</f>
        <v>1</v>
      </c>
      <c r="O10">
        <f>Table2[[#This Row],[Section]]</f>
        <v>9</v>
      </c>
      <c r="P10">
        <f>Table2[[#This Row],[Canon]]</f>
        <v>6</v>
      </c>
      <c r="Q10" s="1" t="str">
        <f>Table2[[#This Row],[Reference]]</f>
        <v>3.4-6</v>
      </c>
      <c r="R10" t="str">
        <f>Table2[[#This Row],[StartR]]</f>
        <v>MAT 3:4</v>
      </c>
      <c r="S10" t="str">
        <f>Table2[[#This Row],[EndR]]</f>
        <v>MAT 3:6</v>
      </c>
      <c r="T10">
        <f>Table2[[#This Row],[Merged.Start]]</f>
        <v>942</v>
      </c>
      <c r="U10">
        <f>Table2[[#This Row],[Merged.End]]</f>
        <v>995</v>
      </c>
    </row>
    <row r="11" spans="1:21" x14ac:dyDescent="0.25">
      <c r="A11">
        <v>10</v>
      </c>
      <c r="B11">
        <v>5</v>
      </c>
      <c r="C11" s="1" t="s">
        <v>28</v>
      </c>
      <c r="D11" t="s">
        <v>29</v>
      </c>
      <c r="E11" t="s">
        <v>30</v>
      </c>
      <c r="F11">
        <v>996</v>
      </c>
      <c r="G11">
        <v>1072</v>
      </c>
      <c r="H11">
        <v>0</v>
      </c>
      <c r="K11">
        <f>IF(Table2[[#This Row],[NeedsAttention]]=1,Table2[[#This Row],[Start]],Table2[[#This Row],[StartN]])</f>
        <v>996</v>
      </c>
      <c r="L11">
        <f>IF(Table2[[#This Row],[NeedsAttention]]=1,Table2[[#This Row],[End]],Table2[[#This Row],[EndN]])</f>
        <v>1072</v>
      </c>
      <c r="M11" t="b">
        <f>Table2[[#This Row],[Merged.Start]]=L10+1</f>
        <v>1</v>
      </c>
      <c r="O11">
        <f>Table2[[#This Row],[Section]]</f>
        <v>10</v>
      </c>
      <c r="P11">
        <f>Table2[[#This Row],[Canon]]</f>
        <v>5</v>
      </c>
      <c r="Q11" s="1" t="str">
        <f>Table2[[#This Row],[Reference]]</f>
        <v>3.7-10</v>
      </c>
      <c r="R11" t="str">
        <f>Table2[[#This Row],[StartR]]</f>
        <v>MAT 3:7</v>
      </c>
      <c r="S11" t="str">
        <f>Table2[[#This Row],[EndR]]</f>
        <v>MAT 3:10</v>
      </c>
      <c r="T11">
        <f>Table2[[#This Row],[Merged.Start]]</f>
        <v>996</v>
      </c>
      <c r="U11">
        <f>Table2[[#This Row],[Merged.End]]</f>
        <v>1072</v>
      </c>
    </row>
    <row r="12" spans="1:21" x14ac:dyDescent="0.25">
      <c r="A12">
        <v>11</v>
      </c>
      <c r="B12">
        <v>1</v>
      </c>
      <c r="C12" s="1">
        <v>3.11</v>
      </c>
      <c r="D12" t="s">
        <v>31</v>
      </c>
      <c r="E12" t="s">
        <v>31</v>
      </c>
      <c r="F12">
        <v>1073</v>
      </c>
      <c r="G12">
        <v>1103</v>
      </c>
      <c r="H12">
        <v>0</v>
      </c>
      <c r="K12">
        <f>IF(Table2[[#This Row],[NeedsAttention]]=1,Table2[[#This Row],[Start]],Table2[[#This Row],[StartN]])</f>
        <v>1073</v>
      </c>
      <c r="L12">
        <f>IF(Table2[[#This Row],[NeedsAttention]]=1,Table2[[#This Row],[End]],Table2[[#This Row],[EndN]])</f>
        <v>1103</v>
      </c>
      <c r="M12" t="b">
        <f>Table2[[#This Row],[Merged.Start]]=L11+1</f>
        <v>1</v>
      </c>
      <c r="O12">
        <f>Table2[[#This Row],[Section]]</f>
        <v>11</v>
      </c>
      <c r="P12">
        <f>Table2[[#This Row],[Canon]]</f>
        <v>1</v>
      </c>
      <c r="Q12" s="1">
        <f>Table2[[#This Row],[Reference]]</f>
        <v>3.11</v>
      </c>
      <c r="R12" t="str">
        <f>Table2[[#This Row],[StartR]]</f>
        <v>MAT 3:11</v>
      </c>
      <c r="S12" t="str">
        <f>Table2[[#This Row],[EndR]]</f>
        <v>MAT 3:11</v>
      </c>
      <c r="T12">
        <f>Table2[[#This Row],[Merged.Start]]</f>
        <v>1073</v>
      </c>
      <c r="U12">
        <f>Table2[[#This Row],[Merged.End]]</f>
        <v>1103</v>
      </c>
    </row>
    <row r="13" spans="1:21" x14ac:dyDescent="0.25">
      <c r="A13">
        <v>12</v>
      </c>
      <c r="B13">
        <v>5</v>
      </c>
      <c r="C13" s="1">
        <v>3.12</v>
      </c>
      <c r="D13" t="s">
        <v>32</v>
      </c>
      <c r="E13" t="s">
        <v>32</v>
      </c>
      <c r="F13">
        <v>1104</v>
      </c>
      <c r="G13">
        <v>1129</v>
      </c>
      <c r="H13">
        <v>0</v>
      </c>
      <c r="K13">
        <f>IF(Table2[[#This Row],[NeedsAttention]]=1,Table2[[#This Row],[Start]],Table2[[#This Row],[StartN]])</f>
        <v>1104</v>
      </c>
      <c r="L13">
        <f>IF(Table2[[#This Row],[NeedsAttention]]=1,Table2[[#This Row],[End]],Table2[[#This Row],[EndN]])</f>
        <v>1129</v>
      </c>
      <c r="M13" t="b">
        <f>Table2[[#This Row],[Merged.Start]]=L12+1</f>
        <v>1</v>
      </c>
      <c r="O13">
        <f>Table2[[#This Row],[Section]]</f>
        <v>12</v>
      </c>
      <c r="P13">
        <f>Table2[[#This Row],[Canon]]</f>
        <v>5</v>
      </c>
      <c r="Q13" s="1">
        <f>Table2[[#This Row],[Reference]]</f>
        <v>3.12</v>
      </c>
      <c r="R13" t="str">
        <f>Table2[[#This Row],[StartR]]</f>
        <v>MAT 3:12</v>
      </c>
      <c r="S13" t="str">
        <f>Table2[[#This Row],[EndR]]</f>
        <v>MAT 3:12</v>
      </c>
      <c r="T13">
        <f>Table2[[#This Row],[Merged.Start]]</f>
        <v>1104</v>
      </c>
      <c r="U13">
        <f>Table2[[#This Row],[Merged.End]]</f>
        <v>1129</v>
      </c>
    </row>
    <row r="14" spans="1:21" x14ac:dyDescent="0.25">
      <c r="A14">
        <v>13</v>
      </c>
      <c r="B14">
        <v>10</v>
      </c>
      <c r="C14" s="1" t="s">
        <v>33</v>
      </c>
      <c r="D14" t="s">
        <v>34</v>
      </c>
      <c r="E14" t="s">
        <v>35</v>
      </c>
      <c r="F14">
        <v>1130</v>
      </c>
      <c r="G14">
        <v>1183</v>
      </c>
      <c r="H14">
        <v>0</v>
      </c>
      <c r="K14">
        <f>IF(Table2[[#This Row],[NeedsAttention]]=1,Table2[[#This Row],[Start]],Table2[[#This Row],[StartN]])</f>
        <v>1130</v>
      </c>
      <c r="L14">
        <f>IF(Table2[[#This Row],[NeedsAttention]]=1,Table2[[#This Row],[End]],Table2[[#This Row],[EndN]])</f>
        <v>1183</v>
      </c>
      <c r="M14" t="b">
        <f>Table2[[#This Row],[Merged.Start]]=L13+1</f>
        <v>1</v>
      </c>
      <c r="O14">
        <f>Table2[[#This Row],[Section]]</f>
        <v>13</v>
      </c>
      <c r="P14">
        <f>Table2[[#This Row],[Canon]]</f>
        <v>10</v>
      </c>
      <c r="Q14" s="1" t="str">
        <f>Table2[[#This Row],[Reference]]</f>
        <v>3.13-15</v>
      </c>
      <c r="R14" t="str">
        <f>Table2[[#This Row],[StartR]]</f>
        <v>MAT 3:13</v>
      </c>
      <c r="S14" t="str">
        <f>Table2[[#This Row],[EndR]]</f>
        <v>MAT 3:15</v>
      </c>
      <c r="T14">
        <f>Table2[[#This Row],[Merged.Start]]</f>
        <v>1130</v>
      </c>
      <c r="U14">
        <f>Table2[[#This Row],[Merged.End]]</f>
        <v>1183</v>
      </c>
    </row>
    <row r="15" spans="1:21" x14ac:dyDescent="0.25">
      <c r="A15">
        <v>14</v>
      </c>
      <c r="B15">
        <v>1</v>
      </c>
      <c r="C15" s="1" t="s">
        <v>36</v>
      </c>
      <c r="D15" t="s">
        <v>37</v>
      </c>
      <c r="E15" t="s">
        <v>38</v>
      </c>
      <c r="F15">
        <v>1184</v>
      </c>
      <c r="G15">
        <v>1224</v>
      </c>
      <c r="H15">
        <v>0</v>
      </c>
      <c r="K15">
        <f>IF(Table2[[#This Row],[NeedsAttention]]=1,Table2[[#This Row],[Start]],Table2[[#This Row],[StartN]])</f>
        <v>1184</v>
      </c>
      <c r="L15">
        <f>IF(Table2[[#This Row],[NeedsAttention]]=1,Table2[[#This Row],[End]],Table2[[#This Row],[EndN]])</f>
        <v>1224</v>
      </c>
      <c r="M15" t="b">
        <f>Table2[[#This Row],[Merged.Start]]=L14+1</f>
        <v>1</v>
      </c>
      <c r="O15">
        <f>Table2[[#This Row],[Section]]</f>
        <v>14</v>
      </c>
      <c r="P15">
        <f>Table2[[#This Row],[Canon]]</f>
        <v>1</v>
      </c>
      <c r="Q15" s="1" t="str">
        <f>Table2[[#This Row],[Reference]]</f>
        <v>3.16-17</v>
      </c>
      <c r="R15" t="str">
        <f>Table2[[#This Row],[StartR]]</f>
        <v>MAT 3:16</v>
      </c>
      <c r="S15" t="str">
        <f>Table2[[#This Row],[EndR]]</f>
        <v>MAT 3:17</v>
      </c>
      <c r="T15">
        <f>Table2[[#This Row],[Merged.Start]]</f>
        <v>1184</v>
      </c>
      <c r="U15">
        <f>Table2[[#This Row],[Merged.End]]</f>
        <v>1224</v>
      </c>
    </row>
    <row r="16" spans="1:21" x14ac:dyDescent="0.25">
      <c r="A16">
        <v>15</v>
      </c>
      <c r="B16">
        <v>2</v>
      </c>
      <c r="C16" s="1">
        <v>4.0999999999999996</v>
      </c>
      <c r="D16" t="s">
        <v>39</v>
      </c>
      <c r="E16" t="s">
        <v>39</v>
      </c>
      <c r="F16">
        <v>1225</v>
      </c>
      <c r="G16">
        <v>1238</v>
      </c>
      <c r="H16">
        <v>0</v>
      </c>
      <c r="K16">
        <f>IF(Table2[[#This Row],[NeedsAttention]]=1,Table2[[#This Row],[Start]],Table2[[#This Row],[StartN]])</f>
        <v>1225</v>
      </c>
      <c r="L16">
        <f>IF(Table2[[#This Row],[NeedsAttention]]=1,Table2[[#This Row],[End]],Table2[[#This Row],[EndN]])</f>
        <v>1238</v>
      </c>
      <c r="M16" t="b">
        <f>Table2[[#This Row],[Merged.Start]]=L15+1</f>
        <v>1</v>
      </c>
      <c r="O16">
        <f>Table2[[#This Row],[Section]]</f>
        <v>15</v>
      </c>
      <c r="P16">
        <f>Table2[[#This Row],[Canon]]</f>
        <v>2</v>
      </c>
      <c r="Q16" s="1">
        <f>Table2[[#This Row],[Reference]]</f>
        <v>4.0999999999999996</v>
      </c>
      <c r="R16" t="str">
        <f>Table2[[#This Row],[StartR]]</f>
        <v>MAT 4:1</v>
      </c>
      <c r="S16" t="str">
        <f>Table2[[#This Row],[EndR]]</f>
        <v>MAT 4:1</v>
      </c>
      <c r="T16">
        <f>Table2[[#This Row],[Merged.Start]]</f>
        <v>1225</v>
      </c>
      <c r="U16">
        <f>Table2[[#This Row],[Merged.End]]</f>
        <v>1238</v>
      </c>
    </row>
    <row r="17" spans="1:21" x14ac:dyDescent="0.25">
      <c r="A17">
        <v>16</v>
      </c>
      <c r="B17">
        <v>5</v>
      </c>
      <c r="C17" s="1" t="s">
        <v>40</v>
      </c>
      <c r="D17" t="s">
        <v>41</v>
      </c>
      <c r="E17" t="s">
        <v>42</v>
      </c>
      <c r="F17">
        <v>1239</v>
      </c>
      <c r="G17">
        <v>1396</v>
      </c>
      <c r="H17">
        <v>0</v>
      </c>
      <c r="K17">
        <f>IF(Table2[[#This Row],[NeedsAttention]]=1,Table2[[#This Row],[Start]],Table2[[#This Row],[StartN]])</f>
        <v>1239</v>
      </c>
      <c r="L17">
        <f>IF(Table2[[#This Row],[NeedsAttention]]=1,Table2[[#This Row],[End]],Table2[[#This Row],[EndN]])</f>
        <v>1396</v>
      </c>
      <c r="M17" t="b">
        <f>Table2[[#This Row],[Merged.Start]]=L16+1</f>
        <v>1</v>
      </c>
      <c r="O17">
        <f>Table2[[#This Row],[Section]]</f>
        <v>16</v>
      </c>
      <c r="P17">
        <f>Table2[[#This Row],[Canon]]</f>
        <v>5</v>
      </c>
      <c r="Q17" s="1" t="str">
        <f>Table2[[#This Row],[Reference]]</f>
        <v>4.2-10</v>
      </c>
      <c r="R17" t="str">
        <f>Table2[[#This Row],[StartR]]</f>
        <v>MAT 4:2</v>
      </c>
      <c r="S17" t="str">
        <f>Table2[[#This Row],[EndR]]</f>
        <v>MAT 4:10</v>
      </c>
      <c r="T17">
        <f>Table2[[#This Row],[Merged.Start]]</f>
        <v>1239</v>
      </c>
      <c r="U17">
        <f>Table2[[#This Row],[Merged.End]]</f>
        <v>1396</v>
      </c>
    </row>
    <row r="18" spans="1:21" x14ac:dyDescent="0.25">
      <c r="A18">
        <v>17</v>
      </c>
      <c r="B18">
        <v>6</v>
      </c>
      <c r="C18" s="1">
        <v>4.1100000000000003</v>
      </c>
      <c r="D18" t="s">
        <v>43</v>
      </c>
      <c r="E18" t="s">
        <v>43</v>
      </c>
      <c r="F18">
        <v>1397</v>
      </c>
      <c r="G18">
        <v>1408</v>
      </c>
      <c r="H18">
        <v>0</v>
      </c>
      <c r="K18">
        <f>IF(Table2[[#This Row],[NeedsAttention]]=1,Table2[[#This Row],[Start]],Table2[[#This Row],[StartN]])</f>
        <v>1397</v>
      </c>
      <c r="L18">
        <f>IF(Table2[[#This Row],[NeedsAttention]]=1,Table2[[#This Row],[End]],Table2[[#This Row],[EndN]])</f>
        <v>1408</v>
      </c>
      <c r="M18" t="b">
        <f>Table2[[#This Row],[Merged.Start]]=L17+1</f>
        <v>1</v>
      </c>
      <c r="O18">
        <f>Table2[[#This Row],[Section]]</f>
        <v>17</v>
      </c>
      <c r="P18">
        <f>Table2[[#This Row],[Canon]]</f>
        <v>6</v>
      </c>
      <c r="Q18" s="1">
        <f>Table2[[#This Row],[Reference]]</f>
        <v>4.1100000000000003</v>
      </c>
      <c r="R18" t="str">
        <f>Table2[[#This Row],[StartR]]</f>
        <v>MAT 4:11</v>
      </c>
      <c r="S18" t="str">
        <f>Table2[[#This Row],[EndR]]</f>
        <v>MAT 4:11</v>
      </c>
      <c r="T18">
        <f>Table2[[#This Row],[Merged.Start]]</f>
        <v>1397</v>
      </c>
      <c r="U18">
        <f>Table2[[#This Row],[Merged.End]]</f>
        <v>1408</v>
      </c>
    </row>
    <row r="19" spans="1:21" x14ac:dyDescent="0.25">
      <c r="A19">
        <v>18</v>
      </c>
      <c r="B19">
        <v>4</v>
      </c>
      <c r="C19" s="1">
        <v>4.12</v>
      </c>
      <c r="D19" t="s">
        <v>44</v>
      </c>
      <c r="E19" t="s">
        <v>44</v>
      </c>
      <c r="F19">
        <v>1409</v>
      </c>
      <c r="G19">
        <v>1417</v>
      </c>
      <c r="H19">
        <v>0</v>
      </c>
      <c r="K19">
        <f>IF(Table2[[#This Row],[NeedsAttention]]=1,Table2[[#This Row],[Start]],Table2[[#This Row],[StartN]])</f>
        <v>1409</v>
      </c>
      <c r="L19">
        <f>IF(Table2[[#This Row],[NeedsAttention]]=1,Table2[[#This Row],[End]],Table2[[#This Row],[EndN]])</f>
        <v>1417</v>
      </c>
      <c r="M19" t="b">
        <f>Table2[[#This Row],[Merged.Start]]=L18+1</f>
        <v>1</v>
      </c>
      <c r="O19">
        <f>Table2[[#This Row],[Section]]</f>
        <v>18</v>
      </c>
      <c r="P19">
        <f>Table2[[#This Row],[Canon]]</f>
        <v>4</v>
      </c>
      <c r="Q19" s="1">
        <f>Table2[[#This Row],[Reference]]</f>
        <v>4.12</v>
      </c>
      <c r="R19" t="str">
        <f>Table2[[#This Row],[StartR]]</f>
        <v>MAT 4:12</v>
      </c>
      <c r="S19" t="str">
        <f>Table2[[#This Row],[EndR]]</f>
        <v>MAT 4:12</v>
      </c>
      <c r="T19">
        <f>Table2[[#This Row],[Merged.Start]]</f>
        <v>1409</v>
      </c>
      <c r="U19">
        <f>Table2[[#This Row],[Merged.End]]</f>
        <v>1417</v>
      </c>
    </row>
    <row r="20" spans="1:21" x14ac:dyDescent="0.25">
      <c r="A20">
        <v>19</v>
      </c>
      <c r="B20">
        <v>7</v>
      </c>
      <c r="C20" s="1" t="s">
        <v>45</v>
      </c>
      <c r="D20" t="s">
        <v>46</v>
      </c>
      <c r="E20" t="s">
        <v>47</v>
      </c>
      <c r="F20">
        <v>1418</v>
      </c>
      <c r="G20">
        <v>1474</v>
      </c>
      <c r="H20">
        <v>0</v>
      </c>
      <c r="K20">
        <f>IF(Table2[[#This Row],[NeedsAttention]]=1,Table2[[#This Row],[Start]],Table2[[#This Row],[StartN]])</f>
        <v>1418</v>
      </c>
      <c r="L20">
        <f>IF(Table2[[#This Row],[NeedsAttention]]=1,Table2[[#This Row],[End]],Table2[[#This Row],[EndN]])</f>
        <v>1474</v>
      </c>
      <c r="M20" t="b">
        <f>Table2[[#This Row],[Merged.Start]]=L19+1</f>
        <v>1</v>
      </c>
      <c r="O20">
        <f>Table2[[#This Row],[Section]]</f>
        <v>19</v>
      </c>
      <c r="P20">
        <f>Table2[[#This Row],[Canon]]</f>
        <v>7</v>
      </c>
      <c r="Q20" s="1" t="str">
        <f>Table2[[#This Row],[Reference]]</f>
        <v>4.13-16</v>
      </c>
      <c r="R20" t="str">
        <f>Table2[[#This Row],[StartR]]</f>
        <v>MAT 4:13</v>
      </c>
      <c r="S20" t="str">
        <f>Table2[[#This Row],[EndR]]</f>
        <v>MAT 4:16</v>
      </c>
      <c r="T20">
        <f>Table2[[#This Row],[Merged.Start]]</f>
        <v>1418</v>
      </c>
      <c r="U20">
        <f>Table2[[#This Row],[Merged.End]]</f>
        <v>1474</v>
      </c>
    </row>
    <row r="21" spans="1:21" x14ac:dyDescent="0.25">
      <c r="A21">
        <v>20</v>
      </c>
      <c r="B21">
        <v>6</v>
      </c>
      <c r="C21" s="1" t="s">
        <v>48</v>
      </c>
      <c r="D21" t="s">
        <v>49</v>
      </c>
      <c r="E21" t="s">
        <v>50</v>
      </c>
      <c r="F21">
        <v>1475</v>
      </c>
      <c r="G21">
        <v>1516</v>
      </c>
      <c r="H21">
        <v>0</v>
      </c>
      <c r="K21">
        <f>IF(Table2[[#This Row],[NeedsAttention]]=1,Table2[[#This Row],[Start]],Table2[[#This Row],[StartN]])</f>
        <v>1475</v>
      </c>
      <c r="L21">
        <f>IF(Table2[[#This Row],[NeedsAttention]]=1,Table2[[#This Row],[End]],Table2[[#This Row],[EndN]])</f>
        <v>1516</v>
      </c>
      <c r="M21" t="b">
        <f>Table2[[#This Row],[Merged.Start]]=L20+1</f>
        <v>1</v>
      </c>
      <c r="O21">
        <f>Table2[[#This Row],[Section]]</f>
        <v>20</v>
      </c>
      <c r="P21">
        <f>Table2[[#This Row],[Canon]]</f>
        <v>6</v>
      </c>
      <c r="Q21" s="1" t="str">
        <f>Table2[[#This Row],[Reference]]</f>
        <v>4.17-18</v>
      </c>
      <c r="R21" t="str">
        <f>Table2[[#This Row],[StartR]]</f>
        <v>MAT 4:17</v>
      </c>
      <c r="S21" t="str">
        <f>Table2[[#This Row],[EndR]]</f>
        <v>MAT 4:18</v>
      </c>
      <c r="T21">
        <f>Table2[[#This Row],[Merged.Start]]</f>
        <v>1475</v>
      </c>
      <c r="U21">
        <f>Table2[[#This Row],[Merged.End]]</f>
        <v>1516</v>
      </c>
    </row>
    <row r="22" spans="1:21" x14ac:dyDescent="0.25">
      <c r="A22">
        <v>21</v>
      </c>
      <c r="B22">
        <v>2</v>
      </c>
      <c r="C22" s="1" t="s">
        <v>51</v>
      </c>
      <c r="D22" t="s">
        <v>52</v>
      </c>
      <c r="E22" t="s">
        <v>53</v>
      </c>
      <c r="F22">
        <v>1517</v>
      </c>
      <c r="G22">
        <v>1535</v>
      </c>
      <c r="H22">
        <v>0</v>
      </c>
      <c r="K22">
        <f>IF(Table2[[#This Row],[NeedsAttention]]=1,Table2[[#This Row],[Start]],Table2[[#This Row],[StartN]])</f>
        <v>1517</v>
      </c>
      <c r="L22">
        <f>IF(Table2[[#This Row],[NeedsAttention]]=1,Table2[[#This Row],[End]],Table2[[#This Row],[EndN]])</f>
        <v>1535</v>
      </c>
      <c r="M22" t="b">
        <f>Table2[[#This Row],[Merged.Start]]=L21+1</f>
        <v>1</v>
      </c>
      <c r="O22">
        <f>Table2[[#This Row],[Section]]</f>
        <v>21</v>
      </c>
      <c r="P22">
        <f>Table2[[#This Row],[Canon]]</f>
        <v>2</v>
      </c>
      <c r="Q22" s="1" t="str">
        <f>Table2[[#This Row],[Reference]]</f>
        <v>4.19-20</v>
      </c>
      <c r="R22" t="str">
        <f>Table2[[#This Row],[StartR]]</f>
        <v>MAT 4:19</v>
      </c>
      <c r="S22" t="str">
        <f>Table2[[#This Row],[EndR]]</f>
        <v>MAT 4:20</v>
      </c>
      <c r="T22">
        <f>Table2[[#This Row],[Merged.Start]]</f>
        <v>1517</v>
      </c>
      <c r="U22">
        <f>Table2[[#This Row],[Merged.End]]</f>
        <v>1535</v>
      </c>
    </row>
    <row r="23" spans="1:21" x14ac:dyDescent="0.25">
      <c r="A23">
        <v>22</v>
      </c>
      <c r="B23">
        <v>6</v>
      </c>
      <c r="C23" s="1" t="s">
        <v>54</v>
      </c>
      <c r="D23" t="s">
        <v>55</v>
      </c>
      <c r="E23" t="s">
        <v>56</v>
      </c>
      <c r="F23">
        <v>1536</v>
      </c>
      <c r="G23">
        <v>1578</v>
      </c>
      <c r="H23">
        <v>0</v>
      </c>
      <c r="K23">
        <f>IF(Table2[[#This Row],[NeedsAttention]]=1,Table2[[#This Row],[Start]],Table2[[#This Row],[StartN]])</f>
        <v>1536</v>
      </c>
      <c r="L23">
        <f>IF(Table2[[#This Row],[NeedsAttention]]=1,Table2[[#This Row],[End]],Table2[[#This Row],[EndN]])</f>
        <v>1578</v>
      </c>
      <c r="M23" t="b">
        <f>Table2[[#This Row],[Merged.Start]]=L22+1</f>
        <v>1</v>
      </c>
      <c r="O23">
        <f>Table2[[#This Row],[Section]]</f>
        <v>22</v>
      </c>
      <c r="P23">
        <f>Table2[[#This Row],[Canon]]</f>
        <v>6</v>
      </c>
      <c r="Q23" s="1" t="str">
        <f>Table2[[#This Row],[Reference]]</f>
        <v>4.21-22</v>
      </c>
      <c r="R23" t="str">
        <f>Table2[[#This Row],[StartR]]</f>
        <v>MAT 4:21</v>
      </c>
      <c r="S23" t="str">
        <f>Table2[[#This Row],[EndR]]</f>
        <v>MAT 4:22</v>
      </c>
      <c r="T23">
        <f>Table2[[#This Row],[Merged.Start]]</f>
        <v>1536</v>
      </c>
      <c r="U23">
        <f>Table2[[#This Row],[Merged.End]]</f>
        <v>1578</v>
      </c>
    </row>
    <row r="24" spans="1:21" x14ac:dyDescent="0.25">
      <c r="A24">
        <v>23</v>
      </c>
      <c r="B24">
        <v>1</v>
      </c>
      <c r="C24" s="1" t="s">
        <v>57</v>
      </c>
      <c r="D24" t="s">
        <v>58</v>
      </c>
      <c r="E24" t="s">
        <v>59</v>
      </c>
      <c r="F24">
        <v>1579</v>
      </c>
      <c r="G24">
        <v>1652</v>
      </c>
      <c r="H24">
        <v>0</v>
      </c>
      <c r="K24">
        <f>IF(Table2[[#This Row],[NeedsAttention]]=1,Table2[[#This Row],[Start]],Table2[[#This Row],[StartN]])</f>
        <v>1579</v>
      </c>
      <c r="L24">
        <f>IF(Table2[[#This Row],[NeedsAttention]]=1,Table2[[#This Row],[End]],Table2[[#This Row],[EndN]])</f>
        <v>1652</v>
      </c>
      <c r="M24" t="b">
        <f>Table2[[#This Row],[Merged.Start]]=L23+1</f>
        <v>1</v>
      </c>
      <c r="O24">
        <f>Table2[[#This Row],[Section]]</f>
        <v>23</v>
      </c>
      <c r="P24">
        <f>Table2[[#This Row],[Canon]]</f>
        <v>1</v>
      </c>
      <c r="Q24" s="1" t="str">
        <f>Table2[[#This Row],[Reference]]</f>
        <v>4.23-25</v>
      </c>
      <c r="R24" t="str">
        <f>Table2[[#This Row],[StartR]]</f>
        <v>MAT 4:23</v>
      </c>
      <c r="S24" t="str">
        <f>Table2[[#This Row],[EndR]]</f>
        <v>MAT 4:25</v>
      </c>
      <c r="T24">
        <f>Table2[[#This Row],[Merged.Start]]</f>
        <v>1579</v>
      </c>
      <c r="U24">
        <f>Table2[[#This Row],[Merged.End]]</f>
        <v>1652</v>
      </c>
    </row>
    <row r="25" spans="1:21" x14ac:dyDescent="0.25">
      <c r="A25">
        <v>24</v>
      </c>
      <c r="B25">
        <v>10</v>
      </c>
      <c r="C25" s="1">
        <v>5.0999999999999996</v>
      </c>
      <c r="D25" t="s">
        <v>60</v>
      </c>
      <c r="E25" t="s">
        <v>60</v>
      </c>
      <c r="F25">
        <v>1653</v>
      </c>
      <c r="G25">
        <v>1668</v>
      </c>
      <c r="H25">
        <v>0</v>
      </c>
      <c r="K25">
        <f>IF(Table2[[#This Row],[NeedsAttention]]=1,Table2[[#This Row],[Start]],Table2[[#This Row],[StartN]])</f>
        <v>1653</v>
      </c>
      <c r="L25">
        <f>IF(Table2[[#This Row],[NeedsAttention]]=1,Table2[[#This Row],[End]],Table2[[#This Row],[EndN]])</f>
        <v>1668</v>
      </c>
      <c r="M25" t="b">
        <f>Table2[[#This Row],[Merged.Start]]=L24+1</f>
        <v>1</v>
      </c>
      <c r="O25">
        <f>Table2[[#This Row],[Section]]</f>
        <v>24</v>
      </c>
      <c r="P25">
        <f>Table2[[#This Row],[Canon]]</f>
        <v>10</v>
      </c>
      <c r="Q25" s="1">
        <f>Table2[[#This Row],[Reference]]</f>
        <v>5.0999999999999996</v>
      </c>
      <c r="R25" t="str">
        <f>Table2[[#This Row],[StartR]]</f>
        <v>MAT 5:1</v>
      </c>
      <c r="S25" t="str">
        <f>Table2[[#This Row],[EndR]]</f>
        <v>MAT 5:1</v>
      </c>
      <c r="T25">
        <f>Table2[[#This Row],[Merged.Start]]</f>
        <v>1653</v>
      </c>
      <c r="U25">
        <f>Table2[[#This Row],[Merged.End]]</f>
        <v>1668</v>
      </c>
    </row>
    <row r="26" spans="1:21" x14ac:dyDescent="0.25">
      <c r="A26">
        <v>25</v>
      </c>
      <c r="B26">
        <v>5</v>
      </c>
      <c r="C26" s="1" t="s">
        <v>61</v>
      </c>
      <c r="D26" t="s">
        <v>62</v>
      </c>
      <c r="E26" t="s">
        <v>63</v>
      </c>
      <c r="F26">
        <v>1669</v>
      </c>
      <c r="G26">
        <v>1688</v>
      </c>
      <c r="H26">
        <v>0</v>
      </c>
      <c r="K26">
        <f>IF(Table2[[#This Row],[NeedsAttention]]=1,Table2[[#This Row],[Start]],Table2[[#This Row],[StartN]])</f>
        <v>1669</v>
      </c>
      <c r="L26">
        <f>IF(Table2[[#This Row],[NeedsAttention]]=1,Table2[[#This Row],[End]],Table2[[#This Row],[EndN]])</f>
        <v>1688</v>
      </c>
      <c r="M26" t="b">
        <f>Table2[[#This Row],[Merged.Start]]=L25+1</f>
        <v>1</v>
      </c>
      <c r="O26">
        <f>Table2[[#This Row],[Section]]</f>
        <v>25</v>
      </c>
      <c r="P26">
        <f>Table2[[#This Row],[Canon]]</f>
        <v>5</v>
      </c>
      <c r="Q26" s="1" t="str">
        <f>Table2[[#This Row],[Reference]]</f>
        <v>5.2-3</v>
      </c>
      <c r="R26" t="str">
        <f>Table2[[#This Row],[StartR]]</f>
        <v>MAT 5:2</v>
      </c>
      <c r="S26" t="str">
        <f>Table2[[#This Row],[EndR]]</f>
        <v>MAT 5:3</v>
      </c>
      <c r="T26">
        <f>Table2[[#This Row],[Merged.Start]]</f>
        <v>1669</v>
      </c>
      <c r="U26">
        <f>Table2[[#This Row],[Merged.End]]</f>
        <v>1688</v>
      </c>
    </row>
    <row r="27" spans="1:21" x14ac:dyDescent="0.25">
      <c r="A27">
        <v>27</v>
      </c>
      <c r="B27">
        <v>5</v>
      </c>
      <c r="C27" s="1">
        <v>5.4</v>
      </c>
      <c r="D27" t="s">
        <v>64</v>
      </c>
      <c r="E27" t="s">
        <v>64</v>
      </c>
      <c r="F27">
        <v>1689</v>
      </c>
      <c r="G27">
        <v>1694</v>
      </c>
      <c r="H27">
        <v>0</v>
      </c>
      <c r="K27">
        <f>IF(Table2[[#This Row],[NeedsAttention]]=1,Table2[[#This Row],[Start]],Table2[[#This Row],[StartN]])</f>
        <v>1689</v>
      </c>
      <c r="L27">
        <f>IF(Table2[[#This Row],[NeedsAttention]]=1,Table2[[#This Row],[End]],Table2[[#This Row],[EndN]])</f>
        <v>1694</v>
      </c>
      <c r="M27" t="b">
        <f>Table2[[#This Row],[Merged.Start]]=L26+1</f>
        <v>1</v>
      </c>
      <c r="O27">
        <f>Table2[[#This Row],[Section]]</f>
        <v>27</v>
      </c>
      <c r="P27">
        <f>Table2[[#This Row],[Canon]]</f>
        <v>5</v>
      </c>
      <c r="Q27" s="1">
        <f>Table2[[#This Row],[Reference]]</f>
        <v>5.4</v>
      </c>
      <c r="R27" t="str">
        <f>Table2[[#This Row],[StartR]]</f>
        <v>MAT 5:4</v>
      </c>
      <c r="S27" t="str">
        <f>Table2[[#This Row],[EndR]]</f>
        <v>MAT 5:4</v>
      </c>
      <c r="T27">
        <f>Table2[[#This Row],[Merged.Start]]</f>
        <v>1689</v>
      </c>
      <c r="U27">
        <f>Table2[[#This Row],[Merged.End]]</f>
        <v>1694</v>
      </c>
    </row>
    <row r="28" spans="1:21" x14ac:dyDescent="0.25">
      <c r="A28">
        <v>26</v>
      </c>
      <c r="B28">
        <v>10</v>
      </c>
      <c r="C28" s="1">
        <v>5.5</v>
      </c>
      <c r="D28" t="s">
        <v>65</v>
      </c>
      <c r="E28" t="s">
        <v>65</v>
      </c>
      <c r="F28">
        <v>1695</v>
      </c>
      <c r="G28">
        <v>1702</v>
      </c>
      <c r="H28">
        <v>0</v>
      </c>
      <c r="K28">
        <f>IF(Table2[[#This Row],[NeedsAttention]]=1,Table2[[#This Row],[Start]],Table2[[#This Row],[StartN]])</f>
        <v>1695</v>
      </c>
      <c r="L28">
        <f>IF(Table2[[#This Row],[NeedsAttention]]=1,Table2[[#This Row],[End]],Table2[[#This Row],[EndN]])</f>
        <v>1702</v>
      </c>
      <c r="M28" t="b">
        <f>Table2[[#This Row],[Merged.Start]]=L27+1</f>
        <v>1</v>
      </c>
      <c r="O28">
        <f>Table2[[#This Row],[Section]]</f>
        <v>26</v>
      </c>
      <c r="P28">
        <f>Table2[[#This Row],[Canon]]</f>
        <v>10</v>
      </c>
      <c r="Q28" s="1">
        <f>Table2[[#This Row],[Reference]]</f>
        <v>5.5</v>
      </c>
      <c r="R28" t="str">
        <f>Table2[[#This Row],[StartR]]</f>
        <v>MAT 5:5</v>
      </c>
      <c r="S28" t="str">
        <f>Table2[[#This Row],[EndR]]</f>
        <v>MAT 5:5</v>
      </c>
      <c r="T28">
        <f>Table2[[#This Row],[Merged.Start]]</f>
        <v>1695</v>
      </c>
      <c r="U28">
        <f>Table2[[#This Row],[Merged.End]]</f>
        <v>1702</v>
      </c>
    </row>
    <row r="29" spans="1:21" x14ac:dyDescent="0.25">
      <c r="A29">
        <v>28</v>
      </c>
      <c r="B29">
        <v>5</v>
      </c>
      <c r="C29" s="1">
        <v>5.6</v>
      </c>
      <c r="D29" t="s">
        <v>66</v>
      </c>
      <c r="E29" t="s">
        <v>66</v>
      </c>
      <c r="F29">
        <v>1703</v>
      </c>
      <c r="G29">
        <v>1712</v>
      </c>
      <c r="H29">
        <v>0</v>
      </c>
      <c r="K29">
        <f>IF(Table2[[#This Row],[NeedsAttention]]=1,Table2[[#This Row],[Start]],Table2[[#This Row],[StartN]])</f>
        <v>1703</v>
      </c>
      <c r="L29">
        <f>IF(Table2[[#This Row],[NeedsAttention]]=1,Table2[[#This Row],[End]],Table2[[#This Row],[EndN]])</f>
        <v>1712</v>
      </c>
      <c r="M29" t="b">
        <f>Table2[[#This Row],[Merged.Start]]=L28+1</f>
        <v>1</v>
      </c>
      <c r="O29">
        <f>Table2[[#This Row],[Section]]</f>
        <v>28</v>
      </c>
      <c r="P29">
        <f>Table2[[#This Row],[Canon]]</f>
        <v>5</v>
      </c>
      <c r="Q29" s="1">
        <f>Table2[[#This Row],[Reference]]</f>
        <v>5.6</v>
      </c>
      <c r="R29" t="str">
        <f>Table2[[#This Row],[StartR]]</f>
        <v>MAT 5:6</v>
      </c>
      <c r="S29" t="str">
        <f>Table2[[#This Row],[EndR]]</f>
        <v>MAT 5:6</v>
      </c>
      <c r="T29">
        <f>Table2[[#This Row],[Merged.Start]]</f>
        <v>1703</v>
      </c>
      <c r="U29">
        <f>Table2[[#This Row],[Merged.End]]</f>
        <v>1712</v>
      </c>
    </row>
    <row r="30" spans="1:21" x14ac:dyDescent="0.25">
      <c r="A30">
        <v>29</v>
      </c>
      <c r="B30">
        <v>10</v>
      </c>
      <c r="C30" s="1" t="s">
        <v>67</v>
      </c>
      <c r="D30" t="s">
        <v>68</v>
      </c>
      <c r="E30" t="s">
        <v>69</v>
      </c>
      <c r="F30">
        <v>1713</v>
      </c>
      <c r="G30">
        <v>1748</v>
      </c>
      <c r="H30">
        <v>0</v>
      </c>
      <c r="K30">
        <f>IF(Table2[[#This Row],[NeedsAttention]]=1,Table2[[#This Row],[Start]],Table2[[#This Row],[StartN]])</f>
        <v>1713</v>
      </c>
      <c r="L30">
        <f>IF(Table2[[#This Row],[NeedsAttention]]=1,Table2[[#This Row],[End]],Table2[[#This Row],[EndN]])</f>
        <v>1748</v>
      </c>
      <c r="M30" t="b">
        <f>Table2[[#This Row],[Merged.Start]]=L29+1</f>
        <v>1</v>
      </c>
      <c r="O30">
        <f>Table2[[#This Row],[Section]]</f>
        <v>29</v>
      </c>
      <c r="P30">
        <f>Table2[[#This Row],[Canon]]</f>
        <v>10</v>
      </c>
      <c r="Q30" s="1" t="str">
        <f>Table2[[#This Row],[Reference]]</f>
        <v>5.7-10</v>
      </c>
      <c r="R30" t="str">
        <f>Table2[[#This Row],[StartR]]</f>
        <v>MAT 5:7</v>
      </c>
      <c r="S30" t="str">
        <f>Table2[[#This Row],[EndR]]</f>
        <v>MAT 5:10</v>
      </c>
      <c r="T30">
        <f>Table2[[#This Row],[Merged.Start]]</f>
        <v>1713</v>
      </c>
      <c r="U30">
        <f>Table2[[#This Row],[Merged.End]]</f>
        <v>1748</v>
      </c>
    </row>
    <row r="31" spans="1:21" x14ac:dyDescent="0.25">
      <c r="A31">
        <v>30</v>
      </c>
      <c r="B31">
        <v>5</v>
      </c>
      <c r="C31" s="1" t="s">
        <v>70</v>
      </c>
      <c r="D31" t="s">
        <v>71</v>
      </c>
      <c r="E31" t="s">
        <v>72</v>
      </c>
      <c r="F31">
        <v>1749</v>
      </c>
      <c r="G31">
        <v>1783</v>
      </c>
      <c r="H31">
        <v>0</v>
      </c>
      <c r="K31">
        <f>IF(Table2[[#This Row],[NeedsAttention]]=1,Table2[[#This Row],[Start]],Table2[[#This Row],[StartN]])</f>
        <v>1749</v>
      </c>
      <c r="L31">
        <f>IF(Table2[[#This Row],[NeedsAttention]]=1,Table2[[#This Row],[End]],Table2[[#This Row],[EndN]])</f>
        <v>1783</v>
      </c>
      <c r="M31" t="b">
        <f>Table2[[#This Row],[Merged.Start]]=L30+1</f>
        <v>1</v>
      </c>
      <c r="O31">
        <f>Table2[[#This Row],[Section]]</f>
        <v>30</v>
      </c>
      <c r="P31">
        <f>Table2[[#This Row],[Canon]]</f>
        <v>5</v>
      </c>
      <c r="Q31" s="1" t="str">
        <f>Table2[[#This Row],[Reference]]</f>
        <v>5.11-12</v>
      </c>
      <c r="R31" t="str">
        <f>Table2[[#This Row],[StartR]]</f>
        <v>MAT 5:11</v>
      </c>
      <c r="S31" t="str">
        <f>Table2[[#This Row],[EndR]]</f>
        <v>MAT 5:12</v>
      </c>
      <c r="T31">
        <f>Table2[[#This Row],[Merged.Start]]</f>
        <v>1749</v>
      </c>
      <c r="U31">
        <f>Table2[[#This Row],[Merged.End]]</f>
        <v>1783</v>
      </c>
    </row>
    <row r="32" spans="1:21" x14ac:dyDescent="0.25">
      <c r="A32">
        <v>31</v>
      </c>
      <c r="B32">
        <v>2</v>
      </c>
      <c r="C32" s="1">
        <v>5.13</v>
      </c>
      <c r="D32" t="s">
        <v>73</v>
      </c>
      <c r="E32" t="s">
        <v>73</v>
      </c>
      <c r="F32">
        <v>1784</v>
      </c>
      <c r="G32">
        <v>1809</v>
      </c>
      <c r="H32">
        <v>0</v>
      </c>
      <c r="K32">
        <f>IF(Table2[[#This Row],[NeedsAttention]]=1,Table2[[#This Row],[Start]],Table2[[#This Row],[StartN]])</f>
        <v>1784</v>
      </c>
      <c r="L32">
        <f>IF(Table2[[#This Row],[NeedsAttention]]=1,Table2[[#This Row],[End]],Table2[[#This Row],[EndN]])</f>
        <v>1809</v>
      </c>
      <c r="M32" t="b">
        <f>Table2[[#This Row],[Merged.Start]]=L31+1</f>
        <v>1</v>
      </c>
      <c r="O32">
        <f>Table2[[#This Row],[Section]]</f>
        <v>31</v>
      </c>
      <c r="P32">
        <f>Table2[[#This Row],[Canon]]</f>
        <v>2</v>
      </c>
      <c r="Q32" s="1">
        <f>Table2[[#This Row],[Reference]]</f>
        <v>5.13</v>
      </c>
      <c r="R32" t="str">
        <f>Table2[[#This Row],[StartR]]</f>
        <v>MAT 5:13</v>
      </c>
      <c r="S32" t="str">
        <f>Table2[[#This Row],[EndR]]</f>
        <v>MAT 5:13</v>
      </c>
      <c r="T32">
        <f>Table2[[#This Row],[Merged.Start]]</f>
        <v>1784</v>
      </c>
      <c r="U32">
        <f>Table2[[#This Row],[Merged.End]]</f>
        <v>1809</v>
      </c>
    </row>
    <row r="33" spans="1:21" x14ac:dyDescent="0.25">
      <c r="A33">
        <v>32</v>
      </c>
      <c r="B33">
        <v>2</v>
      </c>
      <c r="C33" s="1" t="s">
        <v>74</v>
      </c>
      <c r="D33" t="s">
        <v>75</v>
      </c>
      <c r="E33" t="s">
        <v>76</v>
      </c>
      <c r="F33">
        <v>1810</v>
      </c>
      <c r="G33">
        <v>1865</v>
      </c>
      <c r="H33">
        <v>0</v>
      </c>
      <c r="K33">
        <f>IF(Table2[[#This Row],[NeedsAttention]]=1,Table2[[#This Row],[Start]],Table2[[#This Row],[StartN]])</f>
        <v>1810</v>
      </c>
      <c r="L33">
        <f>IF(Table2[[#This Row],[NeedsAttention]]=1,Table2[[#This Row],[End]],Table2[[#This Row],[EndN]])</f>
        <v>1865</v>
      </c>
      <c r="M33" t="b">
        <f>Table2[[#This Row],[Merged.Start]]=L32+1</f>
        <v>1</v>
      </c>
      <c r="O33">
        <f>Table2[[#This Row],[Section]]</f>
        <v>32</v>
      </c>
      <c r="P33">
        <f>Table2[[#This Row],[Canon]]</f>
        <v>2</v>
      </c>
      <c r="Q33" s="1" t="str">
        <f>Table2[[#This Row],[Reference]]</f>
        <v>5.14-16</v>
      </c>
      <c r="R33" t="str">
        <f>Table2[[#This Row],[StartR]]</f>
        <v>MAT 5:14</v>
      </c>
      <c r="S33" t="str">
        <f>Table2[[#This Row],[EndR]]</f>
        <v>MAT 5:16</v>
      </c>
      <c r="T33">
        <f>Table2[[#This Row],[Merged.Start]]</f>
        <v>1810</v>
      </c>
      <c r="U33">
        <f>Table2[[#This Row],[Merged.End]]</f>
        <v>1865</v>
      </c>
    </row>
    <row r="34" spans="1:21" x14ac:dyDescent="0.25">
      <c r="A34">
        <v>33</v>
      </c>
      <c r="B34">
        <v>10</v>
      </c>
      <c r="C34" s="1">
        <v>5.17</v>
      </c>
      <c r="D34" t="s">
        <v>77</v>
      </c>
      <c r="E34" t="s">
        <v>77</v>
      </c>
      <c r="F34">
        <v>1866</v>
      </c>
      <c r="G34">
        <v>1880</v>
      </c>
      <c r="H34">
        <v>0</v>
      </c>
      <c r="K34">
        <f>IF(Table2[[#This Row],[NeedsAttention]]=1,Table2[[#This Row],[Start]],Table2[[#This Row],[StartN]])</f>
        <v>1866</v>
      </c>
      <c r="L34">
        <f>IF(Table2[[#This Row],[NeedsAttention]]=1,Table2[[#This Row],[End]],Table2[[#This Row],[EndN]])</f>
        <v>1880</v>
      </c>
      <c r="M34" t="b">
        <f>Table2[[#This Row],[Merged.Start]]=L33+1</f>
        <v>1</v>
      </c>
      <c r="O34">
        <f>Table2[[#This Row],[Section]]</f>
        <v>33</v>
      </c>
      <c r="P34">
        <f>Table2[[#This Row],[Canon]]</f>
        <v>10</v>
      </c>
      <c r="Q34" s="1">
        <f>Table2[[#This Row],[Reference]]</f>
        <v>5.17</v>
      </c>
      <c r="R34" t="str">
        <f>Table2[[#This Row],[StartR]]</f>
        <v>MAT 5:17</v>
      </c>
      <c r="S34" t="str">
        <f>Table2[[#This Row],[EndR]]</f>
        <v>MAT 5:17</v>
      </c>
      <c r="T34">
        <f>Table2[[#This Row],[Merged.Start]]</f>
        <v>1866</v>
      </c>
      <c r="U34">
        <f>Table2[[#This Row],[Merged.End]]</f>
        <v>1880</v>
      </c>
    </row>
    <row r="35" spans="1:21" x14ac:dyDescent="0.25">
      <c r="A35">
        <v>34</v>
      </c>
      <c r="B35">
        <v>5</v>
      </c>
      <c r="C35" s="1">
        <v>5.18</v>
      </c>
      <c r="D35" t="s">
        <v>78</v>
      </c>
      <c r="E35" t="s">
        <v>78</v>
      </c>
      <c r="F35">
        <v>1881</v>
      </c>
      <c r="G35">
        <v>1907</v>
      </c>
      <c r="H35">
        <v>0</v>
      </c>
      <c r="K35">
        <f>IF(Table2[[#This Row],[NeedsAttention]]=1,Table2[[#This Row],[Start]],Table2[[#This Row],[StartN]])</f>
        <v>1881</v>
      </c>
      <c r="L35">
        <f>IF(Table2[[#This Row],[NeedsAttention]]=1,Table2[[#This Row],[End]],Table2[[#This Row],[EndN]])</f>
        <v>1907</v>
      </c>
      <c r="M35" t="b">
        <f>Table2[[#This Row],[Merged.Start]]=L34+1</f>
        <v>1</v>
      </c>
      <c r="O35">
        <f>Table2[[#This Row],[Section]]</f>
        <v>34</v>
      </c>
      <c r="P35">
        <f>Table2[[#This Row],[Canon]]</f>
        <v>5</v>
      </c>
      <c r="Q35" s="1">
        <f>Table2[[#This Row],[Reference]]</f>
        <v>5.18</v>
      </c>
      <c r="R35" t="str">
        <f>Table2[[#This Row],[StartR]]</f>
        <v>MAT 5:18</v>
      </c>
      <c r="S35" t="str">
        <f>Table2[[#This Row],[EndR]]</f>
        <v>MAT 5:18</v>
      </c>
      <c r="T35">
        <f>Table2[[#This Row],[Merged.Start]]</f>
        <v>1881</v>
      </c>
      <c r="U35">
        <f>Table2[[#This Row],[Merged.End]]</f>
        <v>1907</v>
      </c>
    </row>
    <row r="36" spans="1:21" x14ac:dyDescent="0.25">
      <c r="A36">
        <v>35</v>
      </c>
      <c r="B36">
        <v>10</v>
      </c>
      <c r="C36" s="1" t="s">
        <v>79</v>
      </c>
      <c r="D36" t="s">
        <v>80</v>
      </c>
      <c r="E36" t="s">
        <v>81</v>
      </c>
      <c r="F36">
        <v>1908</v>
      </c>
      <c r="G36">
        <v>2061</v>
      </c>
      <c r="H36">
        <v>0</v>
      </c>
      <c r="K36">
        <f>IF(Table2[[#This Row],[NeedsAttention]]=1,Table2[[#This Row],[Start]],Table2[[#This Row],[StartN]])</f>
        <v>1908</v>
      </c>
      <c r="L36">
        <f>IF(Table2[[#This Row],[NeedsAttention]]=1,Table2[[#This Row],[End]],Table2[[#This Row],[EndN]])</f>
        <v>2061</v>
      </c>
      <c r="M36" t="b">
        <f>Table2[[#This Row],[Merged.Start]]=L35+1</f>
        <v>1</v>
      </c>
      <c r="O36">
        <f>Table2[[#This Row],[Section]]</f>
        <v>35</v>
      </c>
      <c r="P36">
        <f>Table2[[#This Row],[Canon]]</f>
        <v>10</v>
      </c>
      <c r="Q36" s="1" t="str">
        <f>Table2[[#This Row],[Reference]]</f>
        <v>5.19-24</v>
      </c>
      <c r="R36" t="str">
        <f>Table2[[#This Row],[StartR]]</f>
        <v>MAT 5:19</v>
      </c>
      <c r="S36" t="str">
        <f>Table2[[#This Row],[EndR]]</f>
        <v>MAT 5:24</v>
      </c>
      <c r="T36">
        <f>Table2[[#This Row],[Merged.Start]]</f>
        <v>1908</v>
      </c>
      <c r="U36">
        <f>Table2[[#This Row],[Merged.End]]</f>
        <v>2061</v>
      </c>
    </row>
    <row r="37" spans="1:21" x14ac:dyDescent="0.25">
      <c r="A37">
        <v>36</v>
      </c>
      <c r="B37">
        <v>5</v>
      </c>
      <c r="C37" s="1">
        <v>5.25</v>
      </c>
      <c r="D37" t="s">
        <v>82</v>
      </c>
      <c r="E37" t="s">
        <v>2503</v>
      </c>
      <c r="F37">
        <v>2062</v>
      </c>
      <c r="G37">
        <v>2104</v>
      </c>
      <c r="H37">
        <v>0</v>
      </c>
      <c r="K37">
        <f>IF(Table2[[#This Row],[NeedsAttention]]=1,Table2[[#This Row],[Start]],Table2[[#This Row],[StartN]])</f>
        <v>2062</v>
      </c>
      <c r="L37">
        <f>IF(Table2[[#This Row],[NeedsAttention]]=1,Table2[[#This Row],[End]],Table2[[#This Row],[EndN]])</f>
        <v>2104</v>
      </c>
      <c r="M37" t="b">
        <f>Table2[[#This Row],[Merged.Start]]=L36+1</f>
        <v>1</v>
      </c>
      <c r="O37">
        <f>Table2[[#This Row],[Section]]</f>
        <v>36</v>
      </c>
      <c r="P37">
        <f>Table2[[#This Row],[Canon]]</f>
        <v>5</v>
      </c>
      <c r="Q37" s="1">
        <f>Table2[[#This Row],[Reference]]</f>
        <v>5.25</v>
      </c>
      <c r="R37" t="str">
        <f>Table2[[#This Row],[StartR]]</f>
        <v>MAT 5:25</v>
      </c>
      <c r="S37" t="str">
        <f>Table2[[#This Row],[EndR]]</f>
        <v>MAT 5:26</v>
      </c>
      <c r="T37">
        <f>Table2[[#This Row],[Merged.Start]]</f>
        <v>2062</v>
      </c>
      <c r="U37">
        <f>Table2[[#This Row],[Merged.End]]</f>
        <v>2104</v>
      </c>
    </row>
    <row r="38" spans="1:21" x14ac:dyDescent="0.25">
      <c r="A38">
        <v>37</v>
      </c>
      <c r="B38">
        <v>10</v>
      </c>
      <c r="C38" s="1" t="s">
        <v>83</v>
      </c>
      <c r="D38" t="s">
        <v>84</v>
      </c>
      <c r="E38" t="s">
        <v>85</v>
      </c>
      <c r="F38">
        <v>2105</v>
      </c>
      <c r="G38">
        <v>2341</v>
      </c>
      <c r="H38">
        <v>1</v>
      </c>
      <c r="I38">
        <v>2105</v>
      </c>
      <c r="J38">
        <v>2328</v>
      </c>
      <c r="K38">
        <f>IF(Table2[[#This Row],[NeedsAttention]]=1,Table2[[#This Row],[Start]],Table2[[#This Row],[StartN]])</f>
        <v>2105</v>
      </c>
      <c r="L38">
        <f>IF(Table2[[#This Row],[NeedsAttention]]=1,Table2[[#This Row],[End]],Table2[[#This Row],[EndN]])</f>
        <v>2328</v>
      </c>
      <c r="M38" t="b">
        <f>Table2[[#This Row],[Merged.Start]]=L37+1</f>
        <v>1</v>
      </c>
      <c r="O38">
        <f>Table2[[#This Row],[Section]]</f>
        <v>37</v>
      </c>
      <c r="P38">
        <f>Table2[[#This Row],[Canon]]</f>
        <v>10</v>
      </c>
      <c r="Q38" s="1" t="str">
        <f>Table2[[#This Row],[Reference]]</f>
        <v>5.27-39A</v>
      </c>
      <c r="R38" t="str">
        <f>Table2[[#This Row],[StartR]]</f>
        <v>MAT 5:27</v>
      </c>
      <c r="S38" t="str">
        <f>Table2[[#This Row],[EndR]]</f>
        <v>MAT 5:39</v>
      </c>
      <c r="T38">
        <f>Table2[[#This Row],[Merged.Start]]</f>
        <v>2105</v>
      </c>
      <c r="U38">
        <f>Table2[[#This Row],[Merged.End]]</f>
        <v>2328</v>
      </c>
    </row>
    <row r="39" spans="1:21" x14ac:dyDescent="0.25">
      <c r="A39">
        <v>38</v>
      </c>
      <c r="B39">
        <v>5</v>
      </c>
      <c r="C39" s="1" t="s">
        <v>86</v>
      </c>
      <c r="D39" t="s">
        <v>85</v>
      </c>
      <c r="E39" t="s">
        <v>87</v>
      </c>
      <c r="F39">
        <v>2321</v>
      </c>
      <c r="G39">
        <v>2356</v>
      </c>
      <c r="H39">
        <v>1</v>
      </c>
      <c r="I39">
        <v>2329</v>
      </c>
      <c r="J39">
        <v>2356</v>
      </c>
      <c r="K39">
        <f>IF(Table2[[#This Row],[NeedsAttention]]=1,Table2[[#This Row],[Start]],Table2[[#This Row],[StartN]])</f>
        <v>2329</v>
      </c>
      <c r="L39">
        <f>IF(Table2[[#This Row],[NeedsAttention]]=1,Table2[[#This Row],[End]],Table2[[#This Row],[EndN]])</f>
        <v>2356</v>
      </c>
      <c r="M39" t="b">
        <f>Table2[[#This Row],[Merged.Start]]=L38+1</f>
        <v>1</v>
      </c>
      <c r="O39">
        <f>Table2[[#This Row],[Section]]</f>
        <v>38</v>
      </c>
      <c r="P39">
        <f>Table2[[#This Row],[Canon]]</f>
        <v>5</v>
      </c>
      <c r="Q39" s="1" t="str">
        <f>Table2[[#This Row],[Reference]]</f>
        <v>5.39B-40</v>
      </c>
      <c r="R39" t="str">
        <f>Table2[[#This Row],[StartR]]</f>
        <v>MAT 5:39</v>
      </c>
      <c r="S39" t="str">
        <f>Table2[[#This Row],[EndR]]</f>
        <v>MAT 5:40</v>
      </c>
      <c r="T39">
        <f>Table2[[#This Row],[Merged.Start]]</f>
        <v>2329</v>
      </c>
      <c r="U39">
        <f>Table2[[#This Row],[Merged.End]]</f>
        <v>2356</v>
      </c>
    </row>
    <row r="40" spans="1:21" x14ac:dyDescent="0.25">
      <c r="A40">
        <v>39</v>
      </c>
      <c r="B40">
        <v>10</v>
      </c>
      <c r="C40" s="1" t="s">
        <v>88</v>
      </c>
      <c r="D40" t="s">
        <v>89</v>
      </c>
      <c r="E40" t="s">
        <v>90</v>
      </c>
      <c r="F40">
        <v>2357</v>
      </c>
      <c r="G40">
        <v>2390</v>
      </c>
      <c r="H40">
        <v>0</v>
      </c>
      <c r="K40">
        <f>IF(Table2[[#This Row],[NeedsAttention]]=1,Table2[[#This Row],[Start]],Table2[[#This Row],[StartN]])</f>
        <v>2357</v>
      </c>
      <c r="L40">
        <f>IF(Table2[[#This Row],[NeedsAttention]]=1,Table2[[#This Row],[End]],Table2[[#This Row],[EndN]])</f>
        <v>2390</v>
      </c>
      <c r="M40" t="b">
        <f>Table2[[#This Row],[Merged.Start]]=L39+1</f>
        <v>1</v>
      </c>
      <c r="O40">
        <f>Table2[[#This Row],[Section]]</f>
        <v>39</v>
      </c>
      <c r="P40">
        <f>Table2[[#This Row],[Canon]]</f>
        <v>10</v>
      </c>
      <c r="Q40" s="1" t="str">
        <f>Table2[[#This Row],[Reference]]</f>
        <v>5.41-43</v>
      </c>
      <c r="R40" t="str">
        <f>Table2[[#This Row],[StartR]]</f>
        <v>MAT 5:41</v>
      </c>
      <c r="S40" t="str">
        <f>Table2[[#This Row],[EndR]]</f>
        <v>MAT 5:43</v>
      </c>
      <c r="T40">
        <f>Table2[[#This Row],[Merged.Start]]</f>
        <v>2357</v>
      </c>
      <c r="U40">
        <f>Table2[[#This Row],[Merged.End]]</f>
        <v>2390</v>
      </c>
    </row>
    <row r="41" spans="1:21" x14ac:dyDescent="0.25">
      <c r="A41">
        <v>40</v>
      </c>
      <c r="B41">
        <v>5</v>
      </c>
      <c r="C41" s="1" t="s">
        <v>91</v>
      </c>
      <c r="D41" t="s">
        <v>92</v>
      </c>
      <c r="E41" t="s">
        <v>93</v>
      </c>
      <c r="F41">
        <v>2391</v>
      </c>
      <c r="G41">
        <v>2428</v>
      </c>
      <c r="H41">
        <v>0</v>
      </c>
      <c r="K41">
        <f>IF(Table2[[#This Row],[NeedsAttention]]=1,Table2[[#This Row],[Start]],Table2[[#This Row],[StartN]])</f>
        <v>2391</v>
      </c>
      <c r="L41">
        <f>IF(Table2[[#This Row],[NeedsAttention]]=1,Table2[[#This Row],[End]],Table2[[#This Row],[EndN]])</f>
        <v>2428</v>
      </c>
      <c r="M41" t="b">
        <f>Table2[[#This Row],[Merged.Start]]=L40+1</f>
        <v>1</v>
      </c>
      <c r="O41">
        <f>Table2[[#This Row],[Section]]</f>
        <v>40</v>
      </c>
      <c r="P41">
        <f>Table2[[#This Row],[Canon]]</f>
        <v>5</v>
      </c>
      <c r="Q41" s="1" t="str">
        <f>Table2[[#This Row],[Reference]]</f>
        <v>5.44-45</v>
      </c>
      <c r="R41" t="str">
        <f>Table2[[#This Row],[StartR]]</f>
        <v>MAT 5:44</v>
      </c>
      <c r="S41" t="str">
        <f>Table2[[#This Row],[EndR]]</f>
        <v>MAT 5:45</v>
      </c>
      <c r="T41">
        <f>Table2[[#This Row],[Merged.Start]]</f>
        <v>2391</v>
      </c>
      <c r="U41">
        <f>Table2[[#This Row],[Merged.End]]</f>
        <v>2428</v>
      </c>
    </row>
    <row r="42" spans="1:21" x14ac:dyDescent="0.25">
      <c r="A42">
        <v>41</v>
      </c>
      <c r="B42">
        <v>5</v>
      </c>
      <c r="C42" s="1" t="s">
        <v>94</v>
      </c>
      <c r="D42" t="s">
        <v>95</v>
      </c>
      <c r="E42" t="s">
        <v>96</v>
      </c>
      <c r="F42">
        <v>2429</v>
      </c>
      <c r="G42">
        <v>2473</v>
      </c>
      <c r="H42">
        <v>0</v>
      </c>
      <c r="K42">
        <f>IF(Table2[[#This Row],[NeedsAttention]]=1,Table2[[#This Row],[Start]],Table2[[#This Row],[StartN]])</f>
        <v>2429</v>
      </c>
      <c r="L42">
        <f>IF(Table2[[#This Row],[NeedsAttention]]=1,Table2[[#This Row],[End]],Table2[[#This Row],[EndN]])</f>
        <v>2473</v>
      </c>
      <c r="M42" t="b">
        <f>Table2[[#This Row],[Merged.Start]]=L41+1</f>
        <v>1</v>
      </c>
      <c r="O42">
        <f>Table2[[#This Row],[Section]]</f>
        <v>41</v>
      </c>
      <c r="P42">
        <f>Table2[[#This Row],[Canon]]</f>
        <v>5</v>
      </c>
      <c r="Q42" s="1" t="str">
        <f>Table2[[#This Row],[Reference]]</f>
        <v>5.46-48</v>
      </c>
      <c r="R42" t="str">
        <f>Table2[[#This Row],[StartR]]</f>
        <v>MAT 5:46</v>
      </c>
      <c r="S42" t="str">
        <f>Table2[[#This Row],[EndR]]</f>
        <v>MAT 5:48</v>
      </c>
      <c r="T42">
        <f>Table2[[#This Row],[Merged.Start]]</f>
        <v>2429</v>
      </c>
      <c r="U42">
        <f>Table2[[#This Row],[Merged.End]]</f>
        <v>2473</v>
      </c>
    </row>
    <row r="43" spans="1:21" x14ac:dyDescent="0.25">
      <c r="A43">
        <v>42</v>
      </c>
      <c r="B43">
        <v>10</v>
      </c>
      <c r="C43" s="1" t="s">
        <v>97</v>
      </c>
      <c r="D43" t="s">
        <v>98</v>
      </c>
      <c r="E43" t="s">
        <v>99</v>
      </c>
      <c r="F43">
        <v>2474</v>
      </c>
      <c r="G43">
        <v>2631</v>
      </c>
      <c r="H43">
        <v>0</v>
      </c>
      <c r="K43">
        <f>IF(Table2[[#This Row],[NeedsAttention]]=1,Table2[[#This Row],[Start]],Table2[[#This Row],[StartN]])</f>
        <v>2474</v>
      </c>
      <c r="L43">
        <f>IF(Table2[[#This Row],[NeedsAttention]]=1,Table2[[#This Row],[End]],Table2[[#This Row],[EndN]])</f>
        <v>2631</v>
      </c>
      <c r="M43" t="b">
        <f>Table2[[#This Row],[Merged.Start]]=L42+1</f>
        <v>1</v>
      </c>
      <c r="O43">
        <f>Table2[[#This Row],[Section]]</f>
        <v>42</v>
      </c>
      <c r="P43">
        <f>Table2[[#This Row],[Canon]]</f>
        <v>10</v>
      </c>
      <c r="Q43" s="1" t="str">
        <f>Table2[[#This Row],[Reference]]</f>
        <v>6.1-6</v>
      </c>
      <c r="R43" t="str">
        <f>Table2[[#This Row],[StartR]]</f>
        <v>MAT 6:1</v>
      </c>
      <c r="S43" t="str">
        <f>Table2[[#This Row],[EndR]]</f>
        <v>MAT 6:6</v>
      </c>
      <c r="T43">
        <f>Table2[[#This Row],[Merged.Start]]</f>
        <v>2474</v>
      </c>
      <c r="U43">
        <f>Table2[[#This Row],[Merged.End]]</f>
        <v>2631</v>
      </c>
    </row>
    <row r="44" spans="1:21" x14ac:dyDescent="0.25">
      <c r="A44">
        <v>43</v>
      </c>
      <c r="B44">
        <v>5</v>
      </c>
      <c r="C44" s="1" t="s">
        <v>100</v>
      </c>
      <c r="D44" t="s">
        <v>101</v>
      </c>
      <c r="E44" t="s">
        <v>102</v>
      </c>
      <c r="F44">
        <v>2632</v>
      </c>
      <c r="G44">
        <v>2724</v>
      </c>
      <c r="H44">
        <v>0</v>
      </c>
      <c r="K44">
        <f>IF(Table2[[#This Row],[NeedsAttention]]=1,Table2[[#This Row],[Start]],Table2[[#This Row],[StartN]])</f>
        <v>2632</v>
      </c>
      <c r="L44">
        <f>IF(Table2[[#This Row],[NeedsAttention]]=1,Table2[[#This Row],[End]],Table2[[#This Row],[EndN]])</f>
        <v>2724</v>
      </c>
      <c r="M44" t="b">
        <f>Table2[[#This Row],[Merged.Start]]=L43+1</f>
        <v>1</v>
      </c>
      <c r="O44">
        <f>Table2[[#This Row],[Section]]</f>
        <v>43</v>
      </c>
      <c r="P44">
        <f>Table2[[#This Row],[Canon]]</f>
        <v>5</v>
      </c>
      <c r="Q44" s="1" t="str">
        <f>Table2[[#This Row],[Reference]]</f>
        <v>6.7-13</v>
      </c>
      <c r="R44" t="str">
        <f>Table2[[#This Row],[StartR]]</f>
        <v>MAT 6:7</v>
      </c>
      <c r="S44" t="str">
        <f>Table2[[#This Row],[EndR]]</f>
        <v>MAT 6:13</v>
      </c>
      <c r="T44">
        <f>Table2[[#This Row],[Merged.Start]]</f>
        <v>2632</v>
      </c>
      <c r="U44">
        <f>Table2[[#This Row],[Merged.End]]</f>
        <v>2724</v>
      </c>
    </row>
    <row r="45" spans="1:21" x14ac:dyDescent="0.25">
      <c r="A45">
        <v>44</v>
      </c>
      <c r="B45">
        <v>6</v>
      </c>
      <c r="C45" s="1" t="s">
        <v>103</v>
      </c>
      <c r="D45" t="s">
        <v>104</v>
      </c>
      <c r="E45" t="s">
        <v>105</v>
      </c>
      <c r="F45">
        <v>2725</v>
      </c>
      <c r="G45">
        <v>2754</v>
      </c>
      <c r="H45">
        <v>0</v>
      </c>
      <c r="K45">
        <f>IF(Table2[[#This Row],[NeedsAttention]]=1,Table2[[#This Row],[Start]],Table2[[#This Row],[StartN]])</f>
        <v>2725</v>
      </c>
      <c r="L45">
        <f>IF(Table2[[#This Row],[NeedsAttention]]=1,Table2[[#This Row],[End]],Table2[[#This Row],[EndN]])</f>
        <v>2754</v>
      </c>
      <c r="M45" t="b">
        <f>Table2[[#This Row],[Merged.Start]]=L44+1</f>
        <v>1</v>
      </c>
      <c r="O45">
        <f>Table2[[#This Row],[Section]]</f>
        <v>44</v>
      </c>
      <c r="P45">
        <f>Table2[[#This Row],[Canon]]</f>
        <v>6</v>
      </c>
      <c r="Q45" s="1" t="str">
        <f>Table2[[#This Row],[Reference]]</f>
        <v>6.14-15</v>
      </c>
      <c r="R45" t="str">
        <f>Table2[[#This Row],[StartR]]</f>
        <v>MAT 6:14</v>
      </c>
      <c r="S45" t="str">
        <f>Table2[[#This Row],[EndR]]</f>
        <v>MAT 6:15</v>
      </c>
      <c r="T45">
        <f>Table2[[#This Row],[Merged.Start]]</f>
        <v>2725</v>
      </c>
      <c r="U45">
        <f>Table2[[#This Row],[Merged.End]]</f>
        <v>2754</v>
      </c>
    </row>
    <row r="46" spans="1:21" x14ac:dyDescent="0.25">
      <c r="A46">
        <v>45</v>
      </c>
      <c r="B46">
        <v>10</v>
      </c>
      <c r="C46" s="1" t="s">
        <v>106</v>
      </c>
      <c r="D46" t="s">
        <v>107</v>
      </c>
      <c r="E46" t="s">
        <v>108</v>
      </c>
      <c r="F46">
        <v>2755</v>
      </c>
      <c r="G46">
        <v>2835</v>
      </c>
      <c r="H46">
        <v>0</v>
      </c>
      <c r="K46">
        <f>IF(Table2[[#This Row],[NeedsAttention]]=1,Table2[[#This Row],[Start]],Table2[[#This Row],[StartN]])</f>
        <v>2755</v>
      </c>
      <c r="L46">
        <f>IF(Table2[[#This Row],[NeedsAttention]]=1,Table2[[#This Row],[End]],Table2[[#This Row],[EndN]])</f>
        <v>2835</v>
      </c>
      <c r="M46" t="b">
        <f>Table2[[#This Row],[Merged.Start]]=L45+1</f>
        <v>1</v>
      </c>
      <c r="O46">
        <f>Table2[[#This Row],[Section]]</f>
        <v>45</v>
      </c>
      <c r="P46">
        <f>Table2[[#This Row],[Canon]]</f>
        <v>10</v>
      </c>
      <c r="Q46" s="1" t="str">
        <f>Table2[[#This Row],[Reference]]</f>
        <v>6.16-19</v>
      </c>
      <c r="R46" t="str">
        <f>Table2[[#This Row],[StartR]]</f>
        <v>MAT 6:16</v>
      </c>
      <c r="S46" t="str">
        <f>Table2[[#This Row],[EndR]]</f>
        <v>MAT 6:19</v>
      </c>
      <c r="T46">
        <f>Table2[[#This Row],[Merged.Start]]</f>
        <v>2755</v>
      </c>
      <c r="U46">
        <f>Table2[[#This Row],[Merged.End]]</f>
        <v>2835</v>
      </c>
    </row>
    <row r="47" spans="1:21" x14ac:dyDescent="0.25">
      <c r="A47">
        <v>46</v>
      </c>
      <c r="B47">
        <v>5</v>
      </c>
      <c r="C47" s="1" t="s">
        <v>109</v>
      </c>
      <c r="D47" t="s">
        <v>110</v>
      </c>
      <c r="E47" t="s">
        <v>111</v>
      </c>
      <c r="F47">
        <v>2836</v>
      </c>
      <c r="G47">
        <v>2866</v>
      </c>
      <c r="H47">
        <v>0</v>
      </c>
      <c r="K47">
        <f>IF(Table2[[#This Row],[NeedsAttention]]=1,Table2[[#This Row],[Start]],Table2[[#This Row],[StartN]])</f>
        <v>2836</v>
      </c>
      <c r="L47">
        <f>IF(Table2[[#This Row],[NeedsAttention]]=1,Table2[[#This Row],[End]],Table2[[#This Row],[EndN]])</f>
        <v>2866</v>
      </c>
      <c r="M47" t="b">
        <f>Table2[[#This Row],[Merged.Start]]=L46+1</f>
        <v>1</v>
      </c>
      <c r="O47">
        <f>Table2[[#This Row],[Section]]</f>
        <v>46</v>
      </c>
      <c r="P47">
        <f>Table2[[#This Row],[Canon]]</f>
        <v>5</v>
      </c>
      <c r="Q47" s="1" t="str">
        <f>Table2[[#This Row],[Reference]]</f>
        <v>6.20-21</v>
      </c>
      <c r="R47" t="str">
        <f>Table2[[#This Row],[StartR]]</f>
        <v>MAT 6:20</v>
      </c>
      <c r="S47" t="str">
        <f>Table2[[#This Row],[EndR]]</f>
        <v>MAT 6:21</v>
      </c>
      <c r="T47">
        <f>Table2[[#This Row],[Merged.Start]]</f>
        <v>2836</v>
      </c>
      <c r="U47">
        <f>Table2[[#This Row],[Merged.End]]</f>
        <v>2866</v>
      </c>
    </row>
    <row r="48" spans="1:21" x14ac:dyDescent="0.25">
      <c r="A48">
        <v>47</v>
      </c>
      <c r="B48">
        <v>5</v>
      </c>
      <c r="C48" s="1" t="s">
        <v>112</v>
      </c>
      <c r="D48" t="s">
        <v>113</v>
      </c>
      <c r="E48" t="s">
        <v>114</v>
      </c>
      <c r="F48">
        <v>2867</v>
      </c>
      <c r="G48">
        <v>2911</v>
      </c>
      <c r="H48">
        <v>0</v>
      </c>
      <c r="K48">
        <f>IF(Table2[[#This Row],[NeedsAttention]]=1,Table2[[#This Row],[Start]],Table2[[#This Row],[StartN]])</f>
        <v>2867</v>
      </c>
      <c r="L48">
        <f>IF(Table2[[#This Row],[NeedsAttention]]=1,Table2[[#This Row],[End]],Table2[[#This Row],[EndN]])</f>
        <v>2911</v>
      </c>
      <c r="M48" t="b">
        <f>Table2[[#This Row],[Merged.Start]]=L47+1</f>
        <v>1</v>
      </c>
      <c r="O48">
        <f>Table2[[#This Row],[Section]]</f>
        <v>47</v>
      </c>
      <c r="P48">
        <f>Table2[[#This Row],[Canon]]</f>
        <v>5</v>
      </c>
      <c r="Q48" s="1" t="str">
        <f>Table2[[#This Row],[Reference]]</f>
        <v>6.22-23</v>
      </c>
      <c r="R48" t="str">
        <f>Table2[[#This Row],[StartR]]</f>
        <v>MAT 6:22</v>
      </c>
      <c r="S48" t="str">
        <f>Table2[[#This Row],[EndR]]</f>
        <v>MAT 6:23</v>
      </c>
      <c r="T48">
        <f>Table2[[#This Row],[Merged.Start]]</f>
        <v>2867</v>
      </c>
      <c r="U48">
        <f>Table2[[#This Row],[Merged.End]]</f>
        <v>2911</v>
      </c>
    </row>
    <row r="49" spans="1:21" x14ac:dyDescent="0.25">
      <c r="A49">
        <v>48</v>
      </c>
      <c r="B49">
        <v>5</v>
      </c>
      <c r="C49" s="1">
        <v>6.24</v>
      </c>
      <c r="D49" t="s">
        <v>115</v>
      </c>
      <c r="E49" t="s">
        <v>115</v>
      </c>
      <c r="F49">
        <v>2912</v>
      </c>
      <c r="G49">
        <v>2938</v>
      </c>
      <c r="H49">
        <v>0</v>
      </c>
      <c r="K49">
        <f>IF(Table2[[#This Row],[NeedsAttention]]=1,Table2[[#This Row],[Start]],Table2[[#This Row],[StartN]])</f>
        <v>2912</v>
      </c>
      <c r="L49">
        <f>IF(Table2[[#This Row],[NeedsAttention]]=1,Table2[[#This Row],[End]],Table2[[#This Row],[EndN]])</f>
        <v>2938</v>
      </c>
      <c r="M49" t="b">
        <f>Table2[[#This Row],[Merged.Start]]=L48+1</f>
        <v>1</v>
      </c>
      <c r="O49">
        <f>Table2[[#This Row],[Section]]</f>
        <v>48</v>
      </c>
      <c r="P49">
        <f>Table2[[#This Row],[Canon]]</f>
        <v>5</v>
      </c>
      <c r="Q49" s="1">
        <f>Table2[[#This Row],[Reference]]</f>
        <v>6.24</v>
      </c>
      <c r="R49" t="str">
        <f>Table2[[#This Row],[StartR]]</f>
        <v>MAT 6:24</v>
      </c>
      <c r="S49" t="str">
        <f>Table2[[#This Row],[EndR]]</f>
        <v>MAT 6:24</v>
      </c>
      <c r="T49">
        <f>Table2[[#This Row],[Merged.Start]]</f>
        <v>2912</v>
      </c>
      <c r="U49">
        <f>Table2[[#This Row],[Merged.End]]</f>
        <v>2938</v>
      </c>
    </row>
    <row r="50" spans="1:21" x14ac:dyDescent="0.25">
      <c r="A50">
        <v>49</v>
      </c>
      <c r="B50">
        <v>5</v>
      </c>
      <c r="C50" s="1" t="s">
        <v>116</v>
      </c>
      <c r="D50" t="s">
        <v>117</v>
      </c>
      <c r="E50" t="s">
        <v>118</v>
      </c>
      <c r="F50">
        <v>2939</v>
      </c>
      <c r="G50">
        <v>3121</v>
      </c>
      <c r="H50">
        <v>0</v>
      </c>
      <c r="K50">
        <f>IF(Table2[[#This Row],[NeedsAttention]]=1,Table2[[#This Row],[Start]],Table2[[#This Row],[StartN]])</f>
        <v>2939</v>
      </c>
      <c r="L50">
        <f>IF(Table2[[#This Row],[NeedsAttention]]=1,Table2[[#This Row],[End]],Table2[[#This Row],[EndN]])</f>
        <v>3121</v>
      </c>
      <c r="M50" t="b">
        <f>Table2[[#This Row],[Merged.Start]]=L49+1</f>
        <v>1</v>
      </c>
      <c r="O50">
        <f>Table2[[#This Row],[Section]]</f>
        <v>49</v>
      </c>
      <c r="P50">
        <f>Table2[[#This Row],[Canon]]</f>
        <v>5</v>
      </c>
      <c r="Q50" s="1" t="str">
        <f>Table2[[#This Row],[Reference]]</f>
        <v>6.25-34</v>
      </c>
      <c r="R50" t="str">
        <f>Table2[[#This Row],[StartR]]</f>
        <v>MAT 6:25</v>
      </c>
      <c r="S50" t="str">
        <f>Table2[[#This Row],[EndR]]</f>
        <v>MAT 6:34</v>
      </c>
      <c r="T50">
        <f>Table2[[#This Row],[Merged.Start]]</f>
        <v>2939</v>
      </c>
      <c r="U50">
        <f>Table2[[#This Row],[Merged.End]]</f>
        <v>3121</v>
      </c>
    </row>
    <row r="51" spans="1:21" x14ac:dyDescent="0.25">
      <c r="A51">
        <v>50</v>
      </c>
      <c r="B51">
        <v>2</v>
      </c>
      <c r="C51" s="1" t="s">
        <v>119</v>
      </c>
      <c r="D51" t="s">
        <v>120</v>
      </c>
      <c r="E51" t="s">
        <v>121</v>
      </c>
      <c r="F51">
        <v>3122</v>
      </c>
      <c r="G51">
        <v>3139</v>
      </c>
      <c r="H51">
        <v>0</v>
      </c>
      <c r="K51">
        <f>IF(Table2[[#This Row],[NeedsAttention]]=1,Table2[[#This Row],[Start]],Table2[[#This Row],[StartN]])</f>
        <v>3122</v>
      </c>
      <c r="L51">
        <f>IF(Table2[[#This Row],[NeedsAttention]]=1,Table2[[#This Row],[End]],Table2[[#This Row],[EndN]])</f>
        <v>3139</v>
      </c>
      <c r="M51" t="b">
        <f>Table2[[#This Row],[Merged.Start]]=L50+1</f>
        <v>1</v>
      </c>
      <c r="O51">
        <f>Table2[[#This Row],[Section]]</f>
        <v>50</v>
      </c>
      <c r="P51">
        <f>Table2[[#This Row],[Canon]]</f>
        <v>2</v>
      </c>
      <c r="Q51" s="1" t="str">
        <f>Table2[[#This Row],[Reference]]</f>
        <v>7.1-2</v>
      </c>
      <c r="R51" t="str">
        <f>Table2[[#This Row],[StartR]]</f>
        <v>MAT 7:1</v>
      </c>
      <c r="S51" t="str">
        <f>Table2[[#This Row],[EndR]]</f>
        <v>MAT 7:2</v>
      </c>
      <c r="T51">
        <f>Table2[[#This Row],[Merged.Start]]</f>
        <v>3122</v>
      </c>
      <c r="U51">
        <f>Table2[[#This Row],[Merged.End]]</f>
        <v>3139</v>
      </c>
    </row>
    <row r="52" spans="1:21" x14ac:dyDescent="0.25">
      <c r="A52">
        <v>51</v>
      </c>
      <c r="B52">
        <v>5</v>
      </c>
      <c r="C52" s="1" t="s">
        <v>122</v>
      </c>
      <c r="D52" t="s">
        <v>123</v>
      </c>
      <c r="E52" t="s">
        <v>124</v>
      </c>
      <c r="F52">
        <v>3140</v>
      </c>
      <c r="G52">
        <v>3203</v>
      </c>
      <c r="H52">
        <v>0</v>
      </c>
      <c r="K52">
        <f>IF(Table2[[#This Row],[NeedsAttention]]=1,Table2[[#This Row],[Start]],Table2[[#This Row],[StartN]])</f>
        <v>3140</v>
      </c>
      <c r="L52">
        <f>IF(Table2[[#This Row],[NeedsAttention]]=1,Table2[[#This Row],[End]],Table2[[#This Row],[EndN]])</f>
        <v>3203</v>
      </c>
      <c r="M52" t="b">
        <f>Table2[[#This Row],[Merged.Start]]=L51+1</f>
        <v>1</v>
      </c>
      <c r="O52">
        <f>Table2[[#This Row],[Section]]</f>
        <v>51</v>
      </c>
      <c r="P52">
        <f>Table2[[#This Row],[Canon]]</f>
        <v>5</v>
      </c>
      <c r="Q52" s="1" t="str">
        <f>Table2[[#This Row],[Reference]]</f>
        <v>7.3-5</v>
      </c>
      <c r="R52" t="str">
        <f>Table2[[#This Row],[StartR]]</f>
        <v>MAT 7:3</v>
      </c>
      <c r="S52" t="str">
        <f>Table2[[#This Row],[EndR]]</f>
        <v>MAT 7:5</v>
      </c>
      <c r="T52">
        <f>Table2[[#This Row],[Merged.Start]]</f>
        <v>3140</v>
      </c>
      <c r="U52">
        <f>Table2[[#This Row],[Merged.End]]</f>
        <v>3203</v>
      </c>
    </row>
    <row r="53" spans="1:21" x14ac:dyDescent="0.25">
      <c r="A53">
        <v>52</v>
      </c>
      <c r="B53">
        <v>10</v>
      </c>
      <c r="C53" s="1">
        <v>7.6</v>
      </c>
      <c r="D53" t="s">
        <v>125</v>
      </c>
      <c r="E53" t="s">
        <v>125</v>
      </c>
      <c r="F53">
        <v>3204</v>
      </c>
      <c r="G53">
        <v>3228</v>
      </c>
      <c r="H53">
        <v>0</v>
      </c>
      <c r="K53">
        <f>IF(Table2[[#This Row],[NeedsAttention]]=1,Table2[[#This Row],[Start]],Table2[[#This Row],[StartN]])</f>
        <v>3204</v>
      </c>
      <c r="L53">
        <f>IF(Table2[[#This Row],[NeedsAttention]]=1,Table2[[#This Row],[End]],Table2[[#This Row],[EndN]])</f>
        <v>3228</v>
      </c>
      <c r="M53" t="b">
        <f>Table2[[#This Row],[Merged.Start]]=L52+1</f>
        <v>1</v>
      </c>
      <c r="O53">
        <f>Table2[[#This Row],[Section]]</f>
        <v>52</v>
      </c>
      <c r="P53">
        <f>Table2[[#This Row],[Canon]]</f>
        <v>10</v>
      </c>
      <c r="Q53" s="1">
        <f>Table2[[#This Row],[Reference]]</f>
        <v>7.6</v>
      </c>
      <c r="R53" t="str">
        <f>Table2[[#This Row],[StartR]]</f>
        <v>MAT 7:6</v>
      </c>
      <c r="S53" t="str">
        <f>Table2[[#This Row],[EndR]]</f>
        <v>MAT 7:6</v>
      </c>
      <c r="T53">
        <f>Table2[[#This Row],[Merged.Start]]</f>
        <v>3204</v>
      </c>
      <c r="U53">
        <f>Table2[[#This Row],[Merged.End]]</f>
        <v>3228</v>
      </c>
    </row>
    <row r="54" spans="1:21" x14ac:dyDescent="0.25">
      <c r="A54">
        <v>53</v>
      </c>
      <c r="B54">
        <v>5</v>
      </c>
      <c r="C54" s="1" t="s">
        <v>126</v>
      </c>
      <c r="D54" t="s">
        <v>127</v>
      </c>
      <c r="E54" t="s">
        <v>128</v>
      </c>
      <c r="F54">
        <v>3229</v>
      </c>
      <c r="G54">
        <v>3302</v>
      </c>
      <c r="H54">
        <v>0</v>
      </c>
      <c r="K54">
        <f>IF(Table2[[#This Row],[NeedsAttention]]=1,Table2[[#This Row],[Start]],Table2[[#This Row],[StartN]])</f>
        <v>3229</v>
      </c>
      <c r="L54">
        <f>IF(Table2[[#This Row],[NeedsAttention]]=1,Table2[[#This Row],[End]],Table2[[#This Row],[EndN]])</f>
        <v>3302</v>
      </c>
      <c r="M54" t="b">
        <f>Table2[[#This Row],[Merged.Start]]=L53+1</f>
        <v>1</v>
      </c>
      <c r="O54">
        <f>Table2[[#This Row],[Section]]</f>
        <v>53</v>
      </c>
      <c r="P54">
        <f>Table2[[#This Row],[Canon]]</f>
        <v>5</v>
      </c>
      <c r="Q54" s="1" t="str">
        <f>Table2[[#This Row],[Reference]]</f>
        <v>7.7-11</v>
      </c>
      <c r="R54" t="str">
        <f>Table2[[#This Row],[StartR]]</f>
        <v>MAT 7:7</v>
      </c>
      <c r="S54" t="str">
        <f>Table2[[#This Row],[EndR]]</f>
        <v>MAT 7:11</v>
      </c>
      <c r="T54">
        <f>Table2[[#This Row],[Merged.Start]]</f>
        <v>3229</v>
      </c>
      <c r="U54">
        <f>Table2[[#This Row],[Merged.End]]</f>
        <v>3302</v>
      </c>
    </row>
    <row r="55" spans="1:21" x14ac:dyDescent="0.25">
      <c r="A55">
        <v>54</v>
      </c>
      <c r="B55">
        <v>5</v>
      </c>
      <c r="C55" s="1">
        <v>7.12</v>
      </c>
      <c r="D55" t="s">
        <v>129</v>
      </c>
      <c r="E55" t="s">
        <v>129</v>
      </c>
      <c r="F55">
        <v>3303</v>
      </c>
      <c r="G55">
        <v>3325</v>
      </c>
      <c r="H55">
        <v>0</v>
      </c>
      <c r="K55">
        <f>IF(Table2[[#This Row],[NeedsAttention]]=1,Table2[[#This Row],[Start]],Table2[[#This Row],[StartN]])</f>
        <v>3303</v>
      </c>
      <c r="L55">
        <f>IF(Table2[[#This Row],[NeedsAttention]]=1,Table2[[#This Row],[End]],Table2[[#This Row],[EndN]])</f>
        <v>3325</v>
      </c>
      <c r="M55" t="b">
        <f>Table2[[#This Row],[Merged.Start]]=L54+1</f>
        <v>1</v>
      </c>
      <c r="O55">
        <f>Table2[[#This Row],[Section]]</f>
        <v>54</v>
      </c>
      <c r="P55">
        <f>Table2[[#This Row],[Canon]]</f>
        <v>5</v>
      </c>
      <c r="Q55" s="1">
        <f>Table2[[#This Row],[Reference]]</f>
        <v>7.12</v>
      </c>
      <c r="R55" t="str">
        <f>Table2[[#This Row],[StartR]]</f>
        <v>MAT 7:12</v>
      </c>
      <c r="S55" t="str">
        <f>Table2[[#This Row],[EndR]]</f>
        <v>MAT 7:12</v>
      </c>
      <c r="T55">
        <f>Table2[[#This Row],[Merged.Start]]</f>
        <v>3303</v>
      </c>
      <c r="U55">
        <f>Table2[[#This Row],[Merged.End]]</f>
        <v>3325</v>
      </c>
    </row>
    <row r="56" spans="1:21" x14ac:dyDescent="0.25">
      <c r="A56">
        <v>55</v>
      </c>
      <c r="B56">
        <v>5</v>
      </c>
      <c r="C56" s="1" t="s">
        <v>130</v>
      </c>
      <c r="D56" t="s">
        <v>131</v>
      </c>
      <c r="E56" t="s">
        <v>132</v>
      </c>
      <c r="F56">
        <v>3326</v>
      </c>
      <c r="G56">
        <v>3369</v>
      </c>
      <c r="H56">
        <v>0</v>
      </c>
      <c r="K56">
        <f>IF(Table2[[#This Row],[NeedsAttention]]=1,Table2[[#This Row],[Start]],Table2[[#This Row],[StartN]])</f>
        <v>3326</v>
      </c>
      <c r="L56">
        <f>IF(Table2[[#This Row],[NeedsAttention]]=1,Table2[[#This Row],[End]],Table2[[#This Row],[EndN]])</f>
        <v>3369</v>
      </c>
      <c r="M56" t="b">
        <f>Table2[[#This Row],[Merged.Start]]=L55+1</f>
        <v>1</v>
      </c>
      <c r="O56">
        <f>Table2[[#This Row],[Section]]</f>
        <v>55</v>
      </c>
      <c r="P56">
        <f>Table2[[#This Row],[Canon]]</f>
        <v>5</v>
      </c>
      <c r="Q56" s="1" t="str">
        <f>Table2[[#This Row],[Reference]]</f>
        <v>7.13-14</v>
      </c>
      <c r="R56" t="str">
        <f>Table2[[#This Row],[StartR]]</f>
        <v>MAT 7:13</v>
      </c>
      <c r="S56" t="str">
        <f>Table2[[#This Row],[EndR]]</f>
        <v>MAT 7:14</v>
      </c>
      <c r="T56">
        <f>Table2[[#This Row],[Merged.Start]]</f>
        <v>3326</v>
      </c>
      <c r="U56">
        <f>Table2[[#This Row],[Merged.End]]</f>
        <v>3369</v>
      </c>
    </row>
    <row r="57" spans="1:21" x14ac:dyDescent="0.25">
      <c r="A57">
        <v>56</v>
      </c>
      <c r="B57">
        <v>10</v>
      </c>
      <c r="C57" s="1" t="s">
        <v>133</v>
      </c>
      <c r="D57" t="s">
        <v>134</v>
      </c>
      <c r="E57" t="s">
        <v>135</v>
      </c>
      <c r="F57">
        <v>3370</v>
      </c>
      <c r="G57">
        <v>3400</v>
      </c>
      <c r="H57">
        <v>1</v>
      </c>
      <c r="I57">
        <v>3370</v>
      </c>
      <c r="J57">
        <v>3391</v>
      </c>
      <c r="K57">
        <f>IF(Table2[[#This Row],[NeedsAttention]]=1,Table2[[#This Row],[Start]],Table2[[#This Row],[StartN]])</f>
        <v>3370</v>
      </c>
      <c r="L57">
        <f>IF(Table2[[#This Row],[NeedsAttention]]=1,Table2[[#This Row],[End]],Table2[[#This Row],[EndN]])</f>
        <v>3391</v>
      </c>
      <c r="M57" t="b">
        <f>Table2[[#This Row],[Merged.Start]]=L56+1</f>
        <v>1</v>
      </c>
      <c r="O57">
        <f>Table2[[#This Row],[Section]]</f>
        <v>56</v>
      </c>
      <c r="P57">
        <f>Table2[[#This Row],[Canon]]</f>
        <v>10</v>
      </c>
      <c r="Q57" s="1" t="str">
        <f>Table2[[#This Row],[Reference]]</f>
        <v>7.15-16A</v>
      </c>
      <c r="R57" t="str">
        <f>Table2[[#This Row],[StartR]]</f>
        <v>MAT 7:15</v>
      </c>
      <c r="S57" t="str">
        <f>Table2[[#This Row],[EndR]]</f>
        <v>MAT 7:16</v>
      </c>
      <c r="T57">
        <f>Table2[[#This Row],[Merged.Start]]</f>
        <v>3370</v>
      </c>
      <c r="U57">
        <f>Table2[[#This Row],[Merged.End]]</f>
        <v>3391</v>
      </c>
    </row>
    <row r="58" spans="1:21" x14ac:dyDescent="0.25">
      <c r="A58">
        <v>57</v>
      </c>
      <c r="B58">
        <v>5</v>
      </c>
      <c r="C58" s="1" t="s">
        <v>136</v>
      </c>
      <c r="D58" t="s">
        <v>135</v>
      </c>
      <c r="E58" t="s">
        <v>135</v>
      </c>
      <c r="F58">
        <v>3386</v>
      </c>
      <c r="G58">
        <v>3400</v>
      </c>
      <c r="H58">
        <v>1</v>
      </c>
      <c r="I58">
        <v>3392</v>
      </c>
      <c r="J58">
        <v>3400</v>
      </c>
      <c r="K58">
        <f>IF(Table2[[#This Row],[NeedsAttention]]=1,Table2[[#This Row],[Start]],Table2[[#This Row],[StartN]])</f>
        <v>3392</v>
      </c>
      <c r="L58">
        <f>IF(Table2[[#This Row],[NeedsAttention]]=1,Table2[[#This Row],[End]],Table2[[#This Row],[EndN]])</f>
        <v>3400</v>
      </c>
      <c r="M58" t="b">
        <f>Table2[[#This Row],[Merged.Start]]=L57+1</f>
        <v>1</v>
      </c>
      <c r="O58">
        <f>Table2[[#This Row],[Section]]</f>
        <v>57</v>
      </c>
      <c r="P58">
        <f>Table2[[#This Row],[Canon]]</f>
        <v>5</v>
      </c>
      <c r="Q58" s="1" t="str">
        <f>Table2[[#This Row],[Reference]]</f>
        <v>7.16B</v>
      </c>
      <c r="R58" t="str">
        <f>Table2[[#This Row],[StartR]]</f>
        <v>MAT 7:16</v>
      </c>
      <c r="S58" t="str">
        <f>Table2[[#This Row],[EndR]]</f>
        <v>MAT 7:16</v>
      </c>
      <c r="T58">
        <f>Table2[[#This Row],[Merged.Start]]</f>
        <v>3392</v>
      </c>
      <c r="U58">
        <f>Table2[[#This Row],[Merged.End]]</f>
        <v>3400</v>
      </c>
    </row>
    <row r="59" spans="1:21" x14ac:dyDescent="0.25">
      <c r="A59">
        <v>58</v>
      </c>
      <c r="B59">
        <v>5</v>
      </c>
      <c r="C59" s="1" t="s">
        <v>137</v>
      </c>
      <c r="D59" t="s">
        <v>138</v>
      </c>
      <c r="E59" t="s">
        <v>139</v>
      </c>
      <c r="F59">
        <v>3401</v>
      </c>
      <c r="G59">
        <v>3446</v>
      </c>
      <c r="H59">
        <v>0</v>
      </c>
      <c r="K59">
        <f>IF(Table2[[#This Row],[NeedsAttention]]=1,Table2[[#This Row],[Start]],Table2[[#This Row],[StartN]])</f>
        <v>3401</v>
      </c>
      <c r="L59">
        <f>IF(Table2[[#This Row],[NeedsAttention]]=1,Table2[[#This Row],[End]],Table2[[#This Row],[EndN]])</f>
        <v>3446</v>
      </c>
      <c r="M59" t="b">
        <f>Table2[[#This Row],[Merged.Start]]=L58+1</f>
        <v>1</v>
      </c>
      <c r="O59">
        <f>Table2[[#This Row],[Section]]</f>
        <v>58</v>
      </c>
      <c r="P59">
        <f>Table2[[#This Row],[Canon]]</f>
        <v>5</v>
      </c>
      <c r="Q59" s="1" t="str">
        <f>Table2[[#This Row],[Reference]]</f>
        <v>7.17-20</v>
      </c>
      <c r="R59" t="str">
        <f>Table2[[#This Row],[StartR]]</f>
        <v>MAT 7:17</v>
      </c>
      <c r="S59" t="str">
        <f>Table2[[#This Row],[EndR]]</f>
        <v>MAT 7:20</v>
      </c>
      <c r="T59">
        <f>Table2[[#This Row],[Merged.Start]]</f>
        <v>3401</v>
      </c>
      <c r="U59">
        <f>Table2[[#This Row],[Merged.End]]</f>
        <v>3446</v>
      </c>
    </row>
    <row r="60" spans="1:21" x14ac:dyDescent="0.25">
      <c r="A60">
        <v>59</v>
      </c>
      <c r="B60">
        <v>3</v>
      </c>
      <c r="C60" s="1">
        <v>7.21</v>
      </c>
      <c r="D60" t="s">
        <v>140</v>
      </c>
      <c r="E60" t="s">
        <v>140</v>
      </c>
      <c r="F60">
        <v>3447</v>
      </c>
      <c r="G60">
        <v>3471</v>
      </c>
      <c r="H60">
        <v>0</v>
      </c>
      <c r="K60">
        <f>IF(Table2[[#This Row],[NeedsAttention]]=1,Table2[[#This Row],[Start]],Table2[[#This Row],[StartN]])</f>
        <v>3447</v>
      </c>
      <c r="L60">
        <f>IF(Table2[[#This Row],[NeedsAttention]]=1,Table2[[#This Row],[End]],Table2[[#This Row],[EndN]])</f>
        <v>3471</v>
      </c>
      <c r="M60" t="b">
        <f>Table2[[#This Row],[Merged.Start]]=L59+1</f>
        <v>1</v>
      </c>
      <c r="O60">
        <f>Table2[[#This Row],[Section]]</f>
        <v>59</v>
      </c>
      <c r="P60">
        <f>Table2[[#This Row],[Canon]]</f>
        <v>3</v>
      </c>
      <c r="Q60" s="1">
        <f>Table2[[#This Row],[Reference]]</f>
        <v>7.21</v>
      </c>
      <c r="R60" t="str">
        <f>Table2[[#This Row],[StartR]]</f>
        <v>MAT 7:21</v>
      </c>
      <c r="S60" t="str">
        <f>Table2[[#This Row],[EndR]]</f>
        <v>MAT 7:21</v>
      </c>
      <c r="T60">
        <f>Table2[[#This Row],[Merged.Start]]</f>
        <v>3447</v>
      </c>
      <c r="U60">
        <f>Table2[[#This Row],[Merged.End]]</f>
        <v>3471</v>
      </c>
    </row>
    <row r="61" spans="1:21" x14ac:dyDescent="0.25">
      <c r="A61">
        <v>60</v>
      </c>
      <c r="B61">
        <v>5</v>
      </c>
      <c r="C61" s="1" t="s">
        <v>141</v>
      </c>
      <c r="D61" t="s">
        <v>142</v>
      </c>
      <c r="E61" t="s">
        <v>143</v>
      </c>
      <c r="F61">
        <v>3472</v>
      </c>
      <c r="G61">
        <v>3513</v>
      </c>
      <c r="H61">
        <v>0</v>
      </c>
      <c r="K61">
        <f>IF(Table2[[#This Row],[NeedsAttention]]=1,Table2[[#This Row],[Start]],Table2[[#This Row],[StartN]])</f>
        <v>3472</v>
      </c>
      <c r="L61">
        <f>IF(Table2[[#This Row],[NeedsAttention]]=1,Table2[[#This Row],[End]],Table2[[#This Row],[EndN]])</f>
        <v>3513</v>
      </c>
      <c r="M61" t="b">
        <f>Table2[[#This Row],[Merged.Start]]=L60+1</f>
        <v>1</v>
      </c>
      <c r="O61">
        <f>Table2[[#This Row],[Section]]</f>
        <v>60</v>
      </c>
      <c r="P61">
        <f>Table2[[#This Row],[Canon]]</f>
        <v>5</v>
      </c>
      <c r="Q61" s="1" t="str">
        <f>Table2[[#This Row],[Reference]]</f>
        <v>7.22-23</v>
      </c>
      <c r="R61" t="str">
        <f>Table2[[#This Row],[StartR]]</f>
        <v>MAT 7:22</v>
      </c>
      <c r="S61" t="str">
        <f>Table2[[#This Row],[EndR]]</f>
        <v>MAT 7:23</v>
      </c>
      <c r="T61">
        <f>Table2[[#This Row],[Merged.Start]]</f>
        <v>3472</v>
      </c>
      <c r="U61">
        <f>Table2[[#This Row],[Merged.End]]</f>
        <v>3513</v>
      </c>
    </row>
    <row r="62" spans="1:21" x14ac:dyDescent="0.25">
      <c r="A62">
        <v>61</v>
      </c>
      <c r="B62">
        <v>5</v>
      </c>
      <c r="C62" s="1" t="s">
        <v>144</v>
      </c>
      <c r="D62" t="s">
        <v>145</v>
      </c>
      <c r="E62" t="s">
        <v>146</v>
      </c>
      <c r="F62">
        <v>3514</v>
      </c>
      <c r="G62">
        <v>3608</v>
      </c>
      <c r="H62">
        <v>0</v>
      </c>
      <c r="K62">
        <f>IF(Table2[[#This Row],[NeedsAttention]]=1,Table2[[#This Row],[Start]],Table2[[#This Row],[StartN]])</f>
        <v>3514</v>
      </c>
      <c r="L62">
        <f>IF(Table2[[#This Row],[NeedsAttention]]=1,Table2[[#This Row],[End]],Table2[[#This Row],[EndN]])</f>
        <v>3608</v>
      </c>
      <c r="M62" t="b">
        <f>Table2[[#This Row],[Merged.Start]]=L61+1</f>
        <v>1</v>
      </c>
      <c r="O62">
        <f>Table2[[#This Row],[Section]]</f>
        <v>61</v>
      </c>
      <c r="P62">
        <f>Table2[[#This Row],[Canon]]</f>
        <v>5</v>
      </c>
      <c r="Q62" s="1" t="str">
        <f>Table2[[#This Row],[Reference]]</f>
        <v>7.24-27</v>
      </c>
      <c r="R62" t="str">
        <f>Table2[[#This Row],[StartR]]</f>
        <v>MAT 7:24</v>
      </c>
      <c r="S62" t="str">
        <f>Table2[[#This Row],[EndR]]</f>
        <v>MAT 7:27</v>
      </c>
      <c r="T62">
        <f>Table2[[#This Row],[Merged.Start]]</f>
        <v>3514</v>
      </c>
      <c r="U62">
        <f>Table2[[#This Row],[Merged.End]]</f>
        <v>3608</v>
      </c>
    </row>
    <row r="63" spans="1:21" x14ac:dyDescent="0.25">
      <c r="A63">
        <v>62</v>
      </c>
      <c r="B63">
        <v>2</v>
      </c>
      <c r="C63" s="1" t="s">
        <v>147</v>
      </c>
      <c r="D63" t="s">
        <v>148</v>
      </c>
      <c r="E63" t="s">
        <v>149</v>
      </c>
      <c r="F63">
        <v>3609</v>
      </c>
      <c r="G63">
        <v>3637</v>
      </c>
      <c r="H63">
        <v>0</v>
      </c>
      <c r="K63">
        <f>IF(Table2[[#This Row],[NeedsAttention]]=1,Table2[[#This Row],[Start]],Table2[[#This Row],[StartN]])</f>
        <v>3609</v>
      </c>
      <c r="L63">
        <f>IF(Table2[[#This Row],[NeedsAttention]]=1,Table2[[#This Row],[End]],Table2[[#This Row],[EndN]])</f>
        <v>3637</v>
      </c>
      <c r="M63" t="b">
        <f>Table2[[#This Row],[Merged.Start]]=L62+1</f>
        <v>1</v>
      </c>
      <c r="O63">
        <f>Table2[[#This Row],[Section]]</f>
        <v>62</v>
      </c>
      <c r="P63">
        <f>Table2[[#This Row],[Canon]]</f>
        <v>2</v>
      </c>
      <c r="Q63" s="1" t="str">
        <f>Table2[[#This Row],[Reference]]</f>
        <v>7.28-29</v>
      </c>
      <c r="R63" t="str">
        <f>Table2[[#This Row],[StartR]]</f>
        <v>MAT 7:28</v>
      </c>
      <c r="S63" t="str">
        <f>Table2[[#This Row],[EndR]]</f>
        <v>MAT 7:29</v>
      </c>
      <c r="T63">
        <f>Table2[[#This Row],[Merged.Start]]</f>
        <v>3609</v>
      </c>
      <c r="U63">
        <f>Table2[[#This Row],[Merged.End]]</f>
        <v>3637</v>
      </c>
    </row>
    <row r="64" spans="1:21" x14ac:dyDescent="0.25">
      <c r="A64">
        <v>63</v>
      </c>
      <c r="B64">
        <v>2</v>
      </c>
      <c r="C64" s="1" t="s">
        <v>150</v>
      </c>
      <c r="D64" t="s">
        <v>151</v>
      </c>
      <c r="E64" t="s">
        <v>152</v>
      </c>
      <c r="F64">
        <v>3638</v>
      </c>
      <c r="G64">
        <v>3699</v>
      </c>
      <c r="H64">
        <v>0</v>
      </c>
      <c r="K64">
        <f>IF(Table2[[#This Row],[NeedsAttention]]=1,Table2[[#This Row],[Start]],Table2[[#This Row],[StartN]])</f>
        <v>3638</v>
      </c>
      <c r="L64">
        <f>IF(Table2[[#This Row],[NeedsAttention]]=1,Table2[[#This Row],[End]],Table2[[#This Row],[EndN]])</f>
        <v>3699</v>
      </c>
      <c r="M64" t="b">
        <f>Table2[[#This Row],[Merged.Start]]=L63+1</f>
        <v>1</v>
      </c>
      <c r="O64">
        <f>Table2[[#This Row],[Section]]</f>
        <v>63</v>
      </c>
      <c r="P64">
        <f>Table2[[#This Row],[Canon]]</f>
        <v>2</v>
      </c>
      <c r="Q64" s="1" t="str">
        <f>Table2[[#This Row],[Reference]]</f>
        <v>8.1-4</v>
      </c>
      <c r="R64" t="str">
        <f>Table2[[#This Row],[StartR]]</f>
        <v>MAT 8:1</v>
      </c>
      <c r="S64" t="str">
        <f>Table2[[#This Row],[EndR]]</f>
        <v>MAT 8:4</v>
      </c>
      <c r="T64">
        <f>Table2[[#This Row],[Merged.Start]]</f>
        <v>3638</v>
      </c>
      <c r="U64">
        <f>Table2[[#This Row],[Merged.End]]</f>
        <v>3699</v>
      </c>
    </row>
    <row r="65" spans="1:21" x14ac:dyDescent="0.25">
      <c r="A65">
        <v>64</v>
      </c>
      <c r="B65">
        <v>3</v>
      </c>
      <c r="C65" s="1" t="s">
        <v>153</v>
      </c>
      <c r="D65" t="s">
        <v>154</v>
      </c>
      <c r="E65" t="s">
        <v>155</v>
      </c>
      <c r="F65">
        <v>3700</v>
      </c>
      <c r="G65">
        <v>3803</v>
      </c>
      <c r="H65">
        <v>0</v>
      </c>
      <c r="K65">
        <f>IF(Table2[[#This Row],[NeedsAttention]]=1,Table2[[#This Row],[Start]],Table2[[#This Row],[StartN]])</f>
        <v>3700</v>
      </c>
      <c r="L65">
        <f>IF(Table2[[#This Row],[NeedsAttention]]=1,Table2[[#This Row],[End]],Table2[[#This Row],[EndN]])</f>
        <v>3803</v>
      </c>
      <c r="M65" t="b">
        <f>Table2[[#This Row],[Merged.Start]]=L64+1</f>
        <v>1</v>
      </c>
      <c r="O65">
        <f>Table2[[#This Row],[Section]]</f>
        <v>64</v>
      </c>
      <c r="P65">
        <f>Table2[[#This Row],[Canon]]</f>
        <v>3</v>
      </c>
      <c r="Q65" s="1" t="str">
        <f>Table2[[#This Row],[Reference]]</f>
        <v>8.5-10</v>
      </c>
      <c r="R65" t="str">
        <f>Table2[[#This Row],[StartR]]</f>
        <v>MAT 8:5</v>
      </c>
      <c r="S65" t="str">
        <f>Table2[[#This Row],[EndR]]</f>
        <v>MAT 8:10</v>
      </c>
      <c r="T65">
        <f>Table2[[#This Row],[Merged.Start]]</f>
        <v>3700</v>
      </c>
      <c r="U65">
        <f>Table2[[#This Row],[Merged.End]]</f>
        <v>3803</v>
      </c>
    </row>
    <row r="66" spans="1:21" x14ac:dyDescent="0.25">
      <c r="A66">
        <v>65</v>
      </c>
      <c r="B66">
        <v>5</v>
      </c>
      <c r="C66" s="1" t="s">
        <v>156</v>
      </c>
      <c r="D66" t="s">
        <v>157</v>
      </c>
      <c r="E66" t="s">
        <v>158</v>
      </c>
      <c r="F66">
        <v>3804</v>
      </c>
      <c r="G66">
        <v>3846</v>
      </c>
      <c r="H66">
        <v>0</v>
      </c>
      <c r="K66">
        <f>IF(Table2[[#This Row],[NeedsAttention]]=1,Table2[[#This Row],[Start]],Table2[[#This Row],[StartN]])</f>
        <v>3804</v>
      </c>
      <c r="L66">
        <f>IF(Table2[[#This Row],[NeedsAttention]]=1,Table2[[#This Row],[End]],Table2[[#This Row],[EndN]])</f>
        <v>3846</v>
      </c>
      <c r="M66" t="b">
        <f>Table2[[#This Row],[Merged.Start]]=L65+1</f>
        <v>1</v>
      </c>
      <c r="O66">
        <f>Table2[[#This Row],[Section]]</f>
        <v>65</v>
      </c>
      <c r="P66">
        <f>Table2[[#This Row],[Canon]]</f>
        <v>5</v>
      </c>
      <c r="Q66" s="1" t="str">
        <f>Table2[[#This Row],[Reference]]</f>
        <v>8.11-12</v>
      </c>
      <c r="R66" t="str">
        <f>Table2[[#This Row],[StartR]]</f>
        <v>MAT 8:11</v>
      </c>
      <c r="S66" t="str">
        <f>Table2[[#This Row],[EndR]]</f>
        <v>MAT 8:12</v>
      </c>
      <c r="T66">
        <f>Table2[[#This Row],[Merged.Start]]</f>
        <v>3804</v>
      </c>
      <c r="U66">
        <f>Table2[[#This Row],[Merged.End]]</f>
        <v>3846</v>
      </c>
    </row>
    <row r="67" spans="1:21" x14ac:dyDescent="0.25">
      <c r="A67">
        <v>66</v>
      </c>
      <c r="B67">
        <v>5</v>
      </c>
      <c r="C67" s="1">
        <v>8.1300000000000008</v>
      </c>
      <c r="D67" t="s">
        <v>159</v>
      </c>
      <c r="E67" t="s">
        <v>159</v>
      </c>
      <c r="F67">
        <v>3847</v>
      </c>
      <c r="G67">
        <v>3865</v>
      </c>
      <c r="H67">
        <v>0</v>
      </c>
      <c r="K67">
        <f>IF(Table2[[#This Row],[NeedsAttention]]=1,Table2[[#This Row],[Start]],Table2[[#This Row],[StartN]])</f>
        <v>3847</v>
      </c>
      <c r="L67">
        <f>IF(Table2[[#This Row],[NeedsAttention]]=1,Table2[[#This Row],[End]],Table2[[#This Row],[EndN]])</f>
        <v>3865</v>
      </c>
      <c r="M67" t="b">
        <f>Table2[[#This Row],[Merged.Start]]=L66+1</f>
        <v>1</v>
      </c>
      <c r="O67">
        <f>Table2[[#This Row],[Section]]</f>
        <v>66</v>
      </c>
      <c r="P67">
        <f>Table2[[#This Row],[Canon]]</f>
        <v>5</v>
      </c>
      <c r="Q67" s="1">
        <f>Table2[[#This Row],[Reference]]</f>
        <v>8.1300000000000008</v>
      </c>
      <c r="R67" t="str">
        <f>Table2[[#This Row],[StartR]]</f>
        <v>MAT 8:13</v>
      </c>
      <c r="S67" t="str">
        <f>Table2[[#This Row],[EndR]]</f>
        <v>MAT 8:13</v>
      </c>
      <c r="T67">
        <f>Table2[[#This Row],[Merged.Start]]</f>
        <v>3847</v>
      </c>
      <c r="U67">
        <f>Table2[[#This Row],[Merged.End]]</f>
        <v>3865</v>
      </c>
    </row>
    <row r="68" spans="1:21" x14ac:dyDescent="0.25">
      <c r="A68">
        <v>67</v>
      </c>
      <c r="B68">
        <v>2</v>
      </c>
      <c r="C68" s="1" t="s">
        <v>160</v>
      </c>
      <c r="D68" t="s">
        <v>161</v>
      </c>
      <c r="E68" t="s">
        <v>162</v>
      </c>
      <c r="F68">
        <v>3866</v>
      </c>
      <c r="G68">
        <v>3944</v>
      </c>
      <c r="H68">
        <v>0</v>
      </c>
      <c r="K68">
        <f>IF(Table2[[#This Row],[NeedsAttention]]=1,Table2[[#This Row],[Start]],Table2[[#This Row],[StartN]])</f>
        <v>3866</v>
      </c>
      <c r="L68">
        <f>IF(Table2[[#This Row],[NeedsAttention]]=1,Table2[[#This Row],[End]],Table2[[#This Row],[EndN]])</f>
        <v>3944</v>
      </c>
      <c r="M68" t="b">
        <f>Table2[[#This Row],[Merged.Start]]=L67+1</f>
        <v>1</v>
      </c>
      <c r="O68">
        <f>Table2[[#This Row],[Section]]</f>
        <v>67</v>
      </c>
      <c r="P68">
        <f>Table2[[#This Row],[Canon]]</f>
        <v>2</v>
      </c>
      <c r="Q68" s="1" t="str">
        <f>Table2[[#This Row],[Reference]]</f>
        <v>8.14-18</v>
      </c>
      <c r="R68" t="str">
        <f>Table2[[#This Row],[StartR]]</f>
        <v>MAT 8:14</v>
      </c>
      <c r="S68" t="str">
        <f>Table2[[#This Row],[EndR]]</f>
        <v>MAT 8:18</v>
      </c>
      <c r="T68">
        <f>Table2[[#This Row],[Merged.Start]]</f>
        <v>3866</v>
      </c>
      <c r="U68">
        <f>Table2[[#This Row],[Merged.End]]</f>
        <v>3944</v>
      </c>
    </row>
    <row r="69" spans="1:21" x14ac:dyDescent="0.25">
      <c r="A69">
        <v>68</v>
      </c>
      <c r="B69">
        <v>5</v>
      </c>
      <c r="C69" s="1" t="s">
        <v>163</v>
      </c>
      <c r="D69" t="s">
        <v>164</v>
      </c>
      <c r="E69" t="s">
        <v>165</v>
      </c>
      <c r="F69">
        <v>3945</v>
      </c>
      <c r="G69">
        <v>4013</v>
      </c>
      <c r="H69">
        <v>0</v>
      </c>
      <c r="K69">
        <f>IF(Table2[[#This Row],[NeedsAttention]]=1,Table2[[#This Row],[Start]],Table2[[#This Row],[StartN]])</f>
        <v>3945</v>
      </c>
      <c r="L69">
        <f>IF(Table2[[#This Row],[NeedsAttention]]=1,Table2[[#This Row],[End]],Table2[[#This Row],[EndN]])</f>
        <v>4013</v>
      </c>
      <c r="M69" t="b">
        <f>Table2[[#This Row],[Merged.Start]]=L68+1</f>
        <v>1</v>
      </c>
      <c r="O69">
        <f>Table2[[#This Row],[Section]]</f>
        <v>68</v>
      </c>
      <c r="P69">
        <f>Table2[[#This Row],[Canon]]</f>
        <v>5</v>
      </c>
      <c r="Q69" s="1" t="str">
        <f>Table2[[#This Row],[Reference]]</f>
        <v>8.19-22</v>
      </c>
      <c r="R69" t="str">
        <f>Table2[[#This Row],[StartR]]</f>
        <v>MAT 8:19</v>
      </c>
      <c r="S69" t="str">
        <f>Table2[[#This Row],[EndR]]</f>
        <v>MAT 8:22</v>
      </c>
      <c r="T69">
        <f>Table2[[#This Row],[Merged.Start]]</f>
        <v>3945</v>
      </c>
      <c r="U69">
        <f>Table2[[#This Row],[Merged.End]]</f>
        <v>4013</v>
      </c>
    </row>
    <row r="70" spans="1:21" x14ac:dyDescent="0.25">
      <c r="A70">
        <v>69</v>
      </c>
      <c r="B70">
        <v>2</v>
      </c>
      <c r="C70" s="1" t="s">
        <v>166</v>
      </c>
      <c r="D70" t="s">
        <v>167</v>
      </c>
      <c r="E70" t="s">
        <v>168</v>
      </c>
      <c r="F70">
        <v>4014</v>
      </c>
      <c r="G70">
        <v>4220</v>
      </c>
      <c r="H70">
        <v>0</v>
      </c>
      <c r="K70">
        <f>IF(Table2[[#This Row],[NeedsAttention]]=1,Table2[[#This Row],[Start]],Table2[[#This Row],[StartN]])</f>
        <v>4014</v>
      </c>
      <c r="L70">
        <f>IF(Table2[[#This Row],[NeedsAttention]]=1,Table2[[#This Row],[End]],Table2[[#This Row],[EndN]])</f>
        <v>4220</v>
      </c>
      <c r="M70" t="b">
        <f>Table2[[#This Row],[Merged.Start]]=L69+1</f>
        <v>1</v>
      </c>
      <c r="O70">
        <f>Table2[[#This Row],[Section]]</f>
        <v>69</v>
      </c>
      <c r="P70">
        <f>Table2[[#This Row],[Canon]]</f>
        <v>2</v>
      </c>
      <c r="Q70" s="1" t="str">
        <f>Table2[[#This Row],[Reference]]</f>
        <v>8.23-34</v>
      </c>
      <c r="R70" t="str">
        <f>Table2[[#This Row],[StartR]]</f>
        <v>MAT 8:23</v>
      </c>
      <c r="S70" t="str">
        <f>Table2[[#This Row],[EndR]]</f>
        <v>MAT 8:34</v>
      </c>
      <c r="T70">
        <f>Table2[[#This Row],[Merged.Start]]</f>
        <v>4014</v>
      </c>
      <c r="U70">
        <f>Table2[[#This Row],[Merged.End]]</f>
        <v>4220</v>
      </c>
    </row>
    <row r="71" spans="1:21" x14ac:dyDescent="0.25">
      <c r="A71">
        <v>70</v>
      </c>
      <c r="B71">
        <v>1</v>
      </c>
      <c r="C71" s="1" t="s">
        <v>169</v>
      </c>
      <c r="D71" t="s">
        <v>170</v>
      </c>
      <c r="E71" t="s">
        <v>171</v>
      </c>
      <c r="F71">
        <v>4221</v>
      </c>
      <c r="G71">
        <v>4346</v>
      </c>
      <c r="H71">
        <v>0</v>
      </c>
      <c r="K71">
        <f>IF(Table2[[#This Row],[NeedsAttention]]=1,Table2[[#This Row],[Start]],Table2[[#This Row],[StartN]])</f>
        <v>4221</v>
      </c>
      <c r="L71">
        <f>IF(Table2[[#This Row],[NeedsAttention]]=1,Table2[[#This Row],[End]],Table2[[#This Row],[EndN]])</f>
        <v>4346</v>
      </c>
      <c r="M71" t="b">
        <f>Table2[[#This Row],[Merged.Start]]=L70+1</f>
        <v>1</v>
      </c>
      <c r="O71">
        <f>Table2[[#This Row],[Section]]</f>
        <v>70</v>
      </c>
      <c r="P71">
        <f>Table2[[#This Row],[Canon]]</f>
        <v>1</v>
      </c>
      <c r="Q71" s="1" t="str">
        <f>Table2[[#This Row],[Reference]]</f>
        <v>9.1-8</v>
      </c>
      <c r="R71" t="str">
        <f>Table2[[#This Row],[StartR]]</f>
        <v>MAT 9:1</v>
      </c>
      <c r="S71" t="str">
        <f>Table2[[#This Row],[EndR]]</f>
        <v>MAT 9:8</v>
      </c>
      <c r="T71">
        <f>Table2[[#This Row],[Merged.Start]]</f>
        <v>4221</v>
      </c>
      <c r="U71">
        <f>Table2[[#This Row],[Merged.End]]</f>
        <v>4346</v>
      </c>
    </row>
    <row r="72" spans="1:21" x14ac:dyDescent="0.25">
      <c r="A72">
        <v>71</v>
      </c>
      <c r="B72">
        <v>2</v>
      </c>
      <c r="C72" s="1">
        <v>9.9</v>
      </c>
      <c r="D72" t="s">
        <v>172</v>
      </c>
      <c r="E72" t="s">
        <v>172</v>
      </c>
      <c r="F72">
        <v>4347</v>
      </c>
      <c r="G72">
        <v>4368</v>
      </c>
      <c r="H72">
        <v>0</v>
      </c>
      <c r="K72">
        <f>IF(Table2[[#This Row],[NeedsAttention]]=1,Table2[[#This Row],[Start]],Table2[[#This Row],[StartN]])</f>
        <v>4347</v>
      </c>
      <c r="L72">
        <f>IF(Table2[[#This Row],[NeedsAttention]]=1,Table2[[#This Row],[End]],Table2[[#This Row],[EndN]])</f>
        <v>4368</v>
      </c>
      <c r="M72" t="b">
        <f>Table2[[#This Row],[Merged.Start]]=L71+1</f>
        <v>1</v>
      </c>
      <c r="O72">
        <f>Table2[[#This Row],[Section]]</f>
        <v>71</v>
      </c>
      <c r="P72">
        <f>Table2[[#This Row],[Canon]]</f>
        <v>2</v>
      </c>
      <c r="Q72" s="1">
        <f>Table2[[#This Row],[Reference]]</f>
        <v>9.9</v>
      </c>
      <c r="R72" t="str">
        <f>Table2[[#This Row],[StartR]]</f>
        <v>MAT 9:9</v>
      </c>
      <c r="S72" t="str">
        <f>Table2[[#This Row],[EndR]]</f>
        <v>MAT 9:9</v>
      </c>
      <c r="T72">
        <f>Table2[[#This Row],[Merged.Start]]</f>
        <v>4347</v>
      </c>
      <c r="U72">
        <f>Table2[[#This Row],[Merged.End]]</f>
        <v>4368</v>
      </c>
    </row>
    <row r="73" spans="1:21" x14ac:dyDescent="0.25">
      <c r="A73">
        <v>72</v>
      </c>
      <c r="B73">
        <v>2</v>
      </c>
      <c r="C73" s="1" t="s">
        <v>173</v>
      </c>
      <c r="D73" t="s">
        <v>174</v>
      </c>
      <c r="E73" t="s">
        <v>175</v>
      </c>
      <c r="F73">
        <v>4369</v>
      </c>
      <c r="G73">
        <v>4408</v>
      </c>
      <c r="H73">
        <v>0</v>
      </c>
      <c r="K73">
        <f>IF(Table2[[#This Row],[NeedsAttention]]=1,Table2[[#This Row],[Start]],Table2[[#This Row],[StartN]])</f>
        <v>4369</v>
      </c>
      <c r="L73">
        <f>IF(Table2[[#This Row],[NeedsAttention]]=1,Table2[[#This Row],[End]],Table2[[#This Row],[EndN]])</f>
        <v>4408</v>
      </c>
      <c r="M73" t="b">
        <f>Table2[[#This Row],[Merged.Start]]=L72+1</f>
        <v>1</v>
      </c>
      <c r="O73">
        <f>Table2[[#This Row],[Section]]</f>
        <v>72</v>
      </c>
      <c r="P73">
        <f>Table2[[#This Row],[Canon]]</f>
        <v>2</v>
      </c>
      <c r="Q73" s="1" t="str">
        <f>Table2[[#This Row],[Reference]]</f>
        <v>9.10-11</v>
      </c>
      <c r="R73" t="str">
        <f>Table2[[#This Row],[StartR]]</f>
        <v>MAT 9:10</v>
      </c>
      <c r="S73" t="str">
        <f>Table2[[#This Row],[EndR]]</f>
        <v>MAT 9:11</v>
      </c>
      <c r="T73">
        <f>Table2[[#This Row],[Merged.Start]]</f>
        <v>4369</v>
      </c>
      <c r="U73">
        <f>Table2[[#This Row],[Merged.End]]</f>
        <v>4408</v>
      </c>
    </row>
    <row r="74" spans="1:21" x14ac:dyDescent="0.25">
      <c r="A74">
        <v>73</v>
      </c>
      <c r="B74">
        <v>2</v>
      </c>
      <c r="C74" s="1" t="s">
        <v>176</v>
      </c>
      <c r="D74" t="s">
        <v>177</v>
      </c>
      <c r="E74" t="s">
        <v>178</v>
      </c>
      <c r="F74">
        <v>4409</v>
      </c>
      <c r="G74">
        <v>4544</v>
      </c>
      <c r="H74">
        <v>0</v>
      </c>
      <c r="K74">
        <f>IF(Table2[[#This Row],[NeedsAttention]]=1,Table2[[#This Row],[Start]],Table2[[#This Row],[StartN]])</f>
        <v>4409</v>
      </c>
      <c r="L74">
        <f>IF(Table2[[#This Row],[NeedsAttention]]=1,Table2[[#This Row],[End]],Table2[[#This Row],[EndN]])</f>
        <v>4544</v>
      </c>
      <c r="M74" t="b">
        <f>Table2[[#This Row],[Merged.Start]]=L73+1</f>
        <v>1</v>
      </c>
      <c r="O74">
        <f>Table2[[#This Row],[Section]]</f>
        <v>73</v>
      </c>
      <c r="P74">
        <f>Table2[[#This Row],[Canon]]</f>
        <v>2</v>
      </c>
      <c r="Q74" s="1" t="str">
        <f>Table2[[#This Row],[Reference]]</f>
        <v>9.12-17</v>
      </c>
      <c r="R74" t="str">
        <f>Table2[[#This Row],[StartR]]</f>
        <v>MAT 9:12</v>
      </c>
      <c r="S74" t="str">
        <f>Table2[[#This Row],[EndR]]</f>
        <v>MAT 9:17</v>
      </c>
      <c r="T74">
        <f>Table2[[#This Row],[Merged.Start]]</f>
        <v>4409</v>
      </c>
      <c r="U74">
        <f>Table2[[#This Row],[Merged.End]]</f>
        <v>4544</v>
      </c>
    </row>
    <row r="75" spans="1:21" x14ac:dyDescent="0.25">
      <c r="A75">
        <v>74</v>
      </c>
      <c r="B75">
        <v>2</v>
      </c>
      <c r="C75" s="1" t="s">
        <v>179</v>
      </c>
      <c r="D75" t="s">
        <v>180</v>
      </c>
      <c r="E75" t="s">
        <v>181</v>
      </c>
      <c r="F75">
        <v>4545</v>
      </c>
      <c r="G75">
        <v>4682</v>
      </c>
      <c r="H75">
        <v>0</v>
      </c>
      <c r="K75">
        <f>IF(Table2[[#This Row],[NeedsAttention]]=1,Table2[[#This Row],[Start]],Table2[[#This Row],[StartN]])</f>
        <v>4545</v>
      </c>
      <c r="L75">
        <f>IF(Table2[[#This Row],[NeedsAttention]]=1,Table2[[#This Row],[End]],Table2[[#This Row],[EndN]])</f>
        <v>4682</v>
      </c>
      <c r="M75" t="b">
        <f>Table2[[#This Row],[Merged.Start]]=L74+1</f>
        <v>1</v>
      </c>
      <c r="O75">
        <f>Table2[[#This Row],[Section]]</f>
        <v>74</v>
      </c>
      <c r="P75">
        <f>Table2[[#This Row],[Canon]]</f>
        <v>2</v>
      </c>
      <c r="Q75" s="1" t="str">
        <f>Table2[[#This Row],[Reference]]</f>
        <v>9.18-26</v>
      </c>
      <c r="R75" t="str">
        <f>Table2[[#This Row],[StartR]]</f>
        <v>MAT 9:18</v>
      </c>
      <c r="S75" t="str">
        <f>Table2[[#This Row],[EndR]]</f>
        <v>MAT 9:26</v>
      </c>
      <c r="T75">
        <f>Table2[[#This Row],[Merged.Start]]</f>
        <v>4545</v>
      </c>
      <c r="U75">
        <f>Table2[[#This Row],[Merged.End]]</f>
        <v>4682</v>
      </c>
    </row>
    <row r="76" spans="1:21" x14ac:dyDescent="0.25">
      <c r="A76">
        <v>75</v>
      </c>
      <c r="B76">
        <v>10</v>
      </c>
      <c r="C76" s="1" t="s">
        <v>182</v>
      </c>
      <c r="D76" t="s">
        <v>183</v>
      </c>
      <c r="E76" t="s">
        <v>184</v>
      </c>
      <c r="F76">
        <v>4683</v>
      </c>
      <c r="G76">
        <v>4796</v>
      </c>
      <c r="H76">
        <v>0</v>
      </c>
      <c r="K76">
        <f>IF(Table2[[#This Row],[NeedsAttention]]=1,Table2[[#This Row],[Start]],Table2[[#This Row],[StartN]])</f>
        <v>4683</v>
      </c>
      <c r="L76">
        <f>IF(Table2[[#This Row],[NeedsAttention]]=1,Table2[[#This Row],[End]],Table2[[#This Row],[EndN]])</f>
        <v>4796</v>
      </c>
      <c r="M76" t="b">
        <f>Table2[[#This Row],[Merged.Start]]=L75+1</f>
        <v>1</v>
      </c>
      <c r="O76">
        <f>Table2[[#This Row],[Section]]</f>
        <v>75</v>
      </c>
      <c r="P76">
        <f>Table2[[#This Row],[Canon]]</f>
        <v>10</v>
      </c>
      <c r="Q76" s="1" t="str">
        <f>Table2[[#This Row],[Reference]]</f>
        <v>9.27-34</v>
      </c>
      <c r="R76" t="str">
        <f>Table2[[#This Row],[StartR]]</f>
        <v>MAT 9:27</v>
      </c>
      <c r="S76" t="str">
        <f>Table2[[#This Row],[EndR]]</f>
        <v>MAT 9:34</v>
      </c>
      <c r="T76">
        <f>Table2[[#This Row],[Merged.Start]]</f>
        <v>4683</v>
      </c>
      <c r="U76">
        <f>Table2[[#This Row],[Merged.End]]</f>
        <v>4796</v>
      </c>
    </row>
    <row r="77" spans="1:21" x14ac:dyDescent="0.25">
      <c r="A77">
        <v>76</v>
      </c>
      <c r="B77">
        <v>2</v>
      </c>
      <c r="C77" s="1">
        <v>9.35</v>
      </c>
      <c r="D77" t="s">
        <v>185</v>
      </c>
      <c r="E77" t="s">
        <v>185</v>
      </c>
      <c r="F77">
        <v>4797</v>
      </c>
      <c r="G77">
        <v>4824</v>
      </c>
      <c r="H77">
        <v>0</v>
      </c>
      <c r="K77">
        <f>IF(Table2[[#This Row],[NeedsAttention]]=1,Table2[[#This Row],[Start]],Table2[[#This Row],[StartN]])</f>
        <v>4797</v>
      </c>
      <c r="L77">
        <f>IF(Table2[[#This Row],[NeedsAttention]]=1,Table2[[#This Row],[End]],Table2[[#This Row],[EndN]])</f>
        <v>4824</v>
      </c>
      <c r="M77" t="b">
        <f>Table2[[#This Row],[Merged.Start]]=L76+1</f>
        <v>1</v>
      </c>
      <c r="O77">
        <f>Table2[[#This Row],[Section]]</f>
        <v>76</v>
      </c>
      <c r="P77">
        <f>Table2[[#This Row],[Canon]]</f>
        <v>2</v>
      </c>
      <c r="Q77" s="1">
        <f>Table2[[#This Row],[Reference]]</f>
        <v>9.35</v>
      </c>
      <c r="R77" t="str">
        <f>Table2[[#This Row],[StartR]]</f>
        <v>MAT 9:35</v>
      </c>
      <c r="S77" t="str">
        <f>Table2[[#This Row],[EndR]]</f>
        <v>MAT 9:35</v>
      </c>
      <c r="T77">
        <f>Table2[[#This Row],[Merged.Start]]</f>
        <v>4797</v>
      </c>
      <c r="U77">
        <f>Table2[[#This Row],[Merged.End]]</f>
        <v>4824</v>
      </c>
    </row>
    <row r="78" spans="1:21" x14ac:dyDescent="0.25">
      <c r="A78">
        <v>77</v>
      </c>
      <c r="B78">
        <v>6</v>
      </c>
      <c r="C78" s="1">
        <v>9.36</v>
      </c>
      <c r="D78" t="s">
        <v>186</v>
      </c>
      <c r="E78" t="s">
        <v>186</v>
      </c>
      <c r="F78">
        <v>4825</v>
      </c>
      <c r="G78">
        <v>4841</v>
      </c>
      <c r="H78">
        <v>0</v>
      </c>
      <c r="K78">
        <f>IF(Table2[[#This Row],[NeedsAttention]]=1,Table2[[#This Row],[Start]],Table2[[#This Row],[StartN]])</f>
        <v>4825</v>
      </c>
      <c r="L78">
        <f>IF(Table2[[#This Row],[NeedsAttention]]=1,Table2[[#This Row],[End]],Table2[[#This Row],[EndN]])</f>
        <v>4841</v>
      </c>
      <c r="M78" t="b">
        <f>Table2[[#This Row],[Merged.Start]]=L77+1</f>
        <v>1</v>
      </c>
      <c r="O78">
        <f>Table2[[#This Row],[Section]]</f>
        <v>77</v>
      </c>
      <c r="P78">
        <f>Table2[[#This Row],[Canon]]</f>
        <v>6</v>
      </c>
      <c r="Q78" s="1">
        <f>Table2[[#This Row],[Reference]]</f>
        <v>9.36</v>
      </c>
      <c r="R78" t="str">
        <f>Table2[[#This Row],[StartR]]</f>
        <v>MAT 9:36</v>
      </c>
      <c r="S78" t="str">
        <f>Table2[[#This Row],[EndR]]</f>
        <v>MAT 9:36</v>
      </c>
      <c r="T78">
        <f>Table2[[#This Row],[Merged.Start]]</f>
        <v>4825</v>
      </c>
      <c r="U78">
        <f>Table2[[#This Row],[Merged.End]]</f>
        <v>4841</v>
      </c>
    </row>
    <row r="79" spans="1:21" x14ac:dyDescent="0.25">
      <c r="A79">
        <v>78</v>
      </c>
      <c r="B79">
        <v>5</v>
      </c>
      <c r="C79" s="1">
        <v>9.3699999999999992</v>
      </c>
      <c r="D79" t="s">
        <v>187</v>
      </c>
      <c r="E79" t="s">
        <v>2504</v>
      </c>
      <c r="F79">
        <v>4842</v>
      </c>
      <c r="G79">
        <v>4867</v>
      </c>
      <c r="H79">
        <v>0</v>
      </c>
      <c r="K79">
        <f>IF(Table2[[#This Row],[NeedsAttention]]=1,Table2[[#This Row],[Start]],Table2[[#This Row],[StartN]])</f>
        <v>4842</v>
      </c>
      <c r="L79">
        <f>IF(Table2[[#This Row],[NeedsAttention]]=1,Table2[[#This Row],[End]],Table2[[#This Row],[EndN]])</f>
        <v>4867</v>
      </c>
      <c r="M79" t="b">
        <f>Table2[[#This Row],[Merged.Start]]=L78+1</f>
        <v>1</v>
      </c>
      <c r="O79">
        <f>Table2[[#This Row],[Section]]</f>
        <v>78</v>
      </c>
      <c r="P79">
        <f>Table2[[#This Row],[Canon]]</f>
        <v>5</v>
      </c>
      <c r="Q79" s="1">
        <f>Table2[[#This Row],[Reference]]</f>
        <v>9.3699999999999992</v>
      </c>
      <c r="R79" t="str">
        <f>Table2[[#This Row],[StartR]]</f>
        <v>MAT 9:37</v>
      </c>
      <c r="S79" t="str">
        <f>Table2[[#This Row],[EndR]]</f>
        <v>MAT 9:38</v>
      </c>
      <c r="T79">
        <f>Table2[[#This Row],[Merged.Start]]</f>
        <v>4842</v>
      </c>
      <c r="U79">
        <f>Table2[[#This Row],[Merged.End]]</f>
        <v>4867</v>
      </c>
    </row>
    <row r="80" spans="1:21" x14ac:dyDescent="0.25">
      <c r="A80">
        <v>79</v>
      </c>
      <c r="B80">
        <v>2</v>
      </c>
      <c r="C80" s="1">
        <v>10.1</v>
      </c>
      <c r="D80" t="s">
        <v>188</v>
      </c>
      <c r="E80" t="s">
        <v>188</v>
      </c>
      <c r="F80">
        <v>4868</v>
      </c>
      <c r="G80">
        <v>4888</v>
      </c>
      <c r="H80">
        <v>0</v>
      </c>
      <c r="K80">
        <f>IF(Table2[[#This Row],[NeedsAttention]]=1,Table2[[#This Row],[Start]],Table2[[#This Row],[StartN]])</f>
        <v>4868</v>
      </c>
      <c r="L80">
        <f>IF(Table2[[#This Row],[NeedsAttention]]=1,Table2[[#This Row],[End]],Table2[[#This Row],[EndN]])</f>
        <v>4888</v>
      </c>
      <c r="M80" t="b">
        <f>Table2[[#This Row],[Merged.Start]]=L79+1</f>
        <v>1</v>
      </c>
      <c r="O80">
        <f>Table2[[#This Row],[Section]]</f>
        <v>79</v>
      </c>
      <c r="P80">
        <f>Table2[[#This Row],[Canon]]</f>
        <v>2</v>
      </c>
      <c r="Q80" s="1">
        <f>Table2[[#This Row],[Reference]]</f>
        <v>10.1</v>
      </c>
      <c r="R80" t="str">
        <f>Table2[[#This Row],[StartR]]</f>
        <v>MAT 10:1</v>
      </c>
      <c r="S80" t="str">
        <f>Table2[[#This Row],[EndR]]</f>
        <v>MAT 10:1</v>
      </c>
      <c r="T80">
        <f>Table2[[#This Row],[Merged.Start]]</f>
        <v>4868</v>
      </c>
      <c r="U80">
        <f>Table2[[#This Row],[Merged.End]]</f>
        <v>4888</v>
      </c>
    </row>
    <row r="81" spans="1:21" x14ac:dyDescent="0.25">
      <c r="A81">
        <v>80</v>
      </c>
      <c r="B81">
        <v>2</v>
      </c>
      <c r="C81" s="1" t="s">
        <v>189</v>
      </c>
      <c r="D81" t="s">
        <v>190</v>
      </c>
      <c r="E81" t="s">
        <v>191</v>
      </c>
      <c r="F81">
        <v>4889</v>
      </c>
      <c r="G81">
        <v>4940</v>
      </c>
      <c r="H81">
        <v>0</v>
      </c>
      <c r="K81">
        <f>IF(Table2[[#This Row],[NeedsAttention]]=1,Table2[[#This Row],[Start]],Table2[[#This Row],[StartN]])</f>
        <v>4889</v>
      </c>
      <c r="L81">
        <f>IF(Table2[[#This Row],[NeedsAttention]]=1,Table2[[#This Row],[End]],Table2[[#This Row],[EndN]])</f>
        <v>4940</v>
      </c>
      <c r="M81" t="b">
        <f>Table2[[#This Row],[Merged.Start]]=L80+1</f>
        <v>1</v>
      </c>
      <c r="O81">
        <f>Table2[[#This Row],[Section]]</f>
        <v>80</v>
      </c>
      <c r="P81">
        <f>Table2[[#This Row],[Canon]]</f>
        <v>2</v>
      </c>
      <c r="Q81" s="1" t="str">
        <f>Table2[[#This Row],[Reference]]</f>
        <v>10.2-4</v>
      </c>
      <c r="R81" t="str">
        <f>Table2[[#This Row],[StartR]]</f>
        <v>MAT 10:2</v>
      </c>
      <c r="S81" t="str">
        <f>Table2[[#This Row],[EndR]]</f>
        <v>MAT 10:4</v>
      </c>
      <c r="T81">
        <f>Table2[[#This Row],[Merged.Start]]</f>
        <v>4889</v>
      </c>
      <c r="U81">
        <f>Table2[[#This Row],[Merged.End]]</f>
        <v>4940</v>
      </c>
    </row>
    <row r="82" spans="1:21" x14ac:dyDescent="0.25">
      <c r="A82">
        <v>81</v>
      </c>
      <c r="B82">
        <v>10</v>
      </c>
      <c r="C82" s="1" t="s">
        <v>192</v>
      </c>
      <c r="D82" t="s">
        <v>193</v>
      </c>
      <c r="E82" t="s">
        <v>194</v>
      </c>
      <c r="F82">
        <v>4941</v>
      </c>
      <c r="G82">
        <v>4970</v>
      </c>
      <c r="H82">
        <v>0</v>
      </c>
      <c r="K82">
        <f>IF(Table2[[#This Row],[NeedsAttention]]=1,Table2[[#This Row],[Start]],Table2[[#This Row],[StartN]])</f>
        <v>4941</v>
      </c>
      <c r="L82">
        <f>IF(Table2[[#This Row],[NeedsAttention]]=1,Table2[[#This Row],[End]],Table2[[#This Row],[EndN]])</f>
        <v>4970</v>
      </c>
      <c r="M82" t="b">
        <f>Table2[[#This Row],[Merged.Start]]=L81+1</f>
        <v>1</v>
      </c>
      <c r="O82">
        <f>Table2[[#This Row],[Section]]</f>
        <v>81</v>
      </c>
      <c r="P82">
        <f>Table2[[#This Row],[Canon]]</f>
        <v>10</v>
      </c>
      <c r="Q82" s="1" t="str">
        <f>Table2[[#This Row],[Reference]]</f>
        <v>10.5-6</v>
      </c>
      <c r="R82" t="str">
        <f>Table2[[#This Row],[StartR]]</f>
        <v>MAT 10:5</v>
      </c>
      <c r="S82" t="str">
        <f>Table2[[#This Row],[EndR]]</f>
        <v>MAT 10:6</v>
      </c>
      <c r="T82">
        <f>Table2[[#This Row],[Merged.Start]]</f>
        <v>4941</v>
      </c>
      <c r="U82">
        <f>Table2[[#This Row],[Merged.End]]</f>
        <v>4970</v>
      </c>
    </row>
    <row r="83" spans="1:21" x14ac:dyDescent="0.25">
      <c r="A83">
        <v>82</v>
      </c>
      <c r="B83">
        <v>2</v>
      </c>
      <c r="C83" s="1" t="s">
        <v>195</v>
      </c>
      <c r="D83" t="s">
        <v>196</v>
      </c>
      <c r="E83" t="s">
        <v>197</v>
      </c>
      <c r="F83">
        <v>4971</v>
      </c>
      <c r="G83">
        <v>5021</v>
      </c>
      <c r="H83">
        <v>0</v>
      </c>
      <c r="K83">
        <f>IF(Table2[[#This Row],[NeedsAttention]]=1,Table2[[#This Row],[Start]],Table2[[#This Row],[StartN]])</f>
        <v>4971</v>
      </c>
      <c r="L83">
        <f>IF(Table2[[#This Row],[NeedsAttention]]=1,Table2[[#This Row],[End]],Table2[[#This Row],[EndN]])</f>
        <v>5021</v>
      </c>
      <c r="M83" t="b">
        <f>Table2[[#This Row],[Merged.Start]]=L82+1</f>
        <v>1</v>
      </c>
      <c r="O83">
        <f>Table2[[#This Row],[Section]]</f>
        <v>82</v>
      </c>
      <c r="P83">
        <f>Table2[[#This Row],[Canon]]</f>
        <v>2</v>
      </c>
      <c r="Q83" s="1" t="str">
        <f>Table2[[#This Row],[Reference]]</f>
        <v>10.7-10</v>
      </c>
      <c r="R83" t="str">
        <f>Table2[[#This Row],[StartR]]</f>
        <v>MAT 10:7</v>
      </c>
      <c r="S83" t="str">
        <f>Table2[[#This Row],[EndR]]</f>
        <v>MAT 10:10</v>
      </c>
      <c r="T83">
        <f>Table2[[#This Row],[Merged.Start]]</f>
        <v>4971</v>
      </c>
      <c r="U83">
        <f>Table2[[#This Row],[Merged.End]]</f>
        <v>5021</v>
      </c>
    </row>
    <row r="84" spans="1:21" x14ac:dyDescent="0.25">
      <c r="A84">
        <v>83</v>
      </c>
      <c r="B84">
        <v>2</v>
      </c>
      <c r="C84" s="1">
        <v>10.11</v>
      </c>
      <c r="D84" t="s">
        <v>198</v>
      </c>
      <c r="E84" t="s">
        <v>198</v>
      </c>
      <c r="F84">
        <v>5022</v>
      </c>
      <c r="G84">
        <v>5040</v>
      </c>
      <c r="H84">
        <v>0</v>
      </c>
      <c r="K84">
        <f>IF(Table2[[#This Row],[NeedsAttention]]=1,Table2[[#This Row],[Start]],Table2[[#This Row],[StartN]])</f>
        <v>5022</v>
      </c>
      <c r="L84">
        <f>IF(Table2[[#This Row],[NeedsAttention]]=1,Table2[[#This Row],[End]],Table2[[#This Row],[EndN]])</f>
        <v>5040</v>
      </c>
      <c r="M84" t="b">
        <f>Table2[[#This Row],[Merged.Start]]=L83+1</f>
        <v>1</v>
      </c>
      <c r="O84">
        <f>Table2[[#This Row],[Section]]</f>
        <v>83</v>
      </c>
      <c r="P84">
        <f>Table2[[#This Row],[Canon]]</f>
        <v>2</v>
      </c>
      <c r="Q84" s="1">
        <f>Table2[[#This Row],[Reference]]</f>
        <v>10.11</v>
      </c>
      <c r="R84" t="str">
        <f>Table2[[#This Row],[StartR]]</f>
        <v>MAT 10:11</v>
      </c>
      <c r="S84" t="str">
        <f>Table2[[#This Row],[EndR]]</f>
        <v>MAT 10:11</v>
      </c>
      <c r="T84">
        <f>Table2[[#This Row],[Merged.Start]]</f>
        <v>5022</v>
      </c>
      <c r="U84">
        <f>Table2[[#This Row],[Merged.End]]</f>
        <v>5040</v>
      </c>
    </row>
    <row r="85" spans="1:21" x14ac:dyDescent="0.25">
      <c r="A85">
        <v>84</v>
      </c>
      <c r="B85">
        <v>5</v>
      </c>
      <c r="C85" s="1" t="s">
        <v>199</v>
      </c>
      <c r="D85" t="s">
        <v>200</v>
      </c>
      <c r="E85" t="s">
        <v>201</v>
      </c>
      <c r="F85">
        <v>5041</v>
      </c>
      <c r="G85">
        <v>5071</v>
      </c>
      <c r="H85">
        <v>0</v>
      </c>
      <c r="K85">
        <f>IF(Table2[[#This Row],[NeedsAttention]]=1,Table2[[#This Row],[Start]],Table2[[#This Row],[StartN]])</f>
        <v>5041</v>
      </c>
      <c r="L85">
        <f>IF(Table2[[#This Row],[NeedsAttention]]=1,Table2[[#This Row],[End]],Table2[[#This Row],[EndN]])</f>
        <v>5071</v>
      </c>
      <c r="M85" t="b">
        <f>Table2[[#This Row],[Merged.Start]]=L84+1</f>
        <v>1</v>
      </c>
      <c r="O85">
        <f>Table2[[#This Row],[Section]]</f>
        <v>84</v>
      </c>
      <c r="P85">
        <f>Table2[[#This Row],[Canon]]</f>
        <v>5</v>
      </c>
      <c r="Q85" s="1" t="str">
        <f>Table2[[#This Row],[Reference]]</f>
        <v>10.12-13</v>
      </c>
      <c r="R85" t="str">
        <f>Table2[[#This Row],[StartR]]</f>
        <v>MAT 10:12</v>
      </c>
      <c r="S85" t="str">
        <f>Table2[[#This Row],[EndR]]</f>
        <v>MAT 10:13</v>
      </c>
      <c r="T85">
        <f>Table2[[#This Row],[Merged.Start]]</f>
        <v>5041</v>
      </c>
      <c r="U85">
        <f>Table2[[#This Row],[Merged.End]]</f>
        <v>5071</v>
      </c>
    </row>
    <row r="86" spans="1:21" x14ac:dyDescent="0.25">
      <c r="A86">
        <v>85</v>
      </c>
      <c r="B86">
        <v>2</v>
      </c>
      <c r="C86" s="1" t="s">
        <v>202</v>
      </c>
      <c r="D86" t="s">
        <v>203</v>
      </c>
      <c r="E86" t="s">
        <v>204</v>
      </c>
      <c r="F86">
        <v>5072</v>
      </c>
      <c r="G86">
        <v>5112</v>
      </c>
      <c r="H86">
        <v>0</v>
      </c>
      <c r="K86">
        <f>IF(Table2[[#This Row],[NeedsAttention]]=1,Table2[[#This Row],[Start]],Table2[[#This Row],[StartN]])</f>
        <v>5072</v>
      </c>
      <c r="L86">
        <f>IF(Table2[[#This Row],[NeedsAttention]]=1,Table2[[#This Row],[End]],Table2[[#This Row],[EndN]])</f>
        <v>5112</v>
      </c>
      <c r="M86" t="b">
        <f>Table2[[#This Row],[Merged.Start]]=L85+1</f>
        <v>1</v>
      </c>
      <c r="O86">
        <f>Table2[[#This Row],[Section]]</f>
        <v>85</v>
      </c>
      <c r="P86">
        <f>Table2[[#This Row],[Canon]]</f>
        <v>2</v>
      </c>
      <c r="Q86" s="1" t="str">
        <f>Table2[[#This Row],[Reference]]</f>
        <v>10.14-15</v>
      </c>
      <c r="R86" t="str">
        <f>Table2[[#This Row],[StartR]]</f>
        <v>MAT 10:14</v>
      </c>
      <c r="S86" t="str">
        <f>Table2[[#This Row],[EndR]]</f>
        <v>MAT 10:15</v>
      </c>
      <c r="T86">
        <f>Table2[[#This Row],[Merged.Start]]</f>
        <v>5072</v>
      </c>
      <c r="U86">
        <f>Table2[[#This Row],[Merged.End]]</f>
        <v>5112</v>
      </c>
    </row>
    <row r="87" spans="1:21" x14ac:dyDescent="0.25">
      <c r="A87">
        <v>86</v>
      </c>
      <c r="B87">
        <v>5</v>
      </c>
      <c r="C87" s="1">
        <v>10.16</v>
      </c>
      <c r="D87" t="s">
        <v>205</v>
      </c>
      <c r="E87" t="s">
        <v>205</v>
      </c>
      <c r="F87">
        <v>5113</v>
      </c>
      <c r="G87">
        <v>5132</v>
      </c>
      <c r="H87">
        <v>0</v>
      </c>
      <c r="K87">
        <f>IF(Table2[[#This Row],[NeedsAttention]]=1,Table2[[#This Row],[Start]],Table2[[#This Row],[StartN]])</f>
        <v>5113</v>
      </c>
      <c r="L87">
        <f>IF(Table2[[#This Row],[NeedsAttention]]=1,Table2[[#This Row],[End]],Table2[[#This Row],[EndN]])</f>
        <v>5132</v>
      </c>
      <c r="M87" t="b">
        <f>Table2[[#This Row],[Merged.Start]]=L86+1</f>
        <v>1</v>
      </c>
      <c r="O87">
        <f>Table2[[#This Row],[Section]]</f>
        <v>86</v>
      </c>
      <c r="P87">
        <f>Table2[[#This Row],[Canon]]</f>
        <v>5</v>
      </c>
      <c r="Q87" s="1">
        <f>Table2[[#This Row],[Reference]]</f>
        <v>10.16</v>
      </c>
      <c r="R87" t="str">
        <f>Table2[[#This Row],[StartR]]</f>
        <v>MAT 10:16</v>
      </c>
      <c r="S87" t="str">
        <f>Table2[[#This Row],[EndR]]</f>
        <v>MAT 10:16</v>
      </c>
      <c r="T87">
        <f>Table2[[#This Row],[Merged.Start]]</f>
        <v>5113</v>
      </c>
      <c r="U87">
        <f>Table2[[#This Row],[Merged.End]]</f>
        <v>5132</v>
      </c>
    </row>
    <row r="88" spans="1:21" x14ac:dyDescent="0.25">
      <c r="A88">
        <v>87</v>
      </c>
      <c r="B88">
        <v>1</v>
      </c>
      <c r="C88" s="1" t="s">
        <v>206</v>
      </c>
      <c r="D88" t="s">
        <v>207</v>
      </c>
      <c r="E88" t="s">
        <v>208</v>
      </c>
      <c r="F88">
        <v>5133</v>
      </c>
      <c r="G88">
        <v>5164</v>
      </c>
      <c r="H88">
        <v>0</v>
      </c>
      <c r="K88">
        <f>IF(Table2[[#This Row],[NeedsAttention]]=1,Table2[[#This Row],[Start]],Table2[[#This Row],[StartN]])</f>
        <v>5133</v>
      </c>
      <c r="L88">
        <f>IF(Table2[[#This Row],[NeedsAttention]]=1,Table2[[#This Row],[End]],Table2[[#This Row],[EndN]])</f>
        <v>5164</v>
      </c>
      <c r="M88" t="b">
        <f>Table2[[#This Row],[Merged.Start]]=L87+1</f>
        <v>1</v>
      </c>
      <c r="O88">
        <f>Table2[[#This Row],[Section]]</f>
        <v>87</v>
      </c>
      <c r="P88">
        <f>Table2[[#This Row],[Canon]]</f>
        <v>1</v>
      </c>
      <c r="Q88" s="1" t="str">
        <f>Table2[[#This Row],[Reference]]</f>
        <v>10.17-18</v>
      </c>
      <c r="R88" t="str">
        <f>Table2[[#This Row],[StartR]]</f>
        <v>MAT 10:17</v>
      </c>
      <c r="S88" t="str">
        <f>Table2[[#This Row],[EndR]]</f>
        <v>MAT 10:18</v>
      </c>
      <c r="T88">
        <f>Table2[[#This Row],[Merged.Start]]</f>
        <v>5133</v>
      </c>
      <c r="U88">
        <f>Table2[[#This Row],[Merged.End]]</f>
        <v>5164</v>
      </c>
    </row>
    <row r="89" spans="1:21" x14ac:dyDescent="0.25">
      <c r="A89">
        <v>88</v>
      </c>
      <c r="B89">
        <v>2</v>
      </c>
      <c r="C89" s="1" t="s">
        <v>209</v>
      </c>
      <c r="D89" t="s">
        <v>210</v>
      </c>
      <c r="E89" t="s">
        <v>211</v>
      </c>
      <c r="F89">
        <v>5165</v>
      </c>
      <c r="G89">
        <v>5232</v>
      </c>
      <c r="H89">
        <v>0</v>
      </c>
      <c r="K89">
        <f>IF(Table2[[#This Row],[NeedsAttention]]=1,Table2[[#This Row],[Start]],Table2[[#This Row],[StartN]])</f>
        <v>5165</v>
      </c>
      <c r="L89">
        <f>IF(Table2[[#This Row],[NeedsAttention]]=1,Table2[[#This Row],[End]],Table2[[#This Row],[EndN]])</f>
        <v>5232</v>
      </c>
      <c r="M89" t="b">
        <f>Table2[[#This Row],[Merged.Start]]=L88+1</f>
        <v>1</v>
      </c>
      <c r="O89">
        <f>Table2[[#This Row],[Section]]</f>
        <v>88</v>
      </c>
      <c r="P89">
        <f>Table2[[#This Row],[Canon]]</f>
        <v>2</v>
      </c>
      <c r="Q89" s="1" t="str">
        <f>Table2[[#This Row],[Reference]]</f>
        <v>10.19-22</v>
      </c>
      <c r="R89" t="str">
        <f>Table2[[#This Row],[StartR]]</f>
        <v>MAT 10:19</v>
      </c>
      <c r="S89" t="str">
        <f>Table2[[#This Row],[EndR]]</f>
        <v>MAT 10:22</v>
      </c>
      <c r="T89">
        <f>Table2[[#This Row],[Merged.Start]]</f>
        <v>5165</v>
      </c>
      <c r="U89">
        <f>Table2[[#This Row],[Merged.End]]</f>
        <v>5232</v>
      </c>
    </row>
    <row r="90" spans="1:21" x14ac:dyDescent="0.25">
      <c r="A90">
        <v>89</v>
      </c>
      <c r="B90">
        <v>10</v>
      </c>
      <c r="C90" s="1">
        <v>10.23</v>
      </c>
      <c r="D90" t="s">
        <v>212</v>
      </c>
      <c r="E90" t="s">
        <v>212</v>
      </c>
      <c r="F90">
        <v>5233</v>
      </c>
      <c r="G90">
        <v>5262</v>
      </c>
      <c r="H90">
        <v>0</v>
      </c>
      <c r="K90">
        <f>IF(Table2[[#This Row],[NeedsAttention]]=1,Table2[[#This Row],[Start]],Table2[[#This Row],[StartN]])</f>
        <v>5233</v>
      </c>
      <c r="L90">
        <f>IF(Table2[[#This Row],[NeedsAttention]]=1,Table2[[#This Row],[End]],Table2[[#This Row],[EndN]])</f>
        <v>5262</v>
      </c>
      <c r="M90" t="b">
        <f>Table2[[#This Row],[Merged.Start]]=L89+1</f>
        <v>1</v>
      </c>
      <c r="O90">
        <f>Table2[[#This Row],[Section]]</f>
        <v>89</v>
      </c>
      <c r="P90">
        <f>Table2[[#This Row],[Canon]]</f>
        <v>10</v>
      </c>
      <c r="Q90" s="1">
        <f>Table2[[#This Row],[Reference]]</f>
        <v>10.23</v>
      </c>
      <c r="R90" t="str">
        <f>Table2[[#This Row],[StartR]]</f>
        <v>MAT 10:23</v>
      </c>
      <c r="S90" t="str">
        <f>Table2[[#This Row],[EndR]]</f>
        <v>MAT 10:23</v>
      </c>
      <c r="T90">
        <f>Table2[[#This Row],[Merged.Start]]</f>
        <v>5233</v>
      </c>
      <c r="U90">
        <f>Table2[[#This Row],[Merged.End]]</f>
        <v>5262</v>
      </c>
    </row>
    <row r="91" spans="1:21" x14ac:dyDescent="0.25">
      <c r="A91">
        <v>90</v>
      </c>
      <c r="B91">
        <v>3</v>
      </c>
      <c r="C91" s="1" t="s">
        <v>213</v>
      </c>
      <c r="D91" t="s">
        <v>214</v>
      </c>
      <c r="E91" t="s">
        <v>215</v>
      </c>
      <c r="F91">
        <v>5263</v>
      </c>
      <c r="G91">
        <v>5300</v>
      </c>
      <c r="H91">
        <v>1</v>
      </c>
      <c r="I91">
        <v>5263</v>
      </c>
      <c r="J91">
        <v>5290</v>
      </c>
      <c r="K91">
        <f>IF(Table2[[#This Row],[NeedsAttention]]=1,Table2[[#This Row],[Start]],Table2[[#This Row],[StartN]])</f>
        <v>5263</v>
      </c>
      <c r="L91">
        <f>IF(Table2[[#This Row],[NeedsAttention]]=1,Table2[[#This Row],[End]],Table2[[#This Row],[EndN]])</f>
        <v>5290</v>
      </c>
      <c r="M91" t="b">
        <f>Table2[[#This Row],[Merged.Start]]=L90+1</f>
        <v>1</v>
      </c>
      <c r="O91">
        <f>Table2[[#This Row],[Section]]</f>
        <v>90</v>
      </c>
      <c r="P91">
        <f>Table2[[#This Row],[Canon]]</f>
        <v>3</v>
      </c>
      <c r="Q91" s="1" t="str">
        <f>Table2[[#This Row],[Reference]]</f>
        <v>10.24-25A</v>
      </c>
      <c r="R91" t="str">
        <f>Table2[[#This Row],[StartR]]</f>
        <v>MAT 10:24</v>
      </c>
      <c r="S91" t="str">
        <f>Table2[[#This Row],[EndR]]</f>
        <v>MAT 10:25</v>
      </c>
      <c r="T91">
        <f>Table2[[#This Row],[Merged.Start]]</f>
        <v>5263</v>
      </c>
      <c r="U91">
        <f>Table2[[#This Row],[Merged.End]]</f>
        <v>5290</v>
      </c>
    </row>
    <row r="92" spans="1:21" x14ac:dyDescent="0.25">
      <c r="A92">
        <v>91</v>
      </c>
      <c r="B92">
        <v>10</v>
      </c>
      <c r="C92" s="1" t="s">
        <v>216</v>
      </c>
      <c r="D92" t="s">
        <v>215</v>
      </c>
      <c r="E92" t="s">
        <v>217</v>
      </c>
      <c r="F92">
        <v>5275</v>
      </c>
      <c r="G92">
        <v>5316</v>
      </c>
      <c r="H92">
        <v>1</v>
      </c>
      <c r="I92">
        <v>5291</v>
      </c>
      <c r="J92">
        <v>5304</v>
      </c>
      <c r="K92">
        <f>IF(Table2[[#This Row],[NeedsAttention]]=1,Table2[[#This Row],[Start]],Table2[[#This Row],[StartN]])</f>
        <v>5291</v>
      </c>
      <c r="L92">
        <f>IF(Table2[[#This Row],[NeedsAttention]]=1,Table2[[#This Row],[End]],Table2[[#This Row],[EndN]])</f>
        <v>5304</v>
      </c>
      <c r="M92" t="b">
        <f>Table2[[#This Row],[Merged.Start]]=L91+1</f>
        <v>1</v>
      </c>
      <c r="O92">
        <f>Table2[[#This Row],[Section]]</f>
        <v>91</v>
      </c>
      <c r="P92">
        <f>Table2[[#This Row],[Canon]]</f>
        <v>10</v>
      </c>
      <c r="Q92" s="1" t="str">
        <f>Table2[[#This Row],[Reference]]</f>
        <v>10.25B-26A</v>
      </c>
      <c r="R92" t="str">
        <f>Table2[[#This Row],[StartR]]</f>
        <v>MAT 10:25</v>
      </c>
      <c r="S92" t="str">
        <f>Table2[[#This Row],[EndR]]</f>
        <v>MAT 10:26</v>
      </c>
      <c r="T92">
        <f>Table2[[#This Row],[Merged.Start]]</f>
        <v>5291</v>
      </c>
      <c r="U92">
        <f>Table2[[#This Row],[Merged.End]]</f>
        <v>5304</v>
      </c>
    </row>
    <row r="93" spans="1:21" x14ac:dyDescent="0.25">
      <c r="A93">
        <v>92</v>
      </c>
      <c r="B93">
        <v>2</v>
      </c>
      <c r="C93" s="1" t="s">
        <v>218</v>
      </c>
      <c r="D93" t="s">
        <v>217</v>
      </c>
      <c r="E93" t="s">
        <v>217</v>
      </c>
      <c r="F93">
        <v>5301</v>
      </c>
      <c r="G93">
        <v>5316</v>
      </c>
      <c r="H93">
        <v>1</v>
      </c>
      <c r="I93">
        <v>5305</v>
      </c>
      <c r="J93">
        <v>5316</v>
      </c>
      <c r="K93">
        <f>IF(Table2[[#This Row],[NeedsAttention]]=1,Table2[[#This Row],[Start]],Table2[[#This Row],[StartN]])</f>
        <v>5305</v>
      </c>
      <c r="L93">
        <f>IF(Table2[[#This Row],[NeedsAttention]]=1,Table2[[#This Row],[End]],Table2[[#This Row],[EndN]])</f>
        <v>5316</v>
      </c>
      <c r="M93" t="b">
        <f>Table2[[#This Row],[Merged.Start]]=L92+1</f>
        <v>1</v>
      </c>
      <c r="O93">
        <f>Table2[[#This Row],[Section]]</f>
        <v>92</v>
      </c>
      <c r="P93">
        <f>Table2[[#This Row],[Canon]]</f>
        <v>2</v>
      </c>
      <c r="Q93" s="1" t="str">
        <f>Table2[[#This Row],[Reference]]</f>
        <v>10.26B</v>
      </c>
      <c r="R93" t="str">
        <f>Table2[[#This Row],[StartR]]</f>
        <v>MAT 10:26</v>
      </c>
      <c r="S93" t="str">
        <f>Table2[[#This Row],[EndR]]</f>
        <v>MAT 10:26</v>
      </c>
      <c r="T93">
        <f>Table2[[#This Row],[Merged.Start]]</f>
        <v>5305</v>
      </c>
      <c r="U93">
        <f>Table2[[#This Row],[Merged.End]]</f>
        <v>5316</v>
      </c>
    </row>
    <row r="94" spans="1:21" x14ac:dyDescent="0.25">
      <c r="A94">
        <v>93</v>
      </c>
      <c r="B94">
        <v>5</v>
      </c>
      <c r="C94" s="1" t="s">
        <v>219</v>
      </c>
      <c r="D94" t="s">
        <v>220</v>
      </c>
      <c r="E94" t="s">
        <v>221</v>
      </c>
      <c r="F94">
        <v>5317</v>
      </c>
      <c r="G94">
        <v>5417</v>
      </c>
      <c r="H94">
        <v>0</v>
      </c>
      <c r="K94">
        <f>IF(Table2[[#This Row],[NeedsAttention]]=1,Table2[[#This Row],[Start]],Table2[[#This Row],[StartN]])</f>
        <v>5317</v>
      </c>
      <c r="L94">
        <f>IF(Table2[[#This Row],[NeedsAttention]]=1,Table2[[#This Row],[End]],Table2[[#This Row],[EndN]])</f>
        <v>5417</v>
      </c>
      <c r="M94" t="b">
        <f>Table2[[#This Row],[Merged.Start]]=L93+1</f>
        <v>1</v>
      </c>
      <c r="O94">
        <f>Table2[[#This Row],[Section]]</f>
        <v>93</v>
      </c>
      <c r="P94">
        <f>Table2[[#This Row],[Canon]]</f>
        <v>5</v>
      </c>
      <c r="Q94" s="1" t="str">
        <f>Table2[[#This Row],[Reference]]</f>
        <v>10.27-32</v>
      </c>
      <c r="R94" t="str">
        <f>Table2[[#This Row],[StartR]]</f>
        <v>MAT 10:27</v>
      </c>
      <c r="S94" t="str">
        <f>Table2[[#This Row],[EndR]]</f>
        <v>MAT 10:32</v>
      </c>
      <c r="T94">
        <f>Table2[[#This Row],[Merged.Start]]</f>
        <v>5317</v>
      </c>
      <c r="U94">
        <f>Table2[[#This Row],[Merged.End]]</f>
        <v>5417</v>
      </c>
    </row>
    <row r="95" spans="1:21" x14ac:dyDescent="0.25">
      <c r="A95">
        <v>94</v>
      </c>
      <c r="B95">
        <v>2</v>
      </c>
      <c r="C95" s="1">
        <v>10.33</v>
      </c>
      <c r="D95" t="s">
        <v>222</v>
      </c>
      <c r="E95" t="s">
        <v>222</v>
      </c>
      <c r="F95">
        <v>5418</v>
      </c>
      <c r="G95">
        <v>5435</v>
      </c>
      <c r="H95">
        <v>0</v>
      </c>
      <c r="K95">
        <f>IF(Table2[[#This Row],[NeedsAttention]]=1,Table2[[#This Row],[Start]],Table2[[#This Row],[StartN]])</f>
        <v>5418</v>
      </c>
      <c r="L95">
        <f>IF(Table2[[#This Row],[NeedsAttention]]=1,Table2[[#This Row],[End]],Table2[[#This Row],[EndN]])</f>
        <v>5435</v>
      </c>
      <c r="M95" t="b">
        <f>Table2[[#This Row],[Merged.Start]]=L94+1</f>
        <v>1</v>
      </c>
      <c r="O95">
        <f>Table2[[#This Row],[Section]]</f>
        <v>94</v>
      </c>
      <c r="P95">
        <f>Table2[[#This Row],[Canon]]</f>
        <v>2</v>
      </c>
      <c r="Q95" s="1">
        <f>Table2[[#This Row],[Reference]]</f>
        <v>10.33</v>
      </c>
      <c r="R95" t="str">
        <f>Table2[[#This Row],[StartR]]</f>
        <v>MAT 10:33</v>
      </c>
      <c r="S95" t="str">
        <f>Table2[[#This Row],[EndR]]</f>
        <v>MAT 10:33</v>
      </c>
      <c r="T95">
        <f>Table2[[#This Row],[Merged.Start]]</f>
        <v>5418</v>
      </c>
      <c r="U95">
        <f>Table2[[#This Row],[Merged.End]]</f>
        <v>5435</v>
      </c>
    </row>
    <row r="96" spans="1:21" x14ac:dyDescent="0.25">
      <c r="A96">
        <v>95</v>
      </c>
      <c r="B96">
        <v>5</v>
      </c>
      <c r="C96" s="1" t="s">
        <v>223</v>
      </c>
      <c r="D96" t="s">
        <v>224</v>
      </c>
      <c r="E96" t="s">
        <v>225</v>
      </c>
      <c r="F96">
        <v>5436</v>
      </c>
      <c r="G96">
        <v>5477</v>
      </c>
      <c r="H96">
        <v>0</v>
      </c>
      <c r="K96">
        <f>IF(Table2[[#This Row],[NeedsAttention]]=1,Table2[[#This Row],[Start]],Table2[[#This Row],[StartN]])</f>
        <v>5436</v>
      </c>
      <c r="L96">
        <f>IF(Table2[[#This Row],[NeedsAttention]]=1,Table2[[#This Row],[End]],Table2[[#This Row],[EndN]])</f>
        <v>5477</v>
      </c>
      <c r="M96" t="b">
        <f>Table2[[#This Row],[Merged.Start]]=L95+1</f>
        <v>1</v>
      </c>
      <c r="O96">
        <f>Table2[[#This Row],[Section]]</f>
        <v>95</v>
      </c>
      <c r="P96">
        <f>Table2[[#This Row],[Canon]]</f>
        <v>5</v>
      </c>
      <c r="Q96" s="1" t="str">
        <f>Table2[[#This Row],[Reference]]</f>
        <v>10.34-36</v>
      </c>
      <c r="R96" t="str">
        <f>Table2[[#This Row],[StartR]]</f>
        <v>MAT 10:34</v>
      </c>
      <c r="S96" t="str">
        <f>Table2[[#This Row],[EndR]]</f>
        <v>MAT 10:36</v>
      </c>
      <c r="T96">
        <f>Table2[[#This Row],[Merged.Start]]</f>
        <v>5436</v>
      </c>
      <c r="U96">
        <f>Table2[[#This Row],[Merged.End]]</f>
        <v>5477</v>
      </c>
    </row>
    <row r="97" spans="1:21" x14ac:dyDescent="0.25">
      <c r="A97">
        <v>96</v>
      </c>
      <c r="B97">
        <v>5</v>
      </c>
      <c r="C97" s="1" t="s">
        <v>226</v>
      </c>
      <c r="D97" t="s">
        <v>227</v>
      </c>
      <c r="E97" t="s">
        <v>228</v>
      </c>
      <c r="F97">
        <v>5478</v>
      </c>
      <c r="G97">
        <v>5515</v>
      </c>
      <c r="H97">
        <v>0</v>
      </c>
      <c r="K97">
        <f>IF(Table2[[#This Row],[NeedsAttention]]=1,Table2[[#This Row],[Start]],Table2[[#This Row],[StartN]])</f>
        <v>5478</v>
      </c>
      <c r="L97">
        <f>IF(Table2[[#This Row],[NeedsAttention]]=1,Table2[[#This Row],[End]],Table2[[#This Row],[EndN]])</f>
        <v>5515</v>
      </c>
      <c r="M97" t="b">
        <f>Table2[[#This Row],[Merged.Start]]=L96+1</f>
        <v>1</v>
      </c>
      <c r="O97">
        <f>Table2[[#This Row],[Section]]</f>
        <v>96</v>
      </c>
      <c r="P97">
        <f>Table2[[#This Row],[Canon]]</f>
        <v>5</v>
      </c>
      <c r="Q97" s="1" t="str">
        <f>Table2[[#This Row],[Reference]]</f>
        <v>10.37-38</v>
      </c>
      <c r="R97" t="str">
        <f>Table2[[#This Row],[StartR]]</f>
        <v>MAT 10:37</v>
      </c>
      <c r="S97" t="str">
        <f>Table2[[#This Row],[EndR]]</f>
        <v>MAT 10:38</v>
      </c>
      <c r="T97">
        <f>Table2[[#This Row],[Merged.Start]]</f>
        <v>5478</v>
      </c>
      <c r="U97">
        <f>Table2[[#This Row],[Merged.End]]</f>
        <v>5515</v>
      </c>
    </row>
    <row r="98" spans="1:21" x14ac:dyDescent="0.25">
      <c r="A98">
        <v>97</v>
      </c>
      <c r="B98">
        <v>3</v>
      </c>
      <c r="C98" s="1">
        <v>10.39</v>
      </c>
      <c r="D98" t="s">
        <v>229</v>
      </c>
      <c r="E98" t="s">
        <v>229</v>
      </c>
      <c r="F98">
        <v>5516</v>
      </c>
      <c r="G98">
        <v>5532</v>
      </c>
      <c r="H98">
        <v>0</v>
      </c>
      <c r="K98">
        <f>IF(Table2[[#This Row],[NeedsAttention]]=1,Table2[[#This Row],[Start]],Table2[[#This Row],[StartN]])</f>
        <v>5516</v>
      </c>
      <c r="L98">
        <f>IF(Table2[[#This Row],[NeedsAttention]]=1,Table2[[#This Row],[End]],Table2[[#This Row],[EndN]])</f>
        <v>5532</v>
      </c>
      <c r="M98" t="b">
        <f>Table2[[#This Row],[Merged.Start]]=L97+1</f>
        <v>1</v>
      </c>
      <c r="O98">
        <f>Table2[[#This Row],[Section]]</f>
        <v>97</v>
      </c>
      <c r="P98">
        <f>Table2[[#This Row],[Canon]]</f>
        <v>3</v>
      </c>
      <c r="Q98" s="1">
        <f>Table2[[#This Row],[Reference]]</f>
        <v>10.39</v>
      </c>
      <c r="R98" t="str">
        <f>Table2[[#This Row],[StartR]]</f>
        <v>MAT 10:39</v>
      </c>
      <c r="S98" t="str">
        <f>Table2[[#This Row],[EndR]]</f>
        <v>MAT 10:39</v>
      </c>
      <c r="T98">
        <f>Table2[[#This Row],[Merged.Start]]</f>
        <v>5516</v>
      </c>
      <c r="U98">
        <f>Table2[[#This Row],[Merged.End]]</f>
        <v>5532</v>
      </c>
    </row>
    <row r="99" spans="1:21" x14ac:dyDescent="0.25">
      <c r="A99">
        <v>98</v>
      </c>
      <c r="B99">
        <v>1</v>
      </c>
      <c r="C99" s="1">
        <v>10.4</v>
      </c>
      <c r="D99" t="s">
        <v>2505</v>
      </c>
      <c r="E99" t="s">
        <v>2505</v>
      </c>
      <c r="F99">
        <v>5533</v>
      </c>
      <c r="G99">
        <v>5545</v>
      </c>
      <c r="H99">
        <v>0</v>
      </c>
      <c r="K99">
        <f>IF(Table2[[#This Row],[NeedsAttention]]=1,Table2[[#This Row],[Start]],Table2[[#This Row],[StartN]])</f>
        <v>5533</v>
      </c>
      <c r="L99">
        <f>IF(Table2[[#This Row],[NeedsAttention]]=1,Table2[[#This Row],[End]],Table2[[#This Row],[EndN]])</f>
        <v>5545</v>
      </c>
      <c r="M99" t="b">
        <f>Table2[[#This Row],[Merged.Start]]=L98+1</f>
        <v>1</v>
      </c>
      <c r="O99">
        <f>Table2[[#This Row],[Section]]</f>
        <v>98</v>
      </c>
      <c r="P99">
        <f>Table2[[#This Row],[Canon]]</f>
        <v>1</v>
      </c>
      <c r="Q99" s="1">
        <f>Table2[[#This Row],[Reference]]</f>
        <v>10.4</v>
      </c>
      <c r="R99" t="str">
        <f>Table2[[#This Row],[StartR]]</f>
        <v>MAT 10:40</v>
      </c>
      <c r="S99" t="str">
        <f>Table2[[#This Row],[EndR]]</f>
        <v>MAT 10:40</v>
      </c>
      <c r="T99">
        <f>Table2[[#This Row],[Merged.Start]]</f>
        <v>5533</v>
      </c>
      <c r="U99">
        <f>Table2[[#This Row],[Merged.End]]</f>
        <v>5545</v>
      </c>
    </row>
    <row r="100" spans="1:21" x14ac:dyDescent="0.25">
      <c r="A100">
        <v>99</v>
      </c>
      <c r="B100">
        <v>10</v>
      </c>
      <c r="C100" s="1">
        <v>10.41</v>
      </c>
      <c r="D100" t="s">
        <v>230</v>
      </c>
      <c r="E100" t="s">
        <v>230</v>
      </c>
      <c r="F100">
        <v>5546</v>
      </c>
      <c r="G100">
        <v>5564</v>
      </c>
      <c r="H100">
        <v>0</v>
      </c>
      <c r="K100">
        <f>IF(Table2[[#This Row],[NeedsAttention]]=1,Table2[[#This Row],[Start]],Table2[[#This Row],[StartN]])</f>
        <v>5546</v>
      </c>
      <c r="L100">
        <f>IF(Table2[[#This Row],[NeedsAttention]]=1,Table2[[#This Row],[End]],Table2[[#This Row],[EndN]])</f>
        <v>5564</v>
      </c>
      <c r="M100" t="b">
        <f>Table2[[#This Row],[Merged.Start]]=L99+1</f>
        <v>1</v>
      </c>
      <c r="O100">
        <f>Table2[[#This Row],[Section]]</f>
        <v>99</v>
      </c>
      <c r="P100">
        <f>Table2[[#This Row],[Canon]]</f>
        <v>10</v>
      </c>
      <c r="Q100" s="1">
        <f>Table2[[#This Row],[Reference]]</f>
        <v>10.41</v>
      </c>
      <c r="R100" t="str">
        <f>Table2[[#This Row],[StartR]]</f>
        <v>MAT 10:41</v>
      </c>
      <c r="S100" t="str">
        <f>Table2[[#This Row],[EndR]]</f>
        <v>MAT 10:41</v>
      </c>
      <c r="T100">
        <f>Table2[[#This Row],[Merged.Start]]</f>
        <v>5546</v>
      </c>
      <c r="U100">
        <f>Table2[[#This Row],[Merged.End]]</f>
        <v>5564</v>
      </c>
    </row>
    <row r="101" spans="1:21" x14ac:dyDescent="0.25">
      <c r="A101">
        <v>100</v>
      </c>
      <c r="B101">
        <v>6</v>
      </c>
      <c r="C101" s="1">
        <v>10.42</v>
      </c>
      <c r="D101" t="s">
        <v>231</v>
      </c>
      <c r="E101" t="s">
        <v>231</v>
      </c>
      <c r="F101">
        <v>5565</v>
      </c>
      <c r="G101">
        <v>5587</v>
      </c>
      <c r="H101">
        <v>0</v>
      </c>
      <c r="K101">
        <f>IF(Table2[[#This Row],[NeedsAttention]]=1,Table2[[#This Row],[Start]],Table2[[#This Row],[StartN]])</f>
        <v>5565</v>
      </c>
      <c r="L101">
        <f>IF(Table2[[#This Row],[NeedsAttention]]=1,Table2[[#This Row],[End]],Table2[[#This Row],[EndN]])</f>
        <v>5587</v>
      </c>
      <c r="M101" t="b">
        <f>Table2[[#This Row],[Merged.Start]]=L100+1</f>
        <v>1</v>
      </c>
      <c r="O101">
        <f>Table2[[#This Row],[Section]]</f>
        <v>100</v>
      </c>
      <c r="P101">
        <f>Table2[[#This Row],[Canon]]</f>
        <v>6</v>
      </c>
      <c r="Q101" s="1">
        <f>Table2[[#This Row],[Reference]]</f>
        <v>10.42</v>
      </c>
      <c r="R101" t="str">
        <f>Table2[[#This Row],[StartR]]</f>
        <v>MAT 10:42</v>
      </c>
      <c r="S101" t="str">
        <f>Table2[[#This Row],[EndR]]</f>
        <v>MAT 10:42</v>
      </c>
      <c r="T101">
        <f>Table2[[#This Row],[Merged.Start]]</f>
        <v>5565</v>
      </c>
      <c r="U101">
        <f>Table2[[#This Row],[Merged.End]]</f>
        <v>5587</v>
      </c>
    </row>
    <row r="102" spans="1:21" x14ac:dyDescent="0.25">
      <c r="A102">
        <v>101</v>
      </c>
      <c r="B102">
        <v>10</v>
      </c>
      <c r="C102" s="1">
        <v>11.1</v>
      </c>
      <c r="D102" t="s">
        <v>232</v>
      </c>
      <c r="E102" t="s">
        <v>232</v>
      </c>
      <c r="F102">
        <v>5588</v>
      </c>
      <c r="G102">
        <v>5608</v>
      </c>
      <c r="H102">
        <v>0</v>
      </c>
      <c r="K102">
        <f>IF(Table2[[#This Row],[NeedsAttention]]=1,Table2[[#This Row],[Start]],Table2[[#This Row],[StartN]])</f>
        <v>5588</v>
      </c>
      <c r="L102">
        <f>IF(Table2[[#This Row],[NeedsAttention]]=1,Table2[[#This Row],[End]],Table2[[#This Row],[EndN]])</f>
        <v>5608</v>
      </c>
      <c r="M102" t="b">
        <f>Table2[[#This Row],[Merged.Start]]=L101+1</f>
        <v>1</v>
      </c>
      <c r="O102">
        <f>Table2[[#This Row],[Section]]</f>
        <v>101</v>
      </c>
      <c r="P102">
        <f>Table2[[#This Row],[Canon]]</f>
        <v>10</v>
      </c>
      <c r="Q102" s="1">
        <f>Table2[[#This Row],[Reference]]</f>
        <v>11.1</v>
      </c>
      <c r="R102" t="str">
        <f>Table2[[#This Row],[StartR]]</f>
        <v>MAT 11:1</v>
      </c>
      <c r="S102" t="str">
        <f>Table2[[#This Row],[EndR]]</f>
        <v>MAT 11:1</v>
      </c>
      <c r="T102">
        <f>Table2[[#This Row],[Merged.Start]]</f>
        <v>5588</v>
      </c>
      <c r="U102">
        <f>Table2[[#This Row],[Merged.End]]</f>
        <v>5608</v>
      </c>
    </row>
    <row r="103" spans="1:21" x14ac:dyDescent="0.25">
      <c r="A103">
        <v>102</v>
      </c>
      <c r="B103">
        <v>5</v>
      </c>
      <c r="C103" s="1" t="s">
        <v>233</v>
      </c>
      <c r="D103" t="s">
        <v>234</v>
      </c>
      <c r="E103" t="s">
        <v>235</v>
      </c>
      <c r="F103">
        <v>5609</v>
      </c>
      <c r="G103">
        <v>5722</v>
      </c>
      <c r="H103">
        <v>0</v>
      </c>
      <c r="K103">
        <f>IF(Table2[[#This Row],[NeedsAttention]]=1,Table2[[#This Row],[Start]],Table2[[#This Row],[StartN]])</f>
        <v>5609</v>
      </c>
      <c r="L103">
        <f>IF(Table2[[#This Row],[NeedsAttention]]=1,Table2[[#This Row],[End]],Table2[[#This Row],[EndN]])</f>
        <v>5722</v>
      </c>
      <c r="M103" t="b">
        <f>Table2[[#This Row],[Merged.Start]]=L102+1</f>
        <v>1</v>
      </c>
      <c r="O103">
        <f>Table2[[#This Row],[Section]]</f>
        <v>102</v>
      </c>
      <c r="P103">
        <f>Table2[[#This Row],[Canon]]</f>
        <v>5</v>
      </c>
      <c r="Q103" s="1" t="str">
        <f>Table2[[#This Row],[Reference]]</f>
        <v>11.2-9</v>
      </c>
      <c r="R103" t="str">
        <f>Table2[[#This Row],[StartR]]</f>
        <v>MAT 11:2</v>
      </c>
      <c r="S103" t="str">
        <f>Table2[[#This Row],[EndR]]</f>
        <v>MAT 11:9</v>
      </c>
      <c r="T103">
        <f>Table2[[#This Row],[Merged.Start]]</f>
        <v>5609</v>
      </c>
      <c r="U103">
        <f>Table2[[#This Row],[Merged.End]]</f>
        <v>5722</v>
      </c>
    </row>
    <row r="104" spans="1:21" x14ac:dyDescent="0.25">
      <c r="A104">
        <v>103</v>
      </c>
      <c r="B104">
        <v>2</v>
      </c>
      <c r="C104" s="1">
        <v>11.1</v>
      </c>
      <c r="D104" t="s">
        <v>2506</v>
      </c>
      <c r="E104" t="s">
        <v>232</v>
      </c>
      <c r="F104">
        <v>5723</v>
      </c>
      <c r="G104">
        <v>5743</v>
      </c>
      <c r="H104">
        <v>0</v>
      </c>
      <c r="K104">
        <f>IF(Table2[[#This Row],[NeedsAttention]]=1,Table2[[#This Row],[Start]],Table2[[#This Row],[StartN]])</f>
        <v>5723</v>
      </c>
      <c r="L104">
        <f>IF(Table2[[#This Row],[NeedsAttention]]=1,Table2[[#This Row],[End]],Table2[[#This Row],[EndN]])</f>
        <v>5743</v>
      </c>
      <c r="M104" t="b">
        <f>Table2[[#This Row],[Merged.Start]]=L103+1</f>
        <v>1</v>
      </c>
      <c r="O104">
        <f>Table2[[#This Row],[Section]]</f>
        <v>103</v>
      </c>
      <c r="P104">
        <f>Table2[[#This Row],[Canon]]</f>
        <v>2</v>
      </c>
      <c r="Q104" s="1">
        <f>Table2[[#This Row],[Reference]]</f>
        <v>11.1</v>
      </c>
      <c r="R104" t="str">
        <f>Table2[[#This Row],[StartR]]</f>
        <v>MAT 11:10</v>
      </c>
      <c r="S104" t="str">
        <f>Table2[[#This Row],[EndR]]</f>
        <v>MAT 11:1</v>
      </c>
      <c r="T104">
        <f>Table2[[#This Row],[Merged.Start]]</f>
        <v>5723</v>
      </c>
      <c r="U104">
        <f>Table2[[#This Row],[Merged.End]]</f>
        <v>5743</v>
      </c>
    </row>
    <row r="105" spans="1:21" x14ac:dyDescent="0.25">
      <c r="A105">
        <v>104</v>
      </c>
      <c r="B105">
        <v>5</v>
      </c>
      <c r="C105" s="1">
        <v>11.11</v>
      </c>
      <c r="D105" t="s">
        <v>236</v>
      </c>
      <c r="E105" t="s">
        <v>236</v>
      </c>
      <c r="F105">
        <v>5744</v>
      </c>
      <c r="G105">
        <v>5766</v>
      </c>
      <c r="H105">
        <v>0</v>
      </c>
      <c r="K105">
        <f>IF(Table2[[#This Row],[NeedsAttention]]=1,Table2[[#This Row],[Start]],Table2[[#This Row],[StartN]])</f>
        <v>5744</v>
      </c>
      <c r="L105">
        <f>IF(Table2[[#This Row],[NeedsAttention]]=1,Table2[[#This Row],[End]],Table2[[#This Row],[EndN]])</f>
        <v>5766</v>
      </c>
      <c r="M105" t="b">
        <f>Table2[[#This Row],[Merged.Start]]=L104+1</f>
        <v>1</v>
      </c>
      <c r="O105">
        <f>Table2[[#This Row],[Section]]</f>
        <v>104</v>
      </c>
      <c r="P105">
        <f>Table2[[#This Row],[Canon]]</f>
        <v>5</v>
      </c>
      <c r="Q105" s="1">
        <f>Table2[[#This Row],[Reference]]</f>
        <v>11.11</v>
      </c>
      <c r="R105" t="str">
        <f>Table2[[#This Row],[StartR]]</f>
        <v>MAT 11:11</v>
      </c>
      <c r="S105" t="str">
        <f>Table2[[#This Row],[EndR]]</f>
        <v>MAT 11:11</v>
      </c>
      <c r="T105">
        <f>Table2[[#This Row],[Merged.Start]]</f>
        <v>5744</v>
      </c>
      <c r="U105">
        <f>Table2[[#This Row],[Merged.End]]</f>
        <v>5766</v>
      </c>
    </row>
    <row r="106" spans="1:21" x14ac:dyDescent="0.25">
      <c r="A106">
        <v>105</v>
      </c>
      <c r="B106">
        <v>5</v>
      </c>
      <c r="C106" s="1" t="s">
        <v>237</v>
      </c>
      <c r="D106" t="s">
        <v>238</v>
      </c>
      <c r="E106" t="s">
        <v>239</v>
      </c>
      <c r="F106">
        <v>5767</v>
      </c>
      <c r="G106">
        <v>5794</v>
      </c>
      <c r="H106">
        <v>0</v>
      </c>
      <c r="K106">
        <f>IF(Table2[[#This Row],[NeedsAttention]]=1,Table2[[#This Row],[Start]],Table2[[#This Row],[StartN]])</f>
        <v>5767</v>
      </c>
      <c r="L106">
        <f>IF(Table2[[#This Row],[NeedsAttention]]=1,Table2[[#This Row],[End]],Table2[[#This Row],[EndN]])</f>
        <v>5794</v>
      </c>
      <c r="M106" t="b">
        <f>Table2[[#This Row],[Merged.Start]]=L105+1</f>
        <v>1</v>
      </c>
      <c r="O106">
        <f>Table2[[#This Row],[Section]]</f>
        <v>105</v>
      </c>
      <c r="P106">
        <f>Table2[[#This Row],[Canon]]</f>
        <v>5</v>
      </c>
      <c r="Q106" s="1" t="str">
        <f>Table2[[#This Row],[Reference]]</f>
        <v>11.12-13</v>
      </c>
      <c r="R106" t="str">
        <f>Table2[[#This Row],[StartR]]</f>
        <v>MAT 11:12</v>
      </c>
      <c r="S106" t="str">
        <f>Table2[[#This Row],[EndR]]</f>
        <v>MAT 11:13</v>
      </c>
      <c r="T106">
        <f>Table2[[#This Row],[Merged.Start]]</f>
        <v>5767</v>
      </c>
      <c r="U106">
        <f>Table2[[#This Row],[Merged.End]]</f>
        <v>5794</v>
      </c>
    </row>
    <row r="107" spans="1:21" x14ac:dyDescent="0.25">
      <c r="A107">
        <v>106</v>
      </c>
      <c r="B107">
        <v>10</v>
      </c>
      <c r="C107" s="1" t="s">
        <v>240</v>
      </c>
      <c r="D107" t="s">
        <v>241</v>
      </c>
      <c r="E107" t="s">
        <v>242</v>
      </c>
      <c r="F107">
        <v>5795</v>
      </c>
      <c r="G107">
        <v>5808</v>
      </c>
      <c r="H107">
        <v>0</v>
      </c>
      <c r="K107">
        <f>IF(Table2[[#This Row],[NeedsAttention]]=1,Table2[[#This Row],[Start]],Table2[[#This Row],[StartN]])</f>
        <v>5795</v>
      </c>
      <c r="L107">
        <f>IF(Table2[[#This Row],[NeedsAttention]]=1,Table2[[#This Row],[End]],Table2[[#This Row],[EndN]])</f>
        <v>5808</v>
      </c>
      <c r="M107" t="b">
        <f>Table2[[#This Row],[Merged.Start]]=L106+1</f>
        <v>1</v>
      </c>
      <c r="O107">
        <f>Table2[[#This Row],[Section]]</f>
        <v>106</v>
      </c>
      <c r="P107">
        <f>Table2[[#This Row],[Canon]]</f>
        <v>10</v>
      </c>
      <c r="Q107" s="1" t="str">
        <f>Table2[[#This Row],[Reference]]</f>
        <v>11.14-15</v>
      </c>
      <c r="R107" t="str">
        <f>Table2[[#This Row],[StartR]]</f>
        <v>MAT 11:14</v>
      </c>
      <c r="S107" t="str">
        <f>Table2[[#This Row],[EndR]]</f>
        <v>MAT 11:15</v>
      </c>
      <c r="T107">
        <f>Table2[[#This Row],[Merged.Start]]</f>
        <v>5795</v>
      </c>
      <c r="U107">
        <f>Table2[[#This Row],[Merged.End]]</f>
        <v>5808</v>
      </c>
    </row>
    <row r="108" spans="1:21" x14ac:dyDescent="0.25">
      <c r="A108">
        <v>107</v>
      </c>
      <c r="B108">
        <v>5</v>
      </c>
      <c r="C108" s="1" t="s">
        <v>243</v>
      </c>
      <c r="D108" t="s">
        <v>244</v>
      </c>
      <c r="E108" t="s">
        <v>245</v>
      </c>
      <c r="F108">
        <v>5809</v>
      </c>
      <c r="G108">
        <v>5873</v>
      </c>
      <c r="H108">
        <v>0</v>
      </c>
      <c r="K108">
        <f>IF(Table2[[#This Row],[NeedsAttention]]=1,Table2[[#This Row],[Start]],Table2[[#This Row],[StartN]])</f>
        <v>5809</v>
      </c>
      <c r="L108">
        <f>IF(Table2[[#This Row],[NeedsAttention]]=1,Table2[[#This Row],[End]],Table2[[#This Row],[EndN]])</f>
        <v>5873</v>
      </c>
      <c r="M108" t="b">
        <f>Table2[[#This Row],[Merged.Start]]=L107+1</f>
        <v>1</v>
      </c>
      <c r="O108">
        <f>Table2[[#This Row],[Section]]</f>
        <v>107</v>
      </c>
      <c r="P108">
        <f>Table2[[#This Row],[Canon]]</f>
        <v>5</v>
      </c>
      <c r="Q108" s="1" t="str">
        <f>Table2[[#This Row],[Reference]]</f>
        <v>11.16-19</v>
      </c>
      <c r="R108" t="str">
        <f>Table2[[#This Row],[StartR]]</f>
        <v>MAT 11:16</v>
      </c>
      <c r="S108" t="str">
        <f>Table2[[#This Row],[EndR]]</f>
        <v>MAT 11:19</v>
      </c>
      <c r="T108">
        <f>Table2[[#This Row],[Merged.Start]]</f>
        <v>5809</v>
      </c>
      <c r="U108">
        <f>Table2[[#This Row],[Merged.End]]</f>
        <v>5873</v>
      </c>
    </row>
    <row r="109" spans="1:21" x14ac:dyDescent="0.25">
      <c r="A109">
        <v>108</v>
      </c>
      <c r="B109">
        <v>5</v>
      </c>
      <c r="C109" s="1" t="s">
        <v>246</v>
      </c>
      <c r="D109" t="s">
        <v>247</v>
      </c>
      <c r="E109" t="s">
        <v>248</v>
      </c>
      <c r="F109">
        <v>5874</v>
      </c>
      <c r="G109">
        <v>5953</v>
      </c>
      <c r="H109">
        <v>1</v>
      </c>
      <c r="I109">
        <v>5874</v>
      </c>
      <c r="J109">
        <v>5937</v>
      </c>
      <c r="K109">
        <f>IF(Table2[[#This Row],[NeedsAttention]]=1,Table2[[#This Row],[Start]],Table2[[#This Row],[StartN]])</f>
        <v>5874</v>
      </c>
      <c r="L109">
        <f>IF(Table2[[#This Row],[NeedsAttention]]=1,Table2[[#This Row],[End]],Table2[[#This Row],[EndN]])</f>
        <v>5937</v>
      </c>
      <c r="M109" t="b">
        <f>Table2[[#This Row],[Merged.Start]]=L108+1</f>
        <v>1</v>
      </c>
      <c r="O109">
        <f>Table2[[#This Row],[Section]]</f>
        <v>108</v>
      </c>
      <c r="P109">
        <f>Table2[[#This Row],[Canon]]</f>
        <v>5</v>
      </c>
      <c r="Q109" s="1" t="str">
        <f>Table2[[#This Row],[Reference]]</f>
        <v>11.20-23B</v>
      </c>
      <c r="R109" t="str">
        <f>Table2[[#This Row],[StartR]]</f>
        <v>MAT 11:20</v>
      </c>
      <c r="S109" t="str">
        <f>Table2[[#This Row],[EndR]]</f>
        <v>MAT 11:23</v>
      </c>
      <c r="T109">
        <f>Table2[[#This Row],[Merged.Start]]</f>
        <v>5874</v>
      </c>
      <c r="U109">
        <f>Table2[[#This Row],[Merged.End]]</f>
        <v>5937</v>
      </c>
    </row>
    <row r="110" spans="1:21" x14ac:dyDescent="0.25">
      <c r="A110">
        <v>109</v>
      </c>
      <c r="B110">
        <v>10</v>
      </c>
      <c r="C110" s="1" t="s">
        <v>249</v>
      </c>
      <c r="D110" t="s">
        <v>248</v>
      </c>
      <c r="E110" t="s">
        <v>250</v>
      </c>
      <c r="F110">
        <v>5928</v>
      </c>
      <c r="G110">
        <v>5966</v>
      </c>
      <c r="H110">
        <v>1</v>
      </c>
      <c r="I110">
        <v>5938</v>
      </c>
      <c r="J110">
        <v>5966</v>
      </c>
      <c r="K110">
        <f>IF(Table2[[#This Row],[NeedsAttention]]=1,Table2[[#This Row],[Start]],Table2[[#This Row],[StartN]])</f>
        <v>5938</v>
      </c>
      <c r="L110">
        <f>IF(Table2[[#This Row],[NeedsAttention]]=1,Table2[[#This Row],[End]],Table2[[#This Row],[EndN]])</f>
        <v>5966</v>
      </c>
      <c r="M110" t="b">
        <f>Table2[[#This Row],[Merged.Start]]=L109+1</f>
        <v>1</v>
      </c>
      <c r="O110">
        <f>Table2[[#This Row],[Section]]</f>
        <v>109</v>
      </c>
      <c r="P110">
        <f>Table2[[#This Row],[Canon]]</f>
        <v>10</v>
      </c>
      <c r="Q110" s="1" t="str">
        <f>Table2[[#This Row],[Reference]]</f>
        <v>11.23C-24</v>
      </c>
      <c r="R110" t="str">
        <f>Table2[[#This Row],[StartR]]</f>
        <v>MAT 11:23</v>
      </c>
      <c r="S110" t="str">
        <f>Table2[[#This Row],[EndR]]</f>
        <v>MAT 11:24</v>
      </c>
      <c r="T110">
        <f>Table2[[#This Row],[Merged.Start]]</f>
        <v>5938</v>
      </c>
      <c r="U110">
        <f>Table2[[#This Row],[Merged.End]]</f>
        <v>5966</v>
      </c>
    </row>
    <row r="111" spans="1:21" x14ac:dyDescent="0.25">
      <c r="A111">
        <v>110</v>
      </c>
      <c r="B111">
        <v>5</v>
      </c>
      <c r="C111" s="1" t="s">
        <v>251</v>
      </c>
      <c r="D111" t="s">
        <v>252</v>
      </c>
      <c r="E111" t="s">
        <v>253</v>
      </c>
      <c r="F111">
        <v>5967</v>
      </c>
      <c r="G111">
        <v>6003</v>
      </c>
      <c r="H111">
        <v>0</v>
      </c>
      <c r="K111">
        <f>IF(Table2[[#This Row],[NeedsAttention]]=1,Table2[[#This Row],[Start]],Table2[[#This Row],[StartN]])</f>
        <v>5967</v>
      </c>
      <c r="L111">
        <f>IF(Table2[[#This Row],[NeedsAttention]]=1,Table2[[#This Row],[End]],Table2[[#This Row],[EndN]])</f>
        <v>6003</v>
      </c>
      <c r="M111" t="b">
        <f>Table2[[#This Row],[Merged.Start]]=L110+1</f>
        <v>1</v>
      </c>
      <c r="O111">
        <f>Table2[[#This Row],[Section]]</f>
        <v>110</v>
      </c>
      <c r="P111">
        <f>Table2[[#This Row],[Canon]]</f>
        <v>5</v>
      </c>
      <c r="Q111" s="1" t="str">
        <f>Table2[[#This Row],[Reference]]</f>
        <v>11.25-26</v>
      </c>
      <c r="R111" t="str">
        <f>Table2[[#This Row],[StartR]]</f>
        <v>MAT 11:25</v>
      </c>
      <c r="S111" t="str">
        <f>Table2[[#This Row],[EndR]]</f>
        <v>MAT 11:26</v>
      </c>
      <c r="T111">
        <f>Table2[[#This Row],[Merged.Start]]</f>
        <v>5967</v>
      </c>
      <c r="U111">
        <f>Table2[[#This Row],[Merged.End]]</f>
        <v>6003</v>
      </c>
    </row>
    <row r="112" spans="1:21" x14ac:dyDescent="0.25">
      <c r="A112">
        <v>111</v>
      </c>
      <c r="B112">
        <v>3</v>
      </c>
      <c r="C112" s="1" t="s">
        <v>254</v>
      </c>
      <c r="D112" t="s">
        <v>255</v>
      </c>
      <c r="E112" t="s">
        <v>255</v>
      </c>
      <c r="F112">
        <v>6004</v>
      </c>
      <c r="G112">
        <v>6035</v>
      </c>
      <c r="H112">
        <v>1</v>
      </c>
      <c r="I112">
        <v>6004</v>
      </c>
      <c r="J112">
        <v>6010</v>
      </c>
      <c r="K112">
        <f>IF(Table2[[#This Row],[NeedsAttention]]=1,Table2[[#This Row],[Start]],Table2[[#This Row],[StartN]])</f>
        <v>6004</v>
      </c>
      <c r="L112">
        <f>IF(Table2[[#This Row],[NeedsAttention]]=1,Table2[[#This Row],[End]],Table2[[#This Row],[EndN]])</f>
        <v>6010</v>
      </c>
      <c r="M112" t="b">
        <f>Table2[[#This Row],[Merged.Start]]=L111+1</f>
        <v>1</v>
      </c>
      <c r="O112">
        <f>Table2[[#This Row],[Section]]</f>
        <v>111</v>
      </c>
      <c r="P112">
        <f>Table2[[#This Row],[Canon]]</f>
        <v>3</v>
      </c>
      <c r="Q112" s="1" t="str">
        <f>Table2[[#This Row],[Reference]]</f>
        <v>11.27A</v>
      </c>
      <c r="R112" t="str">
        <f>Table2[[#This Row],[StartR]]</f>
        <v>MAT 11:27</v>
      </c>
      <c r="S112" t="str">
        <f>Table2[[#This Row],[EndR]]</f>
        <v>MAT 11:27</v>
      </c>
      <c r="T112">
        <f>Table2[[#This Row],[Merged.Start]]</f>
        <v>6004</v>
      </c>
      <c r="U112">
        <f>Table2[[#This Row],[Merged.End]]</f>
        <v>6010</v>
      </c>
    </row>
    <row r="113" spans="1:21" x14ac:dyDescent="0.25">
      <c r="A113">
        <v>112</v>
      </c>
      <c r="B113">
        <v>3</v>
      </c>
      <c r="C113" s="1" t="s">
        <v>256</v>
      </c>
      <c r="D113" t="s">
        <v>255</v>
      </c>
      <c r="E113" t="s">
        <v>255</v>
      </c>
      <c r="F113">
        <v>6004</v>
      </c>
      <c r="G113">
        <v>6035</v>
      </c>
      <c r="H113">
        <v>1</v>
      </c>
      <c r="I113">
        <v>6011</v>
      </c>
      <c r="J113">
        <v>6035</v>
      </c>
      <c r="K113">
        <f>IF(Table2[[#This Row],[NeedsAttention]]=1,Table2[[#This Row],[Start]],Table2[[#This Row],[StartN]])</f>
        <v>6011</v>
      </c>
      <c r="L113">
        <f>IF(Table2[[#This Row],[NeedsAttention]]=1,Table2[[#This Row],[End]],Table2[[#This Row],[EndN]])</f>
        <v>6035</v>
      </c>
      <c r="M113" t="b">
        <f>Table2[[#This Row],[Merged.Start]]=L112+1</f>
        <v>1</v>
      </c>
      <c r="O113">
        <f>Table2[[#This Row],[Section]]</f>
        <v>112</v>
      </c>
      <c r="P113">
        <f>Table2[[#This Row],[Canon]]</f>
        <v>3</v>
      </c>
      <c r="Q113" s="1" t="str">
        <f>Table2[[#This Row],[Reference]]</f>
        <v>11.27B</v>
      </c>
      <c r="R113" t="str">
        <f>Table2[[#This Row],[StartR]]</f>
        <v>MAT 11:27</v>
      </c>
      <c r="S113" t="str">
        <f>Table2[[#This Row],[EndR]]</f>
        <v>MAT 11:27</v>
      </c>
      <c r="T113">
        <f>Table2[[#This Row],[Merged.Start]]</f>
        <v>6011</v>
      </c>
      <c r="U113">
        <f>Table2[[#This Row],[Merged.End]]</f>
        <v>6035</v>
      </c>
    </row>
    <row r="114" spans="1:21" x14ac:dyDescent="0.25">
      <c r="A114">
        <v>113</v>
      </c>
      <c r="B114">
        <v>10</v>
      </c>
      <c r="C114" s="1" t="s">
        <v>257</v>
      </c>
      <c r="D114" t="s">
        <v>258</v>
      </c>
      <c r="E114" t="s">
        <v>259</v>
      </c>
      <c r="F114">
        <v>6036</v>
      </c>
      <c r="G114">
        <v>6080</v>
      </c>
      <c r="H114">
        <v>0</v>
      </c>
      <c r="K114">
        <f>IF(Table2[[#This Row],[NeedsAttention]]=1,Table2[[#This Row],[Start]],Table2[[#This Row],[StartN]])</f>
        <v>6036</v>
      </c>
      <c r="L114">
        <f>IF(Table2[[#This Row],[NeedsAttention]]=1,Table2[[#This Row],[End]],Table2[[#This Row],[EndN]])</f>
        <v>6080</v>
      </c>
      <c r="M114" t="b">
        <f>Table2[[#This Row],[Merged.Start]]=L113+1</f>
        <v>1</v>
      </c>
      <c r="O114">
        <f>Table2[[#This Row],[Section]]</f>
        <v>113</v>
      </c>
      <c r="P114">
        <f>Table2[[#This Row],[Canon]]</f>
        <v>10</v>
      </c>
      <c r="Q114" s="1" t="str">
        <f>Table2[[#This Row],[Reference]]</f>
        <v>11.28-30</v>
      </c>
      <c r="R114" t="str">
        <f>Table2[[#This Row],[StartR]]</f>
        <v>MAT 11:28</v>
      </c>
      <c r="S114" t="str">
        <f>Table2[[#This Row],[EndR]]</f>
        <v>MAT 11:30</v>
      </c>
      <c r="T114">
        <f>Table2[[#This Row],[Merged.Start]]</f>
        <v>6036</v>
      </c>
      <c r="U114">
        <f>Table2[[#This Row],[Merged.End]]</f>
        <v>6080</v>
      </c>
    </row>
    <row r="115" spans="1:21" x14ac:dyDescent="0.25">
      <c r="A115">
        <v>114</v>
      </c>
      <c r="B115">
        <v>2</v>
      </c>
      <c r="C115" s="1" t="s">
        <v>260</v>
      </c>
      <c r="D115" t="s">
        <v>261</v>
      </c>
      <c r="E115" t="s">
        <v>262</v>
      </c>
      <c r="F115">
        <v>6081</v>
      </c>
      <c r="G115">
        <v>6163</v>
      </c>
      <c r="H115">
        <v>0</v>
      </c>
      <c r="K115">
        <f>IF(Table2[[#This Row],[NeedsAttention]]=1,Table2[[#This Row],[Start]],Table2[[#This Row],[StartN]])</f>
        <v>6081</v>
      </c>
      <c r="L115">
        <f>IF(Table2[[#This Row],[NeedsAttention]]=1,Table2[[#This Row],[End]],Table2[[#This Row],[EndN]])</f>
        <v>6163</v>
      </c>
      <c r="M115" t="b">
        <f>Table2[[#This Row],[Merged.Start]]=L114+1</f>
        <v>1</v>
      </c>
      <c r="O115">
        <f>Table2[[#This Row],[Section]]</f>
        <v>114</v>
      </c>
      <c r="P115">
        <f>Table2[[#This Row],[Canon]]</f>
        <v>2</v>
      </c>
      <c r="Q115" s="1" t="str">
        <f>Table2[[#This Row],[Reference]]</f>
        <v>12.1-4</v>
      </c>
      <c r="R115" t="str">
        <f>Table2[[#This Row],[StartR]]</f>
        <v>MAT 12:1</v>
      </c>
      <c r="S115" t="str">
        <f>Table2[[#This Row],[EndR]]</f>
        <v>MAT 12:4</v>
      </c>
      <c r="T115">
        <f>Table2[[#This Row],[Merged.Start]]</f>
        <v>6081</v>
      </c>
      <c r="U115">
        <f>Table2[[#This Row],[Merged.End]]</f>
        <v>6163</v>
      </c>
    </row>
    <row r="116" spans="1:21" x14ac:dyDescent="0.25">
      <c r="A116">
        <v>115</v>
      </c>
      <c r="B116">
        <v>10</v>
      </c>
      <c r="C116" s="1" t="s">
        <v>263</v>
      </c>
      <c r="D116" t="s">
        <v>264</v>
      </c>
      <c r="E116" t="s">
        <v>265</v>
      </c>
      <c r="F116">
        <v>6164</v>
      </c>
      <c r="G116">
        <v>6216</v>
      </c>
      <c r="H116">
        <v>0</v>
      </c>
      <c r="K116">
        <f>IF(Table2[[#This Row],[NeedsAttention]]=1,Table2[[#This Row],[Start]],Table2[[#This Row],[StartN]])</f>
        <v>6164</v>
      </c>
      <c r="L116">
        <f>IF(Table2[[#This Row],[NeedsAttention]]=1,Table2[[#This Row],[End]],Table2[[#This Row],[EndN]])</f>
        <v>6216</v>
      </c>
      <c r="M116" t="b">
        <f>Table2[[#This Row],[Merged.Start]]=L115+1</f>
        <v>1</v>
      </c>
      <c r="O116">
        <f>Table2[[#This Row],[Section]]</f>
        <v>115</v>
      </c>
      <c r="P116">
        <f>Table2[[#This Row],[Canon]]</f>
        <v>10</v>
      </c>
      <c r="Q116" s="1" t="str">
        <f>Table2[[#This Row],[Reference]]</f>
        <v>12.5-8</v>
      </c>
      <c r="R116" t="str">
        <f>Table2[[#This Row],[StartR]]</f>
        <v>MAT 12:5</v>
      </c>
      <c r="S116" t="str">
        <f>Table2[[#This Row],[EndR]]</f>
        <v>MAT 12:8</v>
      </c>
      <c r="T116">
        <f>Table2[[#This Row],[Merged.Start]]</f>
        <v>6164</v>
      </c>
      <c r="U116">
        <f>Table2[[#This Row],[Merged.End]]</f>
        <v>6216</v>
      </c>
    </row>
    <row r="117" spans="1:21" x14ac:dyDescent="0.25">
      <c r="A117">
        <v>116</v>
      </c>
      <c r="B117">
        <v>2</v>
      </c>
      <c r="C117" s="1" t="s">
        <v>266</v>
      </c>
      <c r="D117" t="s">
        <v>267</v>
      </c>
      <c r="E117" t="s">
        <v>268</v>
      </c>
      <c r="F117">
        <v>6217</v>
      </c>
      <c r="G117">
        <v>6295</v>
      </c>
      <c r="H117">
        <v>0</v>
      </c>
      <c r="K117">
        <f>IF(Table2[[#This Row],[NeedsAttention]]=1,Table2[[#This Row],[Start]],Table2[[#This Row],[StartN]])</f>
        <v>6217</v>
      </c>
      <c r="L117">
        <f>IF(Table2[[#This Row],[NeedsAttention]]=1,Table2[[#This Row],[End]],Table2[[#This Row],[EndN]])</f>
        <v>6295</v>
      </c>
      <c r="M117" t="b">
        <f>Table2[[#This Row],[Merged.Start]]=L116+1</f>
        <v>1</v>
      </c>
      <c r="O117">
        <f>Table2[[#This Row],[Section]]</f>
        <v>116</v>
      </c>
      <c r="P117">
        <f>Table2[[#This Row],[Canon]]</f>
        <v>2</v>
      </c>
      <c r="Q117" s="1" t="str">
        <f>Table2[[#This Row],[Reference]]</f>
        <v>12.9-13</v>
      </c>
      <c r="R117" t="str">
        <f>Table2[[#This Row],[StartR]]</f>
        <v>MAT 12:9</v>
      </c>
      <c r="S117" t="str">
        <f>Table2[[#This Row],[EndR]]</f>
        <v>MAT 12:13</v>
      </c>
      <c r="T117">
        <f>Table2[[#This Row],[Merged.Start]]</f>
        <v>6217</v>
      </c>
      <c r="U117">
        <f>Table2[[#This Row],[Merged.End]]</f>
        <v>6295</v>
      </c>
    </row>
    <row r="118" spans="1:21" x14ac:dyDescent="0.25">
      <c r="A118">
        <v>117</v>
      </c>
      <c r="B118">
        <v>4</v>
      </c>
      <c r="C118" s="1">
        <v>12.14</v>
      </c>
      <c r="D118" t="s">
        <v>269</v>
      </c>
      <c r="E118" t="s">
        <v>269</v>
      </c>
      <c r="F118">
        <v>6296</v>
      </c>
      <c r="G118">
        <v>6306</v>
      </c>
      <c r="H118">
        <v>0</v>
      </c>
      <c r="K118">
        <f>IF(Table2[[#This Row],[NeedsAttention]]=1,Table2[[#This Row],[Start]],Table2[[#This Row],[StartN]])</f>
        <v>6296</v>
      </c>
      <c r="L118">
        <f>IF(Table2[[#This Row],[NeedsAttention]]=1,Table2[[#This Row],[End]],Table2[[#This Row],[EndN]])</f>
        <v>6306</v>
      </c>
      <c r="M118" t="b">
        <f>Table2[[#This Row],[Merged.Start]]=L117+1</f>
        <v>1</v>
      </c>
      <c r="O118">
        <f>Table2[[#This Row],[Section]]</f>
        <v>117</v>
      </c>
      <c r="P118">
        <f>Table2[[#This Row],[Canon]]</f>
        <v>4</v>
      </c>
      <c r="Q118" s="1">
        <f>Table2[[#This Row],[Reference]]</f>
        <v>12.14</v>
      </c>
      <c r="R118" t="str">
        <f>Table2[[#This Row],[StartR]]</f>
        <v>MAT 12:14</v>
      </c>
      <c r="S118" t="str">
        <f>Table2[[#This Row],[EndR]]</f>
        <v>MAT 12:14</v>
      </c>
      <c r="T118">
        <f>Table2[[#This Row],[Merged.Start]]</f>
        <v>6296</v>
      </c>
      <c r="U118">
        <f>Table2[[#This Row],[Merged.End]]</f>
        <v>6306</v>
      </c>
    </row>
    <row r="119" spans="1:21" x14ac:dyDescent="0.25">
      <c r="A119">
        <v>118</v>
      </c>
      <c r="B119">
        <v>10</v>
      </c>
      <c r="C119" s="1" t="s">
        <v>270</v>
      </c>
      <c r="D119" t="s">
        <v>271</v>
      </c>
      <c r="E119" t="s">
        <v>272</v>
      </c>
      <c r="F119">
        <v>6307</v>
      </c>
      <c r="G119">
        <v>6398</v>
      </c>
      <c r="H119">
        <v>0</v>
      </c>
      <c r="K119">
        <f>IF(Table2[[#This Row],[NeedsAttention]]=1,Table2[[#This Row],[Start]],Table2[[#This Row],[StartN]])</f>
        <v>6307</v>
      </c>
      <c r="L119">
        <f>IF(Table2[[#This Row],[NeedsAttention]]=1,Table2[[#This Row],[End]],Table2[[#This Row],[EndN]])</f>
        <v>6398</v>
      </c>
      <c r="M119" t="b">
        <f>Table2[[#This Row],[Merged.Start]]=L118+1</f>
        <v>1</v>
      </c>
      <c r="O119">
        <f>Table2[[#This Row],[Section]]</f>
        <v>118</v>
      </c>
      <c r="P119">
        <f>Table2[[#This Row],[Canon]]</f>
        <v>10</v>
      </c>
      <c r="Q119" s="1" t="str">
        <f>Table2[[#This Row],[Reference]]</f>
        <v>12.15-21</v>
      </c>
      <c r="R119" t="str">
        <f>Table2[[#This Row],[StartR]]</f>
        <v>MAT 12:15</v>
      </c>
      <c r="S119" t="str">
        <f>Table2[[#This Row],[EndR]]</f>
        <v>MAT 12:21</v>
      </c>
      <c r="T119">
        <f>Table2[[#This Row],[Merged.Start]]</f>
        <v>6307</v>
      </c>
      <c r="U119">
        <f>Table2[[#This Row],[Merged.End]]</f>
        <v>6398</v>
      </c>
    </row>
    <row r="120" spans="1:21" x14ac:dyDescent="0.25">
      <c r="A120">
        <v>119</v>
      </c>
      <c r="B120">
        <v>5</v>
      </c>
      <c r="C120" s="1">
        <v>12.22</v>
      </c>
      <c r="D120" t="s">
        <v>273</v>
      </c>
      <c r="E120" t="s">
        <v>273</v>
      </c>
      <c r="F120">
        <v>6399</v>
      </c>
      <c r="G120">
        <v>6414</v>
      </c>
      <c r="H120">
        <v>0</v>
      </c>
      <c r="K120">
        <f>IF(Table2[[#This Row],[NeedsAttention]]=1,Table2[[#This Row],[Start]],Table2[[#This Row],[StartN]])</f>
        <v>6399</v>
      </c>
      <c r="L120">
        <f>IF(Table2[[#This Row],[NeedsAttention]]=1,Table2[[#This Row],[End]],Table2[[#This Row],[EndN]])</f>
        <v>6414</v>
      </c>
      <c r="M120" t="b">
        <f>Table2[[#This Row],[Merged.Start]]=L119+1</f>
        <v>1</v>
      </c>
      <c r="O120">
        <f>Table2[[#This Row],[Section]]</f>
        <v>119</v>
      </c>
      <c r="P120">
        <f>Table2[[#This Row],[Canon]]</f>
        <v>5</v>
      </c>
      <c r="Q120" s="1">
        <f>Table2[[#This Row],[Reference]]</f>
        <v>12.22</v>
      </c>
      <c r="R120" t="str">
        <f>Table2[[#This Row],[StartR]]</f>
        <v>MAT 12:22</v>
      </c>
      <c r="S120" t="str">
        <f>Table2[[#This Row],[EndR]]</f>
        <v>MAT 12:22</v>
      </c>
      <c r="T120">
        <f>Table2[[#This Row],[Merged.Start]]</f>
        <v>6399</v>
      </c>
      <c r="U120">
        <f>Table2[[#This Row],[Merged.End]]</f>
        <v>6414</v>
      </c>
    </row>
    <row r="121" spans="1:21" x14ac:dyDescent="0.25">
      <c r="A121">
        <v>120</v>
      </c>
      <c r="B121">
        <v>7</v>
      </c>
      <c r="C121" s="1">
        <v>12.23</v>
      </c>
      <c r="D121" t="s">
        <v>274</v>
      </c>
      <c r="E121" t="s">
        <v>274</v>
      </c>
      <c r="F121">
        <v>6415</v>
      </c>
      <c r="G121">
        <v>6427</v>
      </c>
      <c r="H121">
        <v>0</v>
      </c>
      <c r="K121">
        <f>IF(Table2[[#This Row],[NeedsAttention]]=1,Table2[[#This Row],[Start]],Table2[[#This Row],[StartN]])</f>
        <v>6415</v>
      </c>
      <c r="L121">
        <f>IF(Table2[[#This Row],[NeedsAttention]]=1,Table2[[#This Row],[End]],Table2[[#This Row],[EndN]])</f>
        <v>6427</v>
      </c>
      <c r="M121" t="b">
        <f>Table2[[#This Row],[Merged.Start]]=L120+1</f>
        <v>1</v>
      </c>
      <c r="O121">
        <f>Table2[[#This Row],[Section]]</f>
        <v>120</v>
      </c>
      <c r="P121">
        <f>Table2[[#This Row],[Canon]]</f>
        <v>7</v>
      </c>
      <c r="Q121" s="1">
        <f>Table2[[#This Row],[Reference]]</f>
        <v>12.23</v>
      </c>
      <c r="R121" t="str">
        <f>Table2[[#This Row],[StartR]]</f>
        <v>MAT 12:23</v>
      </c>
      <c r="S121" t="str">
        <f>Table2[[#This Row],[EndR]]</f>
        <v>MAT 12:23</v>
      </c>
      <c r="T121">
        <f>Table2[[#This Row],[Merged.Start]]</f>
        <v>6415</v>
      </c>
      <c r="U121">
        <f>Table2[[#This Row],[Merged.End]]</f>
        <v>6427</v>
      </c>
    </row>
    <row r="122" spans="1:21" x14ac:dyDescent="0.25">
      <c r="A122">
        <v>121</v>
      </c>
      <c r="B122">
        <v>2</v>
      </c>
      <c r="C122" s="1">
        <v>12.24</v>
      </c>
      <c r="D122" t="s">
        <v>275</v>
      </c>
      <c r="E122" t="s">
        <v>275</v>
      </c>
      <c r="F122">
        <v>6428</v>
      </c>
      <c r="G122">
        <v>6445</v>
      </c>
      <c r="H122">
        <v>0</v>
      </c>
      <c r="K122">
        <f>IF(Table2[[#This Row],[NeedsAttention]]=1,Table2[[#This Row],[Start]],Table2[[#This Row],[StartN]])</f>
        <v>6428</v>
      </c>
      <c r="L122">
        <f>IF(Table2[[#This Row],[NeedsAttention]]=1,Table2[[#This Row],[End]],Table2[[#This Row],[EndN]])</f>
        <v>6445</v>
      </c>
      <c r="M122" t="b">
        <f>Table2[[#This Row],[Merged.Start]]=L121+1</f>
        <v>1</v>
      </c>
      <c r="O122">
        <f>Table2[[#This Row],[Section]]</f>
        <v>121</v>
      </c>
      <c r="P122">
        <f>Table2[[#This Row],[Canon]]</f>
        <v>2</v>
      </c>
      <c r="Q122" s="1">
        <f>Table2[[#This Row],[Reference]]</f>
        <v>12.24</v>
      </c>
      <c r="R122" t="str">
        <f>Table2[[#This Row],[StartR]]</f>
        <v>MAT 12:24</v>
      </c>
      <c r="S122" t="str">
        <f>Table2[[#This Row],[EndR]]</f>
        <v>MAT 12:24</v>
      </c>
      <c r="T122">
        <f>Table2[[#This Row],[Merged.Start]]</f>
        <v>6428</v>
      </c>
      <c r="U122">
        <f>Table2[[#This Row],[Merged.End]]</f>
        <v>6445</v>
      </c>
    </row>
    <row r="123" spans="1:21" x14ac:dyDescent="0.25">
      <c r="A123">
        <v>122</v>
      </c>
      <c r="B123">
        <v>2</v>
      </c>
      <c r="C123" s="1" t="s">
        <v>276</v>
      </c>
      <c r="D123" t="s">
        <v>277</v>
      </c>
      <c r="E123" t="s">
        <v>278</v>
      </c>
      <c r="F123">
        <v>6446</v>
      </c>
      <c r="G123">
        <v>6563</v>
      </c>
      <c r="H123">
        <v>0</v>
      </c>
      <c r="K123">
        <f>IF(Table2[[#This Row],[NeedsAttention]]=1,Table2[[#This Row],[Start]],Table2[[#This Row],[StartN]])</f>
        <v>6446</v>
      </c>
      <c r="L123">
        <f>IF(Table2[[#This Row],[NeedsAttention]]=1,Table2[[#This Row],[End]],Table2[[#This Row],[EndN]])</f>
        <v>6563</v>
      </c>
      <c r="M123" t="b">
        <f>Table2[[#This Row],[Merged.Start]]=L122+1</f>
        <v>1</v>
      </c>
      <c r="O123">
        <f>Table2[[#This Row],[Section]]</f>
        <v>122</v>
      </c>
      <c r="P123">
        <f>Table2[[#This Row],[Canon]]</f>
        <v>2</v>
      </c>
      <c r="Q123" s="1" t="str">
        <f>Table2[[#This Row],[Reference]]</f>
        <v>12.25-30</v>
      </c>
      <c r="R123" t="str">
        <f>Table2[[#This Row],[StartR]]</f>
        <v>MAT 12:25</v>
      </c>
      <c r="S123" t="str">
        <f>Table2[[#This Row],[EndR]]</f>
        <v>MAT 12:30</v>
      </c>
      <c r="T123">
        <f>Table2[[#This Row],[Merged.Start]]</f>
        <v>6446</v>
      </c>
      <c r="U123">
        <f>Table2[[#This Row],[Merged.End]]</f>
        <v>6563</v>
      </c>
    </row>
    <row r="124" spans="1:21" x14ac:dyDescent="0.25">
      <c r="A124">
        <v>123</v>
      </c>
      <c r="B124">
        <v>2</v>
      </c>
      <c r="C124" s="1" t="s">
        <v>279</v>
      </c>
      <c r="D124" t="s">
        <v>280</v>
      </c>
      <c r="E124" t="s">
        <v>281</v>
      </c>
      <c r="F124">
        <v>6564</v>
      </c>
      <c r="G124">
        <v>6614</v>
      </c>
      <c r="H124">
        <v>0</v>
      </c>
      <c r="K124">
        <f>IF(Table2[[#This Row],[NeedsAttention]]=1,Table2[[#This Row],[Start]],Table2[[#This Row],[StartN]])</f>
        <v>6564</v>
      </c>
      <c r="L124">
        <f>IF(Table2[[#This Row],[NeedsAttention]]=1,Table2[[#This Row],[End]],Table2[[#This Row],[EndN]])</f>
        <v>6614</v>
      </c>
      <c r="M124" t="b">
        <f>Table2[[#This Row],[Merged.Start]]=L123+1</f>
        <v>1</v>
      </c>
      <c r="O124">
        <f>Table2[[#This Row],[Section]]</f>
        <v>123</v>
      </c>
      <c r="P124">
        <f>Table2[[#This Row],[Canon]]</f>
        <v>2</v>
      </c>
      <c r="Q124" s="1" t="str">
        <f>Table2[[#This Row],[Reference]]</f>
        <v>12.31-32</v>
      </c>
      <c r="R124" t="str">
        <f>Table2[[#This Row],[StartR]]</f>
        <v>MAT 12:31</v>
      </c>
      <c r="S124" t="str">
        <f>Table2[[#This Row],[EndR]]</f>
        <v>MAT 12:32</v>
      </c>
      <c r="T124">
        <f>Table2[[#This Row],[Merged.Start]]</f>
        <v>6564</v>
      </c>
      <c r="U124">
        <f>Table2[[#This Row],[Merged.End]]</f>
        <v>6614</v>
      </c>
    </row>
    <row r="125" spans="1:21" x14ac:dyDescent="0.25">
      <c r="A125">
        <v>124</v>
      </c>
      <c r="B125">
        <v>1</v>
      </c>
      <c r="C125" s="1" t="s">
        <v>282</v>
      </c>
      <c r="D125" t="s">
        <v>283</v>
      </c>
      <c r="E125" t="s">
        <v>284</v>
      </c>
      <c r="F125">
        <v>6615</v>
      </c>
      <c r="G125">
        <v>6658</v>
      </c>
      <c r="H125">
        <v>0</v>
      </c>
      <c r="K125">
        <f>IF(Table2[[#This Row],[NeedsAttention]]=1,Table2[[#This Row],[Start]],Table2[[#This Row],[StartN]])</f>
        <v>6615</v>
      </c>
      <c r="L125">
        <f>IF(Table2[[#This Row],[NeedsAttention]]=1,Table2[[#This Row],[End]],Table2[[#This Row],[EndN]])</f>
        <v>6658</v>
      </c>
      <c r="M125" t="b">
        <f>Table2[[#This Row],[Merged.Start]]=L124+1</f>
        <v>1</v>
      </c>
      <c r="O125">
        <f>Table2[[#This Row],[Section]]</f>
        <v>124</v>
      </c>
      <c r="P125">
        <f>Table2[[#This Row],[Canon]]</f>
        <v>1</v>
      </c>
      <c r="Q125" s="1" t="str">
        <f>Table2[[#This Row],[Reference]]</f>
        <v>12.33-34</v>
      </c>
      <c r="R125" t="str">
        <f>Table2[[#This Row],[StartR]]</f>
        <v>MAT 12:33</v>
      </c>
      <c r="S125" t="str">
        <f>Table2[[#This Row],[EndR]]</f>
        <v>MAT 12:34</v>
      </c>
      <c r="T125">
        <f>Table2[[#This Row],[Merged.Start]]</f>
        <v>6615</v>
      </c>
      <c r="U125">
        <f>Table2[[#This Row],[Merged.End]]</f>
        <v>6658</v>
      </c>
    </row>
    <row r="126" spans="1:21" x14ac:dyDescent="0.25">
      <c r="A126">
        <v>125</v>
      </c>
      <c r="B126">
        <v>5</v>
      </c>
      <c r="C126" s="1">
        <v>12.35</v>
      </c>
      <c r="D126" t="s">
        <v>285</v>
      </c>
      <c r="E126" t="s">
        <v>285</v>
      </c>
      <c r="F126">
        <v>6659</v>
      </c>
      <c r="G126">
        <v>6677</v>
      </c>
      <c r="H126">
        <v>0</v>
      </c>
      <c r="K126">
        <f>IF(Table2[[#This Row],[NeedsAttention]]=1,Table2[[#This Row],[Start]],Table2[[#This Row],[StartN]])</f>
        <v>6659</v>
      </c>
      <c r="L126">
        <f>IF(Table2[[#This Row],[NeedsAttention]]=1,Table2[[#This Row],[End]],Table2[[#This Row],[EndN]])</f>
        <v>6677</v>
      </c>
      <c r="M126" t="b">
        <f>Table2[[#This Row],[Merged.Start]]=L125+1</f>
        <v>1</v>
      </c>
      <c r="O126">
        <f>Table2[[#This Row],[Section]]</f>
        <v>125</v>
      </c>
      <c r="P126">
        <f>Table2[[#This Row],[Canon]]</f>
        <v>5</v>
      </c>
      <c r="Q126" s="1">
        <f>Table2[[#This Row],[Reference]]</f>
        <v>12.35</v>
      </c>
      <c r="R126" t="str">
        <f>Table2[[#This Row],[StartR]]</f>
        <v>MAT 12:35</v>
      </c>
      <c r="S126" t="str">
        <f>Table2[[#This Row],[EndR]]</f>
        <v>MAT 12:35</v>
      </c>
      <c r="T126">
        <f>Table2[[#This Row],[Merged.Start]]</f>
        <v>6659</v>
      </c>
      <c r="U126">
        <f>Table2[[#This Row],[Merged.End]]</f>
        <v>6677</v>
      </c>
    </row>
    <row r="127" spans="1:21" x14ac:dyDescent="0.25">
      <c r="A127">
        <v>126</v>
      </c>
      <c r="B127">
        <v>10</v>
      </c>
      <c r="C127" s="1" t="s">
        <v>286</v>
      </c>
      <c r="D127" t="s">
        <v>287</v>
      </c>
      <c r="E127" t="s">
        <v>288</v>
      </c>
      <c r="F127">
        <v>6678</v>
      </c>
      <c r="G127">
        <v>6707</v>
      </c>
      <c r="H127">
        <v>0</v>
      </c>
      <c r="K127">
        <f>IF(Table2[[#This Row],[NeedsAttention]]=1,Table2[[#This Row],[Start]],Table2[[#This Row],[StartN]])</f>
        <v>6678</v>
      </c>
      <c r="L127">
        <f>IF(Table2[[#This Row],[NeedsAttention]]=1,Table2[[#This Row],[End]],Table2[[#This Row],[EndN]])</f>
        <v>6707</v>
      </c>
      <c r="M127" t="b">
        <f>Table2[[#This Row],[Merged.Start]]=L126+1</f>
        <v>1</v>
      </c>
      <c r="O127">
        <f>Table2[[#This Row],[Section]]</f>
        <v>126</v>
      </c>
      <c r="P127">
        <f>Table2[[#This Row],[Canon]]</f>
        <v>10</v>
      </c>
      <c r="Q127" s="1" t="str">
        <f>Table2[[#This Row],[Reference]]</f>
        <v>12.36-37</v>
      </c>
      <c r="R127" t="str">
        <f>Table2[[#This Row],[StartR]]</f>
        <v>MAT 12:36</v>
      </c>
      <c r="S127" t="str">
        <f>Table2[[#This Row],[EndR]]</f>
        <v>MAT 12:37</v>
      </c>
      <c r="T127">
        <f>Table2[[#This Row],[Merged.Start]]</f>
        <v>6678</v>
      </c>
      <c r="U127">
        <f>Table2[[#This Row],[Merged.End]]</f>
        <v>6707</v>
      </c>
    </row>
    <row r="128" spans="1:21" x14ac:dyDescent="0.25">
      <c r="A128">
        <v>127</v>
      </c>
      <c r="B128">
        <v>5</v>
      </c>
      <c r="C128" s="1">
        <v>12.38</v>
      </c>
      <c r="D128" t="s">
        <v>289</v>
      </c>
      <c r="E128" t="s">
        <v>289</v>
      </c>
      <c r="F128">
        <v>6708</v>
      </c>
      <c r="G128">
        <v>6722</v>
      </c>
      <c r="H128">
        <v>0</v>
      </c>
      <c r="K128">
        <f>IF(Table2[[#This Row],[NeedsAttention]]=1,Table2[[#This Row],[Start]],Table2[[#This Row],[StartN]])</f>
        <v>6708</v>
      </c>
      <c r="L128">
        <f>IF(Table2[[#This Row],[NeedsAttention]]=1,Table2[[#This Row],[End]],Table2[[#This Row],[EndN]])</f>
        <v>6722</v>
      </c>
      <c r="M128" t="b">
        <f>Table2[[#This Row],[Merged.Start]]=L127+1</f>
        <v>1</v>
      </c>
      <c r="O128">
        <f>Table2[[#This Row],[Section]]</f>
        <v>127</v>
      </c>
      <c r="P128">
        <f>Table2[[#This Row],[Canon]]</f>
        <v>5</v>
      </c>
      <c r="Q128" s="1">
        <f>Table2[[#This Row],[Reference]]</f>
        <v>12.38</v>
      </c>
      <c r="R128" t="str">
        <f>Table2[[#This Row],[StartR]]</f>
        <v>MAT 12:38</v>
      </c>
      <c r="S128" t="str">
        <f>Table2[[#This Row],[EndR]]</f>
        <v>MAT 12:38</v>
      </c>
      <c r="T128">
        <f>Table2[[#This Row],[Merged.Start]]</f>
        <v>6708</v>
      </c>
      <c r="U128">
        <f>Table2[[#This Row],[Merged.End]]</f>
        <v>6722</v>
      </c>
    </row>
    <row r="129" spans="1:21" x14ac:dyDescent="0.25">
      <c r="A129">
        <v>128</v>
      </c>
      <c r="B129">
        <v>5</v>
      </c>
      <c r="C129" s="1" t="s">
        <v>290</v>
      </c>
      <c r="D129" t="s">
        <v>291</v>
      </c>
      <c r="E129" t="s">
        <v>292</v>
      </c>
      <c r="F129">
        <v>6723</v>
      </c>
      <c r="G129">
        <v>6828</v>
      </c>
      <c r="H129">
        <v>0</v>
      </c>
      <c r="K129">
        <f>IF(Table2[[#This Row],[NeedsAttention]]=1,Table2[[#This Row],[Start]],Table2[[#This Row],[StartN]])</f>
        <v>6723</v>
      </c>
      <c r="L129">
        <f>IF(Table2[[#This Row],[NeedsAttention]]=1,Table2[[#This Row],[End]],Table2[[#This Row],[EndN]])</f>
        <v>6828</v>
      </c>
      <c r="M129" t="b">
        <f>Table2[[#This Row],[Merged.Start]]=L128+1</f>
        <v>1</v>
      </c>
      <c r="O129">
        <f>Table2[[#This Row],[Section]]</f>
        <v>128</v>
      </c>
      <c r="P129">
        <f>Table2[[#This Row],[Canon]]</f>
        <v>5</v>
      </c>
      <c r="Q129" s="1" t="str">
        <f>Table2[[#This Row],[Reference]]</f>
        <v>12.39-42</v>
      </c>
      <c r="R129" t="str">
        <f>Table2[[#This Row],[StartR]]</f>
        <v>MAT 12:39</v>
      </c>
      <c r="S129" t="str">
        <f>Table2[[#This Row],[EndR]]</f>
        <v>MAT 12:42</v>
      </c>
      <c r="T129">
        <f>Table2[[#This Row],[Merged.Start]]</f>
        <v>6723</v>
      </c>
      <c r="U129">
        <f>Table2[[#This Row],[Merged.End]]</f>
        <v>6828</v>
      </c>
    </row>
    <row r="130" spans="1:21" x14ac:dyDescent="0.25">
      <c r="A130">
        <v>129</v>
      </c>
      <c r="B130">
        <v>5</v>
      </c>
      <c r="C130" s="1" t="s">
        <v>293</v>
      </c>
      <c r="D130" t="s">
        <v>294</v>
      </c>
      <c r="E130" t="s">
        <v>295</v>
      </c>
      <c r="F130">
        <v>6829</v>
      </c>
      <c r="G130">
        <v>6895</v>
      </c>
      <c r="H130">
        <v>0</v>
      </c>
      <c r="K130">
        <f>IF(Table2[[#This Row],[NeedsAttention]]=1,Table2[[#This Row],[Start]],Table2[[#This Row],[StartN]])</f>
        <v>6829</v>
      </c>
      <c r="L130">
        <f>IF(Table2[[#This Row],[NeedsAttention]]=1,Table2[[#This Row],[End]],Table2[[#This Row],[EndN]])</f>
        <v>6895</v>
      </c>
      <c r="M130" t="b">
        <f>Table2[[#This Row],[Merged.Start]]=L129+1</f>
        <v>1</v>
      </c>
      <c r="O130">
        <f>Table2[[#This Row],[Section]]</f>
        <v>129</v>
      </c>
      <c r="P130">
        <f>Table2[[#This Row],[Canon]]</f>
        <v>5</v>
      </c>
      <c r="Q130" s="1" t="str">
        <f>Table2[[#This Row],[Reference]]</f>
        <v>12.43-45</v>
      </c>
      <c r="R130" t="str">
        <f>Table2[[#This Row],[StartR]]</f>
        <v>MAT 12:43</v>
      </c>
      <c r="S130" t="str">
        <f>Table2[[#This Row],[EndR]]</f>
        <v>MAT 12:45</v>
      </c>
      <c r="T130">
        <f>Table2[[#This Row],[Merged.Start]]</f>
        <v>6829</v>
      </c>
      <c r="U130">
        <f>Table2[[#This Row],[Merged.End]]</f>
        <v>6895</v>
      </c>
    </row>
    <row r="131" spans="1:21" x14ac:dyDescent="0.25">
      <c r="A131">
        <v>130</v>
      </c>
      <c r="B131">
        <v>2</v>
      </c>
      <c r="C131" s="1" t="s">
        <v>296</v>
      </c>
      <c r="D131" t="s">
        <v>297</v>
      </c>
      <c r="E131" t="s">
        <v>298</v>
      </c>
      <c r="F131">
        <v>6896</v>
      </c>
      <c r="G131">
        <v>6986</v>
      </c>
      <c r="H131">
        <v>0</v>
      </c>
      <c r="K131">
        <f>IF(Table2[[#This Row],[NeedsAttention]]=1,Table2[[#This Row],[Start]],Table2[[#This Row],[StartN]])</f>
        <v>6896</v>
      </c>
      <c r="L131">
        <f>IF(Table2[[#This Row],[NeedsAttention]]=1,Table2[[#This Row],[End]],Table2[[#This Row],[EndN]])</f>
        <v>6986</v>
      </c>
      <c r="M131" t="b">
        <f>Table2[[#This Row],[Merged.Start]]=L130+1</f>
        <v>1</v>
      </c>
      <c r="O131">
        <f>Table2[[#This Row],[Section]]</f>
        <v>130</v>
      </c>
      <c r="P131">
        <f>Table2[[#This Row],[Canon]]</f>
        <v>2</v>
      </c>
      <c r="Q131" s="1" t="str">
        <f>Table2[[#This Row],[Reference]]</f>
        <v>12.46-50</v>
      </c>
      <c r="R131" t="str">
        <f>Table2[[#This Row],[StartR]]</f>
        <v>MAT 12:46</v>
      </c>
      <c r="S131" t="str">
        <f>Table2[[#This Row],[EndR]]</f>
        <v>MAT 12:50</v>
      </c>
      <c r="T131">
        <f>Table2[[#This Row],[Merged.Start]]</f>
        <v>6896</v>
      </c>
      <c r="U131">
        <f>Table2[[#This Row],[Merged.End]]</f>
        <v>6986</v>
      </c>
    </row>
    <row r="132" spans="1:21" x14ac:dyDescent="0.25">
      <c r="A132">
        <v>131</v>
      </c>
      <c r="B132">
        <v>2</v>
      </c>
      <c r="C132" s="1" t="s">
        <v>299</v>
      </c>
      <c r="D132" t="s">
        <v>300</v>
      </c>
      <c r="E132" t="s">
        <v>301</v>
      </c>
      <c r="F132">
        <v>6987</v>
      </c>
      <c r="G132">
        <v>7148</v>
      </c>
      <c r="H132">
        <v>0</v>
      </c>
      <c r="K132">
        <f>IF(Table2[[#This Row],[NeedsAttention]]=1,Table2[[#This Row],[Start]],Table2[[#This Row],[StartN]])</f>
        <v>6987</v>
      </c>
      <c r="L132">
        <f>IF(Table2[[#This Row],[NeedsAttention]]=1,Table2[[#This Row],[End]],Table2[[#This Row],[EndN]])</f>
        <v>7148</v>
      </c>
      <c r="M132" t="b">
        <f>Table2[[#This Row],[Merged.Start]]=L131+1</f>
        <v>1</v>
      </c>
      <c r="O132">
        <f>Table2[[#This Row],[Section]]</f>
        <v>131</v>
      </c>
      <c r="P132">
        <f>Table2[[#This Row],[Canon]]</f>
        <v>2</v>
      </c>
      <c r="Q132" s="1" t="str">
        <f>Table2[[#This Row],[Reference]]</f>
        <v>13.1-11</v>
      </c>
      <c r="R132" t="str">
        <f>Table2[[#This Row],[StartR]]</f>
        <v>MAT 13:1</v>
      </c>
      <c r="S132" t="str">
        <f>Table2[[#This Row],[EndR]]</f>
        <v>MAT 13:11</v>
      </c>
      <c r="T132">
        <f>Table2[[#This Row],[Merged.Start]]</f>
        <v>6987</v>
      </c>
      <c r="U132">
        <f>Table2[[#This Row],[Merged.End]]</f>
        <v>7148</v>
      </c>
    </row>
    <row r="133" spans="1:21" x14ac:dyDescent="0.25">
      <c r="A133">
        <v>132</v>
      </c>
      <c r="B133">
        <v>5</v>
      </c>
      <c r="C133" s="1">
        <v>13.12</v>
      </c>
      <c r="D133" t="s">
        <v>302</v>
      </c>
      <c r="E133" t="s">
        <v>302</v>
      </c>
      <c r="F133">
        <v>7149</v>
      </c>
      <c r="G133">
        <v>7165</v>
      </c>
      <c r="H133">
        <v>0</v>
      </c>
      <c r="K133">
        <f>IF(Table2[[#This Row],[NeedsAttention]]=1,Table2[[#This Row],[Start]],Table2[[#This Row],[StartN]])</f>
        <v>7149</v>
      </c>
      <c r="L133">
        <f>IF(Table2[[#This Row],[NeedsAttention]]=1,Table2[[#This Row],[End]],Table2[[#This Row],[EndN]])</f>
        <v>7165</v>
      </c>
      <c r="M133" t="b">
        <f>Table2[[#This Row],[Merged.Start]]=L132+1</f>
        <v>1</v>
      </c>
      <c r="O133">
        <f>Table2[[#This Row],[Section]]</f>
        <v>132</v>
      </c>
      <c r="P133">
        <f>Table2[[#This Row],[Canon]]</f>
        <v>5</v>
      </c>
      <c r="Q133" s="1">
        <f>Table2[[#This Row],[Reference]]</f>
        <v>13.12</v>
      </c>
      <c r="R133" t="str">
        <f>Table2[[#This Row],[StartR]]</f>
        <v>MAT 13:12</v>
      </c>
      <c r="S133" t="str">
        <f>Table2[[#This Row],[EndR]]</f>
        <v>MAT 13:12</v>
      </c>
      <c r="T133">
        <f>Table2[[#This Row],[Merged.Start]]</f>
        <v>7149</v>
      </c>
      <c r="U133">
        <f>Table2[[#This Row],[Merged.End]]</f>
        <v>7165</v>
      </c>
    </row>
    <row r="134" spans="1:21" x14ac:dyDescent="0.25">
      <c r="A134">
        <v>133</v>
      </c>
      <c r="B134">
        <v>1</v>
      </c>
      <c r="C134" s="1" t="s">
        <v>303</v>
      </c>
      <c r="D134" t="s">
        <v>304</v>
      </c>
      <c r="E134" t="s">
        <v>305</v>
      </c>
      <c r="F134">
        <v>7166</v>
      </c>
      <c r="G134">
        <v>7236</v>
      </c>
      <c r="H134">
        <v>0</v>
      </c>
      <c r="K134">
        <f>IF(Table2[[#This Row],[NeedsAttention]]=1,Table2[[#This Row],[Start]],Table2[[#This Row],[StartN]])</f>
        <v>7166</v>
      </c>
      <c r="L134">
        <f>IF(Table2[[#This Row],[NeedsAttention]]=1,Table2[[#This Row],[End]],Table2[[#This Row],[EndN]])</f>
        <v>7236</v>
      </c>
      <c r="M134" t="b">
        <f>Table2[[#This Row],[Merged.Start]]=L133+1</f>
        <v>1</v>
      </c>
      <c r="O134">
        <f>Table2[[#This Row],[Section]]</f>
        <v>133</v>
      </c>
      <c r="P134">
        <f>Table2[[#This Row],[Canon]]</f>
        <v>1</v>
      </c>
      <c r="Q134" s="1" t="str">
        <f>Table2[[#This Row],[Reference]]</f>
        <v>13.13-15</v>
      </c>
      <c r="R134" t="str">
        <f>Table2[[#This Row],[StartR]]</f>
        <v>MAT 13:13</v>
      </c>
      <c r="S134" t="str">
        <f>Table2[[#This Row],[EndR]]</f>
        <v>MAT 13:15</v>
      </c>
      <c r="T134">
        <f>Table2[[#This Row],[Merged.Start]]</f>
        <v>7166</v>
      </c>
      <c r="U134">
        <f>Table2[[#This Row],[Merged.End]]</f>
        <v>7236</v>
      </c>
    </row>
    <row r="135" spans="1:21" x14ac:dyDescent="0.25">
      <c r="A135">
        <v>134</v>
      </c>
      <c r="B135">
        <v>5</v>
      </c>
      <c r="C135" s="1" t="s">
        <v>306</v>
      </c>
      <c r="D135" t="s">
        <v>307</v>
      </c>
      <c r="E135" t="s">
        <v>308</v>
      </c>
      <c r="F135">
        <v>7237</v>
      </c>
      <c r="G135">
        <v>7272</v>
      </c>
      <c r="H135">
        <v>0</v>
      </c>
      <c r="K135">
        <f>IF(Table2[[#This Row],[NeedsAttention]]=1,Table2[[#This Row],[Start]],Table2[[#This Row],[StartN]])</f>
        <v>7237</v>
      </c>
      <c r="L135">
        <f>IF(Table2[[#This Row],[NeedsAttention]]=1,Table2[[#This Row],[End]],Table2[[#This Row],[EndN]])</f>
        <v>7272</v>
      </c>
      <c r="M135" t="b">
        <f>Table2[[#This Row],[Merged.Start]]=L134+1</f>
        <v>1</v>
      </c>
      <c r="O135">
        <f>Table2[[#This Row],[Section]]</f>
        <v>134</v>
      </c>
      <c r="P135">
        <f>Table2[[#This Row],[Canon]]</f>
        <v>5</v>
      </c>
      <c r="Q135" s="1" t="str">
        <f>Table2[[#This Row],[Reference]]</f>
        <v>13.16-17</v>
      </c>
      <c r="R135" t="str">
        <f>Table2[[#This Row],[StartR]]</f>
        <v>MAT 13:16</v>
      </c>
      <c r="S135" t="str">
        <f>Table2[[#This Row],[EndR]]</f>
        <v>MAT 13:17</v>
      </c>
      <c r="T135">
        <f>Table2[[#This Row],[Merged.Start]]</f>
        <v>7237</v>
      </c>
      <c r="U135">
        <f>Table2[[#This Row],[Merged.End]]</f>
        <v>7272</v>
      </c>
    </row>
    <row r="136" spans="1:21" x14ac:dyDescent="0.25">
      <c r="A136">
        <v>135</v>
      </c>
      <c r="B136">
        <v>2</v>
      </c>
      <c r="C136" s="1" t="s">
        <v>309</v>
      </c>
      <c r="D136" t="s">
        <v>310</v>
      </c>
      <c r="E136" t="s">
        <v>311</v>
      </c>
      <c r="F136">
        <v>7273</v>
      </c>
      <c r="G136">
        <v>7401</v>
      </c>
      <c r="H136">
        <v>0</v>
      </c>
      <c r="K136">
        <f>IF(Table2[[#This Row],[NeedsAttention]]=1,Table2[[#This Row],[Start]],Table2[[#This Row],[StartN]])</f>
        <v>7273</v>
      </c>
      <c r="L136">
        <f>IF(Table2[[#This Row],[NeedsAttention]]=1,Table2[[#This Row],[End]],Table2[[#This Row],[EndN]])</f>
        <v>7401</v>
      </c>
      <c r="M136" t="b">
        <f>Table2[[#This Row],[Merged.Start]]=L135+1</f>
        <v>1</v>
      </c>
      <c r="O136">
        <f>Table2[[#This Row],[Section]]</f>
        <v>135</v>
      </c>
      <c r="P136">
        <f>Table2[[#This Row],[Canon]]</f>
        <v>2</v>
      </c>
      <c r="Q136" s="1" t="str">
        <f>Table2[[#This Row],[Reference]]</f>
        <v>13.18-23</v>
      </c>
      <c r="R136" t="str">
        <f>Table2[[#This Row],[StartR]]</f>
        <v>MAT 13:18</v>
      </c>
      <c r="S136" t="str">
        <f>Table2[[#This Row],[EndR]]</f>
        <v>MAT 13:23</v>
      </c>
      <c r="T136">
        <f>Table2[[#This Row],[Merged.Start]]</f>
        <v>7273</v>
      </c>
      <c r="U136">
        <f>Table2[[#This Row],[Merged.End]]</f>
        <v>7401</v>
      </c>
    </row>
    <row r="137" spans="1:21" x14ac:dyDescent="0.25">
      <c r="A137">
        <v>136</v>
      </c>
      <c r="B137">
        <v>10</v>
      </c>
      <c r="C137" s="1" t="s">
        <v>312</v>
      </c>
      <c r="D137" t="s">
        <v>313</v>
      </c>
      <c r="E137" t="s">
        <v>314</v>
      </c>
      <c r="F137">
        <v>7402</v>
      </c>
      <c r="G137">
        <v>7538</v>
      </c>
      <c r="H137">
        <v>0</v>
      </c>
      <c r="K137">
        <f>IF(Table2[[#This Row],[NeedsAttention]]=1,Table2[[#This Row],[Start]],Table2[[#This Row],[StartN]])</f>
        <v>7402</v>
      </c>
      <c r="L137">
        <f>IF(Table2[[#This Row],[NeedsAttention]]=1,Table2[[#This Row],[End]],Table2[[#This Row],[EndN]])</f>
        <v>7538</v>
      </c>
      <c r="M137" t="b">
        <f>Table2[[#This Row],[Merged.Start]]=L136+1</f>
        <v>1</v>
      </c>
      <c r="O137">
        <f>Table2[[#This Row],[Section]]</f>
        <v>136</v>
      </c>
      <c r="P137">
        <f>Table2[[#This Row],[Canon]]</f>
        <v>10</v>
      </c>
      <c r="Q137" s="1" t="str">
        <f>Table2[[#This Row],[Reference]]</f>
        <v>13.24-30</v>
      </c>
      <c r="R137" t="str">
        <f>Table2[[#This Row],[StartR]]</f>
        <v>MAT 13:24</v>
      </c>
      <c r="S137" t="str">
        <f>Table2[[#This Row],[EndR]]</f>
        <v>MAT 13:30</v>
      </c>
      <c r="T137">
        <f>Table2[[#This Row],[Merged.Start]]</f>
        <v>7402</v>
      </c>
      <c r="U137">
        <f>Table2[[#This Row],[Merged.End]]</f>
        <v>7538</v>
      </c>
    </row>
    <row r="138" spans="1:21" x14ac:dyDescent="0.25">
      <c r="A138">
        <v>137</v>
      </c>
      <c r="B138">
        <v>2</v>
      </c>
      <c r="C138" s="1" t="s">
        <v>315</v>
      </c>
      <c r="D138" t="s">
        <v>316</v>
      </c>
      <c r="E138" t="s">
        <v>317</v>
      </c>
      <c r="F138">
        <v>7539</v>
      </c>
      <c r="G138">
        <v>7588</v>
      </c>
      <c r="H138">
        <v>0</v>
      </c>
      <c r="K138">
        <f>IF(Table2[[#This Row],[NeedsAttention]]=1,Table2[[#This Row],[Start]],Table2[[#This Row],[StartN]])</f>
        <v>7539</v>
      </c>
      <c r="L138">
        <f>IF(Table2[[#This Row],[NeedsAttention]]=1,Table2[[#This Row],[End]],Table2[[#This Row],[EndN]])</f>
        <v>7588</v>
      </c>
      <c r="M138" t="b">
        <f>Table2[[#This Row],[Merged.Start]]=L137+1</f>
        <v>1</v>
      </c>
      <c r="O138">
        <f>Table2[[#This Row],[Section]]</f>
        <v>137</v>
      </c>
      <c r="P138">
        <f>Table2[[#This Row],[Canon]]</f>
        <v>2</v>
      </c>
      <c r="Q138" s="1" t="str">
        <f>Table2[[#This Row],[Reference]]</f>
        <v>13.31-32</v>
      </c>
      <c r="R138" t="str">
        <f>Table2[[#This Row],[StartR]]</f>
        <v>MAT 13:31</v>
      </c>
      <c r="S138" t="str">
        <f>Table2[[#This Row],[EndR]]</f>
        <v>MAT 13:32</v>
      </c>
      <c r="T138">
        <f>Table2[[#This Row],[Merged.Start]]</f>
        <v>7539</v>
      </c>
      <c r="U138">
        <f>Table2[[#This Row],[Merged.End]]</f>
        <v>7588</v>
      </c>
    </row>
    <row r="139" spans="1:21" x14ac:dyDescent="0.25">
      <c r="A139">
        <v>138</v>
      </c>
      <c r="B139">
        <v>5</v>
      </c>
      <c r="C139" s="1">
        <v>13.33</v>
      </c>
      <c r="D139" t="s">
        <v>318</v>
      </c>
      <c r="E139" t="s">
        <v>318</v>
      </c>
      <c r="F139">
        <v>7589</v>
      </c>
      <c r="G139">
        <v>7611</v>
      </c>
      <c r="H139">
        <v>0</v>
      </c>
      <c r="K139">
        <f>IF(Table2[[#This Row],[NeedsAttention]]=1,Table2[[#This Row],[Start]],Table2[[#This Row],[StartN]])</f>
        <v>7589</v>
      </c>
      <c r="L139">
        <f>IF(Table2[[#This Row],[NeedsAttention]]=1,Table2[[#This Row],[End]],Table2[[#This Row],[EndN]])</f>
        <v>7611</v>
      </c>
      <c r="M139" t="b">
        <f>Table2[[#This Row],[Merged.Start]]=L138+1</f>
        <v>1</v>
      </c>
      <c r="O139">
        <f>Table2[[#This Row],[Section]]</f>
        <v>138</v>
      </c>
      <c r="P139">
        <f>Table2[[#This Row],[Canon]]</f>
        <v>5</v>
      </c>
      <c r="Q139" s="1">
        <f>Table2[[#This Row],[Reference]]</f>
        <v>13.33</v>
      </c>
      <c r="R139" t="str">
        <f>Table2[[#This Row],[StartR]]</f>
        <v>MAT 13:33</v>
      </c>
      <c r="S139" t="str">
        <f>Table2[[#This Row],[EndR]]</f>
        <v>MAT 13:33</v>
      </c>
      <c r="T139">
        <f>Table2[[#This Row],[Merged.Start]]</f>
        <v>7589</v>
      </c>
      <c r="U139">
        <f>Table2[[#This Row],[Merged.End]]</f>
        <v>7611</v>
      </c>
    </row>
    <row r="140" spans="1:21" x14ac:dyDescent="0.25">
      <c r="A140">
        <v>139</v>
      </c>
      <c r="B140">
        <v>6</v>
      </c>
      <c r="C140" s="1" t="s">
        <v>319</v>
      </c>
      <c r="D140" t="s">
        <v>320</v>
      </c>
      <c r="E140" t="s">
        <v>321</v>
      </c>
      <c r="F140">
        <v>7612</v>
      </c>
      <c r="G140">
        <v>7644</v>
      </c>
      <c r="H140">
        <v>0</v>
      </c>
      <c r="K140">
        <f>IF(Table2[[#This Row],[NeedsAttention]]=1,Table2[[#This Row],[Start]],Table2[[#This Row],[StartN]])</f>
        <v>7612</v>
      </c>
      <c r="L140">
        <f>IF(Table2[[#This Row],[NeedsAttention]]=1,Table2[[#This Row],[End]],Table2[[#This Row],[EndN]])</f>
        <v>7644</v>
      </c>
      <c r="M140" t="b">
        <f>Table2[[#This Row],[Merged.Start]]=L139+1</f>
        <v>1</v>
      </c>
      <c r="O140">
        <f>Table2[[#This Row],[Section]]</f>
        <v>139</v>
      </c>
      <c r="P140">
        <f>Table2[[#This Row],[Canon]]</f>
        <v>6</v>
      </c>
      <c r="Q140" s="1" t="str">
        <f>Table2[[#This Row],[Reference]]</f>
        <v>13.34-35</v>
      </c>
      <c r="R140" t="str">
        <f>Table2[[#This Row],[StartR]]</f>
        <v>MAT 13:34</v>
      </c>
      <c r="S140" t="str">
        <f>Table2[[#This Row],[EndR]]</f>
        <v>MAT 13:35</v>
      </c>
      <c r="T140">
        <f>Table2[[#This Row],[Merged.Start]]</f>
        <v>7612</v>
      </c>
      <c r="U140">
        <f>Table2[[#This Row],[Merged.End]]</f>
        <v>7644</v>
      </c>
    </row>
    <row r="141" spans="1:21" x14ac:dyDescent="0.25">
      <c r="A141">
        <v>140</v>
      </c>
      <c r="B141">
        <v>10</v>
      </c>
      <c r="C141" s="1" t="s">
        <v>322</v>
      </c>
      <c r="D141" t="s">
        <v>323</v>
      </c>
      <c r="E141" t="s">
        <v>324</v>
      </c>
      <c r="F141">
        <v>7645</v>
      </c>
      <c r="G141">
        <v>7966</v>
      </c>
      <c r="H141">
        <v>0</v>
      </c>
      <c r="K141">
        <f>IF(Table2[[#This Row],[NeedsAttention]]=1,Table2[[#This Row],[Start]],Table2[[#This Row],[StartN]])</f>
        <v>7645</v>
      </c>
      <c r="L141">
        <f>IF(Table2[[#This Row],[NeedsAttention]]=1,Table2[[#This Row],[End]],Table2[[#This Row],[EndN]])</f>
        <v>7966</v>
      </c>
      <c r="M141" t="b">
        <f>Table2[[#This Row],[Merged.Start]]=L140+1</f>
        <v>1</v>
      </c>
      <c r="O141">
        <f>Table2[[#This Row],[Section]]</f>
        <v>140</v>
      </c>
      <c r="P141">
        <f>Table2[[#This Row],[Canon]]</f>
        <v>10</v>
      </c>
      <c r="Q141" s="1" t="str">
        <f>Table2[[#This Row],[Reference]]</f>
        <v>13.36-53</v>
      </c>
      <c r="R141" t="str">
        <f>Table2[[#This Row],[StartR]]</f>
        <v>MAT 13:36</v>
      </c>
      <c r="S141" t="str">
        <f>Table2[[#This Row],[EndR]]</f>
        <v>MAT 13:53</v>
      </c>
      <c r="T141">
        <f>Table2[[#This Row],[Merged.Start]]</f>
        <v>7645</v>
      </c>
      <c r="U141">
        <f>Table2[[#This Row],[Merged.End]]</f>
        <v>7966</v>
      </c>
    </row>
    <row r="142" spans="1:21" x14ac:dyDescent="0.25">
      <c r="A142">
        <v>141</v>
      </c>
      <c r="B142">
        <v>1</v>
      </c>
      <c r="C142" s="1" t="s">
        <v>325</v>
      </c>
      <c r="D142" t="s">
        <v>326</v>
      </c>
      <c r="E142" t="s">
        <v>327</v>
      </c>
      <c r="F142">
        <v>7967</v>
      </c>
      <c r="G142">
        <v>8029</v>
      </c>
      <c r="H142">
        <v>0</v>
      </c>
      <c r="K142">
        <f>IF(Table2[[#This Row],[NeedsAttention]]=1,Table2[[#This Row],[Start]],Table2[[#This Row],[StartN]])</f>
        <v>7967</v>
      </c>
      <c r="L142">
        <f>IF(Table2[[#This Row],[NeedsAttention]]=1,Table2[[#This Row],[End]],Table2[[#This Row],[EndN]])</f>
        <v>8029</v>
      </c>
      <c r="M142" t="b">
        <f>Table2[[#This Row],[Merged.Start]]=L141+1</f>
        <v>1</v>
      </c>
      <c r="O142">
        <f>Table2[[#This Row],[Section]]</f>
        <v>141</v>
      </c>
      <c r="P142">
        <f>Table2[[#This Row],[Canon]]</f>
        <v>1</v>
      </c>
      <c r="Q142" s="1" t="str">
        <f>Table2[[#This Row],[Reference]]</f>
        <v>13.54-56</v>
      </c>
      <c r="R142" t="str">
        <f>Table2[[#This Row],[StartR]]</f>
        <v>MAT 13:54</v>
      </c>
      <c r="S142" t="str">
        <f>Table2[[#This Row],[EndR]]</f>
        <v>MAT 13:56</v>
      </c>
      <c r="T142">
        <f>Table2[[#This Row],[Merged.Start]]</f>
        <v>7967</v>
      </c>
      <c r="U142">
        <f>Table2[[#This Row],[Merged.End]]</f>
        <v>8029</v>
      </c>
    </row>
    <row r="143" spans="1:21" x14ac:dyDescent="0.25">
      <c r="A143">
        <v>142</v>
      </c>
      <c r="B143">
        <v>1</v>
      </c>
      <c r="C143" s="1" t="s">
        <v>328</v>
      </c>
      <c r="D143" t="s">
        <v>329</v>
      </c>
      <c r="E143" t="s">
        <v>330</v>
      </c>
      <c r="F143">
        <v>8030</v>
      </c>
      <c r="G143">
        <v>8062</v>
      </c>
      <c r="H143">
        <v>0</v>
      </c>
      <c r="K143">
        <f>IF(Table2[[#This Row],[NeedsAttention]]=1,Table2[[#This Row],[Start]],Table2[[#This Row],[StartN]])</f>
        <v>8030</v>
      </c>
      <c r="L143">
        <f>IF(Table2[[#This Row],[NeedsAttention]]=1,Table2[[#This Row],[End]],Table2[[#This Row],[EndN]])</f>
        <v>8062</v>
      </c>
      <c r="M143" t="b">
        <f>Table2[[#This Row],[Merged.Start]]=L142+1</f>
        <v>1</v>
      </c>
      <c r="O143">
        <f>Table2[[#This Row],[Section]]</f>
        <v>142</v>
      </c>
      <c r="P143">
        <f>Table2[[#This Row],[Canon]]</f>
        <v>1</v>
      </c>
      <c r="Q143" s="1" t="str">
        <f>Table2[[#This Row],[Reference]]</f>
        <v>13.57-58</v>
      </c>
      <c r="R143" t="str">
        <f>Table2[[#This Row],[StartR]]</f>
        <v>MAT 13:57</v>
      </c>
      <c r="S143" t="str">
        <f>Table2[[#This Row],[EndR]]</f>
        <v>MAT 13:58</v>
      </c>
      <c r="T143">
        <f>Table2[[#This Row],[Merged.Start]]</f>
        <v>8030</v>
      </c>
      <c r="U143">
        <f>Table2[[#This Row],[Merged.End]]</f>
        <v>8062</v>
      </c>
    </row>
    <row r="144" spans="1:21" x14ac:dyDescent="0.25">
      <c r="A144">
        <v>143</v>
      </c>
      <c r="B144">
        <v>2</v>
      </c>
      <c r="C144" s="1" t="s">
        <v>331</v>
      </c>
      <c r="D144" t="s">
        <v>332</v>
      </c>
      <c r="E144" t="s">
        <v>333</v>
      </c>
      <c r="F144">
        <v>8063</v>
      </c>
      <c r="G144">
        <v>8096</v>
      </c>
      <c r="H144">
        <v>0</v>
      </c>
      <c r="K144">
        <f>IF(Table2[[#This Row],[NeedsAttention]]=1,Table2[[#This Row],[Start]],Table2[[#This Row],[StartN]])</f>
        <v>8063</v>
      </c>
      <c r="L144">
        <f>IF(Table2[[#This Row],[NeedsAttention]]=1,Table2[[#This Row],[End]],Table2[[#This Row],[EndN]])</f>
        <v>8096</v>
      </c>
      <c r="M144" t="b">
        <f>Table2[[#This Row],[Merged.Start]]=L143+1</f>
        <v>1</v>
      </c>
      <c r="O144">
        <f>Table2[[#This Row],[Section]]</f>
        <v>143</v>
      </c>
      <c r="P144">
        <f>Table2[[#This Row],[Canon]]</f>
        <v>2</v>
      </c>
      <c r="Q144" s="1" t="str">
        <f>Table2[[#This Row],[Reference]]</f>
        <v>14.1-2</v>
      </c>
      <c r="R144" t="str">
        <f>Table2[[#This Row],[StartR]]</f>
        <v>MAT 14:1</v>
      </c>
      <c r="S144" t="str">
        <f>Table2[[#This Row],[EndR]]</f>
        <v>MAT 14:2</v>
      </c>
      <c r="T144">
        <f>Table2[[#This Row],[Merged.Start]]</f>
        <v>8063</v>
      </c>
      <c r="U144">
        <f>Table2[[#This Row],[Merged.End]]</f>
        <v>8096</v>
      </c>
    </row>
    <row r="145" spans="1:21" x14ac:dyDescent="0.25">
      <c r="A145">
        <v>144</v>
      </c>
      <c r="B145">
        <v>2</v>
      </c>
      <c r="C145" s="1" t="s">
        <v>334</v>
      </c>
      <c r="D145" t="s">
        <v>335</v>
      </c>
      <c r="E145" t="s">
        <v>336</v>
      </c>
      <c r="F145">
        <v>8097</v>
      </c>
      <c r="G145">
        <v>8138</v>
      </c>
      <c r="H145">
        <v>0</v>
      </c>
      <c r="K145">
        <f>IF(Table2[[#This Row],[NeedsAttention]]=1,Table2[[#This Row],[Start]],Table2[[#This Row],[StartN]])</f>
        <v>8097</v>
      </c>
      <c r="L145">
        <f>IF(Table2[[#This Row],[NeedsAttention]]=1,Table2[[#This Row],[End]],Table2[[#This Row],[EndN]])</f>
        <v>8138</v>
      </c>
      <c r="M145" t="b">
        <f>Table2[[#This Row],[Merged.Start]]=L144+1</f>
        <v>1</v>
      </c>
      <c r="O145">
        <f>Table2[[#This Row],[Section]]</f>
        <v>144</v>
      </c>
      <c r="P145">
        <f>Table2[[#This Row],[Canon]]</f>
        <v>2</v>
      </c>
      <c r="Q145" s="1" t="str">
        <f>Table2[[#This Row],[Reference]]</f>
        <v>14.3-5</v>
      </c>
      <c r="R145" t="str">
        <f>Table2[[#This Row],[StartR]]</f>
        <v>MAT 14:3</v>
      </c>
      <c r="S145" t="str">
        <f>Table2[[#This Row],[EndR]]</f>
        <v>MAT 14:5</v>
      </c>
      <c r="T145">
        <f>Table2[[#This Row],[Merged.Start]]</f>
        <v>8097</v>
      </c>
      <c r="U145">
        <f>Table2[[#This Row],[Merged.End]]</f>
        <v>8138</v>
      </c>
    </row>
    <row r="146" spans="1:21" x14ac:dyDescent="0.25">
      <c r="A146">
        <v>145</v>
      </c>
      <c r="B146">
        <v>6</v>
      </c>
      <c r="C146" s="1" t="s">
        <v>337</v>
      </c>
      <c r="D146" t="s">
        <v>338</v>
      </c>
      <c r="E146" t="s">
        <v>339</v>
      </c>
      <c r="F146">
        <v>8139</v>
      </c>
      <c r="G146">
        <v>8234</v>
      </c>
      <c r="H146">
        <v>0</v>
      </c>
      <c r="K146">
        <f>IF(Table2[[#This Row],[NeedsAttention]]=1,Table2[[#This Row],[Start]],Table2[[#This Row],[StartN]])</f>
        <v>8139</v>
      </c>
      <c r="L146">
        <f>IF(Table2[[#This Row],[NeedsAttention]]=1,Table2[[#This Row],[End]],Table2[[#This Row],[EndN]])</f>
        <v>8234</v>
      </c>
      <c r="M146" t="b">
        <f>Table2[[#This Row],[Merged.Start]]=L145+1</f>
        <v>1</v>
      </c>
      <c r="O146">
        <f>Table2[[#This Row],[Section]]</f>
        <v>145</v>
      </c>
      <c r="P146">
        <f>Table2[[#This Row],[Canon]]</f>
        <v>6</v>
      </c>
      <c r="Q146" s="1" t="str">
        <f>Table2[[#This Row],[Reference]]</f>
        <v>14.6-12</v>
      </c>
      <c r="R146" t="str">
        <f>Table2[[#This Row],[StartR]]</f>
        <v>MAT 14:6</v>
      </c>
      <c r="S146" t="str">
        <f>Table2[[#This Row],[EndR]]</f>
        <v>MAT 14:12</v>
      </c>
      <c r="T146">
        <f>Table2[[#This Row],[Merged.Start]]</f>
        <v>8139</v>
      </c>
      <c r="U146">
        <f>Table2[[#This Row],[Merged.End]]</f>
        <v>8234</v>
      </c>
    </row>
    <row r="147" spans="1:21" x14ac:dyDescent="0.25">
      <c r="A147">
        <v>146</v>
      </c>
      <c r="B147">
        <v>3</v>
      </c>
      <c r="C147" s="1" t="s">
        <v>340</v>
      </c>
      <c r="D147" t="s">
        <v>341</v>
      </c>
      <c r="E147" t="s">
        <v>342</v>
      </c>
      <c r="F147">
        <v>8235</v>
      </c>
      <c r="G147">
        <v>8271</v>
      </c>
      <c r="H147">
        <v>0</v>
      </c>
      <c r="K147">
        <f>IF(Table2[[#This Row],[NeedsAttention]]=1,Table2[[#This Row],[Start]],Table2[[#This Row],[StartN]])</f>
        <v>8235</v>
      </c>
      <c r="L147">
        <f>IF(Table2[[#This Row],[NeedsAttention]]=1,Table2[[#This Row],[End]],Table2[[#This Row],[EndN]])</f>
        <v>8271</v>
      </c>
      <c r="M147" t="b">
        <f>Table2[[#This Row],[Merged.Start]]=L146+1</f>
        <v>1</v>
      </c>
      <c r="O147">
        <f>Table2[[#This Row],[Section]]</f>
        <v>146</v>
      </c>
      <c r="P147">
        <f>Table2[[#This Row],[Canon]]</f>
        <v>3</v>
      </c>
      <c r="Q147" s="1" t="str">
        <f>Table2[[#This Row],[Reference]]</f>
        <v>14.13-14</v>
      </c>
      <c r="R147" t="str">
        <f>Table2[[#This Row],[StartR]]</f>
        <v>MAT 14:13</v>
      </c>
      <c r="S147" t="str">
        <f>Table2[[#This Row],[EndR]]</f>
        <v>MAT 14:14</v>
      </c>
      <c r="T147">
        <f>Table2[[#This Row],[Merged.Start]]</f>
        <v>8235</v>
      </c>
      <c r="U147">
        <f>Table2[[#This Row],[Merged.End]]</f>
        <v>8271</v>
      </c>
    </row>
    <row r="148" spans="1:21" x14ac:dyDescent="0.25">
      <c r="A148">
        <v>147</v>
      </c>
      <c r="B148">
        <v>1</v>
      </c>
      <c r="C148" s="1" t="s">
        <v>343</v>
      </c>
      <c r="D148" t="s">
        <v>344</v>
      </c>
      <c r="E148" t="s">
        <v>345</v>
      </c>
      <c r="F148">
        <v>8272</v>
      </c>
      <c r="G148">
        <v>8391</v>
      </c>
      <c r="H148">
        <v>0</v>
      </c>
      <c r="K148">
        <f>IF(Table2[[#This Row],[NeedsAttention]]=1,Table2[[#This Row],[Start]],Table2[[#This Row],[StartN]])</f>
        <v>8272</v>
      </c>
      <c r="L148">
        <f>IF(Table2[[#This Row],[NeedsAttention]]=1,Table2[[#This Row],[End]],Table2[[#This Row],[EndN]])</f>
        <v>8391</v>
      </c>
      <c r="M148" t="b">
        <f>Table2[[#This Row],[Merged.Start]]=L147+1</f>
        <v>1</v>
      </c>
      <c r="O148">
        <f>Table2[[#This Row],[Section]]</f>
        <v>147</v>
      </c>
      <c r="P148">
        <f>Table2[[#This Row],[Canon]]</f>
        <v>1</v>
      </c>
      <c r="Q148" s="1" t="str">
        <f>Table2[[#This Row],[Reference]]</f>
        <v>14.15-21</v>
      </c>
      <c r="R148" t="str">
        <f>Table2[[#This Row],[StartR]]</f>
        <v>MAT 14:15</v>
      </c>
      <c r="S148" t="str">
        <f>Table2[[#This Row],[EndR]]</f>
        <v>MAT 14:21</v>
      </c>
      <c r="T148">
        <f>Table2[[#This Row],[Merged.Start]]</f>
        <v>8272</v>
      </c>
      <c r="U148">
        <f>Table2[[#This Row],[Merged.End]]</f>
        <v>8391</v>
      </c>
    </row>
    <row r="149" spans="1:21" x14ac:dyDescent="0.25">
      <c r="A149">
        <v>148</v>
      </c>
      <c r="B149">
        <v>6</v>
      </c>
      <c r="C149" s="1">
        <v>14.22</v>
      </c>
      <c r="D149" t="s">
        <v>346</v>
      </c>
      <c r="E149" t="s">
        <v>346</v>
      </c>
      <c r="F149">
        <v>8392</v>
      </c>
      <c r="G149">
        <v>8410</v>
      </c>
      <c r="H149">
        <v>0</v>
      </c>
      <c r="K149">
        <f>IF(Table2[[#This Row],[NeedsAttention]]=1,Table2[[#This Row],[Start]],Table2[[#This Row],[StartN]])</f>
        <v>8392</v>
      </c>
      <c r="L149">
        <f>IF(Table2[[#This Row],[NeedsAttention]]=1,Table2[[#This Row],[End]],Table2[[#This Row],[EndN]])</f>
        <v>8410</v>
      </c>
      <c r="M149" t="b">
        <f>Table2[[#This Row],[Merged.Start]]=L148+1</f>
        <v>1</v>
      </c>
      <c r="O149">
        <f>Table2[[#This Row],[Section]]</f>
        <v>148</v>
      </c>
      <c r="P149">
        <f>Table2[[#This Row],[Canon]]</f>
        <v>6</v>
      </c>
      <c r="Q149" s="1">
        <f>Table2[[#This Row],[Reference]]</f>
        <v>14.22</v>
      </c>
      <c r="R149" t="str">
        <f>Table2[[#This Row],[StartR]]</f>
        <v>MAT 14:22</v>
      </c>
      <c r="S149" t="str">
        <f>Table2[[#This Row],[EndR]]</f>
        <v>MAT 14:22</v>
      </c>
      <c r="T149">
        <f>Table2[[#This Row],[Merged.Start]]</f>
        <v>8392</v>
      </c>
      <c r="U149">
        <f>Table2[[#This Row],[Merged.End]]</f>
        <v>8410</v>
      </c>
    </row>
    <row r="150" spans="1:21" x14ac:dyDescent="0.25">
      <c r="A150">
        <v>149</v>
      </c>
      <c r="B150">
        <v>2</v>
      </c>
      <c r="C150" s="1" t="s">
        <v>347</v>
      </c>
      <c r="D150" t="s">
        <v>348</v>
      </c>
      <c r="E150" t="s">
        <v>348</v>
      </c>
      <c r="F150">
        <v>8411</v>
      </c>
      <c r="G150">
        <v>8427</v>
      </c>
      <c r="H150">
        <v>1</v>
      </c>
      <c r="I150">
        <v>8411</v>
      </c>
      <c r="J150">
        <v>8421</v>
      </c>
      <c r="K150">
        <f>IF(Table2[[#This Row],[NeedsAttention]]=1,Table2[[#This Row],[Start]],Table2[[#This Row],[StartN]])</f>
        <v>8411</v>
      </c>
      <c r="L150">
        <f>IF(Table2[[#This Row],[NeedsAttention]]=1,Table2[[#This Row],[End]],Table2[[#This Row],[EndN]])</f>
        <v>8421</v>
      </c>
      <c r="M150" t="b">
        <f>Table2[[#This Row],[Merged.Start]]=L149+1</f>
        <v>1</v>
      </c>
      <c r="O150">
        <f>Table2[[#This Row],[Section]]</f>
        <v>149</v>
      </c>
      <c r="P150">
        <f>Table2[[#This Row],[Canon]]</f>
        <v>2</v>
      </c>
      <c r="Q150" s="1" t="str">
        <f>Table2[[#This Row],[Reference]]</f>
        <v>14.23A</v>
      </c>
      <c r="R150" t="str">
        <f>Table2[[#This Row],[StartR]]</f>
        <v>MAT 14:23</v>
      </c>
      <c r="S150" t="str">
        <f>Table2[[#This Row],[EndR]]</f>
        <v>MAT 14:23</v>
      </c>
      <c r="T150">
        <f>Table2[[#This Row],[Merged.Start]]</f>
        <v>8411</v>
      </c>
      <c r="U150">
        <f>Table2[[#This Row],[Merged.End]]</f>
        <v>8421</v>
      </c>
    </row>
    <row r="151" spans="1:21" x14ac:dyDescent="0.25">
      <c r="A151">
        <v>150</v>
      </c>
      <c r="B151">
        <v>4</v>
      </c>
      <c r="C151" s="1" t="s">
        <v>349</v>
      </c>
      <c r="D151" t="s">
        <v>348</v>
      </c>
      <c r="E151" t="s">
        <v>350</v>
      </c>
      <c r="F151">
        <v>8411</v>
      </c>
      <c r="G151">
        <v>8489</v>
      </c>
      <c r="H151">
        <v>1</v>
      </c>
      <c r="I151">
        <v>8422</v>
      </c>
      <c r="J151">
        <v>8489</v>
      </c>
      <c r="K151">
        <f>IF(Table2[[#This Row],[NeedsAttention]]=1,Table2[[#This Row],[Start]],Table2[[#This Row],[StartN]])</f>
        <v>8422</v>
      </c>
      <c r="L151">
        <f>IF(Table2[[#This Row],[NeedsAttention]]=1,Table2[[#This Row],[End]],Table2[[#This Row],[EndN]])</f>
        <v>8489</v>
      </c>
      <c r="M151" t="b">
        <f>Table2[[#This Row],[Merged.Start]]=L150+1</f>
        <v>1</v>
      </c>
      <c r="O151">
        <f>Table2[[#This Row],[Section]]</f>
        <v>150</v>
      </c>
      <c r="P151">
        <f>Table2[[#This Row],[Canon]]</f>
        <v>4</v>
      </c>
      <c r="Q151" s="1" t="str">
        <f>Table2[[#This Row],[Reference]]</f>
        <v>14.23B-27</v>
      </c>
      <c r="R151" t="str">
        <f>Table2[[#This Row],[StartR]]</f>
        <v>MAT 14:23</v>
      </c>
      <c r="S151" t="str">
        <f>Table2[[#This Row],[EndR]]</f>
        <v>MAT 14:27</v>
      </c>
      <c r="T151">
        <f>Table2[[#This Row],[Merged.Start]]</f>
        <v>8422</v>
      </c>
      <c r="U151">
        <f>Table2[[#This Row],[Merged.End]]</f>
        <v>8489</v>
      </c>
    </row>
    <row r="152" spans="1:21" x14ac:dyDescent="0.25">
      <c r="A152">
        <v>151</v>
      </c>
      <c r="B152">
        <v>10</v>
      </c>
      <c r="C152" s="1" t="s">
        <v>351</v>
      </c>
      <c r="D152" t="s">
        <v>352</v>
      </c>
      <c r="E152" t="s">
        <v>353</v>
      </c>
      <c r="F152">
        <v>8490</v>
      </c>
      <c r="G152">
        <v>8556</v>
      </c>
      <c r="H152">
        <v>0</v>
      </c>
      <c r="K152">
        <f>IF(Table2[[#This Row],[NeedsAttention]]=1,Table2[[#This Row],[Start]],Table2[[#This Row],[StartN]])</f>
        <v>8490</v>
      </c>
      <c r="L152">
        <f>IF(Table2[[#This Row],[NeedsAttention]]=1,Table2[[#This Row],[End]],Table2[[#This Row],[EndN]])</f>
        <v>8556</v>
      </c>
      <c r="M152" t="b">
        <f>Table2[[#This Row],[Merged.Start]]=L151+1</f>
        <v>1</v>
      </c>
      <c r="O152">
        <f>Table2[[#This Row],[Section]]</f>
        <v>151</v>
      </c>
      <c r="P152">
        <f>Table2[[#This Row],[Canon]]</f>
        <v>10</v>
      </c>
      <c r="Q152" s="1" t="str">
        <f>Table2[[#This Row],[Reference]]</f>
        <v>14.28-31</v>
      </c>
      <c r="R152" t="str">
        <f>Table2[[#This Row],[StartR]]</f>
        <v>MAT 14:28</v>
      </c>
      <c r="S152" t="str">
        <f>Table2[[#This Row],[EndR]]</f>
        <v>MAT 14:31</v>
      </c>
      <c r="T152">
        <f>Table2[[#This Row],[Merged.Start]]</f>
        <v>8490</v>
      </c>
      <c r="U152">
        <f>Table2[[#This Row],[Merged.End]]</f>
        <v>8556</v>
      </c>
    </row>
    <row r="153" spans="1:21" x14ac:dyDescent="0.25">
      <c r="A153">
        <v>152</v>
      </c>
      <c r="B153">
        <v>6</v>
      </c>
      <c r="C153" s="1" t="s">
        <v>354</v>
      </c>
      <c r="D153" t="s">
        <v>355</v>
      </c>
      <c r="E153" t="s">
        <v>356</v>
      </c>
      <c r="F153">
        <v>8557</v>
      </c>
      <c r="G153">
        <v>8585</v>
      </c>
      <c r="H153">
        <v>0</v>
      </c>
      <c r="K153">
        <f>IF(Table2[[#This Row],[NeedsAttention]]=1,Table2[[#This Row],[Start]],Table2[[#This Row],[StartN]])</f>
        <v>8557</v>
      </c>
      <c r="L153">
        <f>IF(Table2[[#This Row],[NeedsAttention]]=1,Table2[[#This Row],[End]],Table2[[#This Row],[EndN]])</f>
        <v>8585</v>
      </c>
      <c r="M153" t="b">
        <f>Table2[[#This Row],[Merged.Start]]=L152+1</f>
        <v>1</v>
      </c>
      <c r="O153">
        <f>Table2[[#This Row],[Section]]</f>
        <v>152</v>
      </c>
      <c r="P153">
        <f>Table2[[#This Row],[Canon]]</f>
        <v>6</v>
      </c>
      <c r="Q153" s="1" t="str">
        <f>Table2[[#This Row],[Reference]]</f>
        <v>14.32-34</v>
      </c>
      <c r="R153" t="str">
        <f>Table2[[#This Row],[StartR]]</f>
        <v>MAT 14:32</v>
      </c>
      <c r="S153" t="str">
        <f>Table2[[#This Row],[EndR]]</f>
        <v>MAT 14:34</v>
      </c>
      <c r="T153">
        <f>Table2[[#This Row],[Merged.Start]]</f>
        <v>8557</v>
      </c>
      <c r="U153">
        <f>Table2[[#This Row],[Merged.End]]</f>
        <v>8585</v>
      </c>
    </row>
    <row r="154" spans="1:21" x14ac:dyDescent="0.25">
      <c r="A154">
        <v>153</v>
      </c>
      <c r="B154">
        <v>2</v>
      </c>
      <c r="C154" s="1" t="s">
        <v>357</v>
      </c>
      <c r="D154" t="s">
        <v>358</v>
      </c>
      <c r="E154" t="s">
        <v>359</v>
      </c>
      <c r="F154">
        <v>8586</v>
      </c>
      <c r="G154">
        <v>8621</v>
      </c>
      <c r="H154">
        <v>0</v>
      </c>
      <c r="K154">
        <f>IF(Table2[[#This Row],[NeedsAttention]]=1,Table2[[#This Row],[Start]],Table2[[#This Row],[StartN]])</f>
        <v>8586</v>
      </c>
      <c r="L154">
        <f>IF(Table2[[#This Row],[NeedsAttention]]=1,Table2[[#This Row],[End]],Table2[[#This Row],[EndN]])</f>
        <v>8621</v>
      </c>
      <c r="M154" t="b">
        <f>Table2[[#This Row],[Merged.Start]]=L153+1</f>
        <v>1</v>
      </c>
      <c r="O154">
        <f>Table2[[#This Row],[Section]]</f>
        <v>153</v>
      </c>
      <c r="P154">
        <f>Table2[[#This Row],[Canon]]</f>
        <v>2</v>
      </c>
      <c r="Q154" s="1" t="str">
        <f>Table2[[#This Row],[Reference]]</f>
        <v>14.35-36</v>
      </c>
      <c r="R154" t="str">
        <f>Table2[[#This Row],[StartR]]</f>
        <v>MAT 14:35</v>
      </c>
      <c r="S154" t="str">
        <f>Table2[[#This Row],[EndR]]</f>
        <v>MAT 14:36</v>
      </c>
      <c r="T154">
        <f>Table2[[#This Row],[Merged.Start]]</f>
        <v>8586</v>
      </c>
      <c r="U154">
        <f>Table2[[#This Row],[Merged.End]]</f>
        <v>8621</v>
      </c>
    </row>
    <row r="155" spans="1:21" x14ac:dyDescent="0.25">
      <c r="A155">
        <v>154</v>
      </c>
      <c r="B155">
        <v>6</v>
      </c>
      <c r="C155" s="1" t="s">
        <v>360</v>
      </c>
      <c r="D155" t="s">
        <v>361</v>
      </c>
      <c r="E155" t="s">
        <v>362</v>
      </c>
      <c r="F155">
        <v>8622</v>
      </c>
      <c r="G155">
        <v>8777</v>
      </c>
      <c r="H155">
        <v>0</v>
      </c>
      <c r="K155">
        <f>IF(Table2[[#This Row],[NeedsAttention]]=1,Table2[[#This Row],[Start]],Table2[[#This Row],[StartN]])</f>
        <v>8622</v>
      </c>
      <c r="L155">
        <f>IF(Table2[[#This Row],[NeedsAttention]]=1,Table2[[#This Row],[End]],Table2[[#This Row],[EndN]])</f>
        <v>8777</v>
      </c>
      <c r="M155" t="b">
        <f>Table2[[#This Row],[Merged.Start]]=L154+1</f>
        <v>1</v>
      </c>
      <c r="O155">
        <f>Table2[[#This Row],[Section]]</f>
        <v>154</v>
      </c>
      <c r="P155">
        <f>Table2[[#This Row],[Canon]]</f>
        <v>6</v>
      </c>
      <c r="Q155" s="1" t="str">
        <f>Table2[[#This Row],[Reference]]</f>
        <v>15.1-11</v>
      </c>
      <c r="R155" t="str">
        <f>Table2[[#This Row],[StartR]]</f>
        <v>MAT 15:1</v>
      </c>
      <c r="S155" t="str">
        <f>Table2[[#This Row],[EndR]]</f>
        <v>MAT 15:11</v>
      </c>
      <c r="T155">
        <f>Table2[[#This Row],[Merged.Start]]</f>
        <v>8622</v>
      </c>
      <c r="U155">
        <f>Table2[[#This Row],[Merged.End]]</f>
        <v>8777</v>
      </c>
    </row>
    <row r="156" spans="1:21" x14ac:dyDescent="0.25">
      <c r="A156">
        <v>155</v>
      </c>
      <c r="B156">
        <v>10</v>
      </c>
      <c r="C156" s="1" t="s">
        <v>363</v>
      </c>
      <c r="D156" t="s">
        <v>364</v>
      </c>
      <c r="E156" t="s">
        <v>365</v>
      </c>
      <c r="F156">
        <v>8778</v>
      </c>
      <c r="G156">
        <v>8806</v>
      </c>
      <c r="H156">
        <v>0</v>
      </c>
      <c r="K156">
        <f>IF(Table2[[#This Row],[NeedsAttention]]=1,Table2[[#This Row],[Start]],Table2[[#This Row],[StartN]])</f>
        <v>8778</v>
      </c>
      <c r="L156">
        <f>IF(Table2[[#This Row],[NeedsAttention]]=1,Table2[[#This Row],[End]],Table2[[#This Row],[EndN]])</f>
        <v>8806</v>
      </c>
      <c r="M156" t="b">
        <f>Table2[[#This Row],[Merged.Start]]=L155+1</f>
        <v>1</v>
      </c>
      <c r="O156">
        <f>Table2[[#This Row],[Section]]</f>
        <v>155</v>
      </c>
      <c r="P156">
        <f>Table2[[#This Row],[Canon]]</f>
        <v>10</v>
      </c>
      <c r="Q156" s="1" t="str">
        <f>Table2[[#This Row],[Reference]]</f>
        <v>15.12-13</v>
      </c>
      <c r="R156" t="str">
        <f>Table2[[#This Row],[StartR]]</f>
        <v>MAT 15:12</v>
      </c>
      <c r="S156" t="str">
        <f>Table2[[#This Row],[EndR]]</f>
        <v>MAT 15:13</v>
      </c>
      <c r="T156">
        <f>Table2[[#This Row],[Merged.Start]]</f>
        <v>8778</v>
      </c>
      <c r="U156">
        <f>Table2[[#This Row],[Merged.End]]</f>
        <v>8806</v>
      </c>
    </row>
    <row r="157" spans="1:21" x14ac:dyDescent="0.25">
      <c r="A157">
        <v>156</v>
      </c>
      <c r="B157">
        <v>5</v>
      </c>
      <c r="C157" s="1">
        <v>15.14</v>
      </c>
      <c r="D157" t="s">
        <v>366</v>
      </c>
      <c r="E157" t="s">
        <v>366</v>
      </c>
      <c r="F157">
        <v>8807</v>
      </c>
      <c r="G157">
        <v>8821</v>
      </c>
      <c r="H157">
        <v>0</v>
      </c>
      <c r="K157">
        <f>IF(Table2[[#This Row],[NeedsAttention]]=1,Table2[[#This Row],[Start]],Table2[[#This Row],[StartN]])</f>
        <v>8807</v>
      </c>
      <c r="L157">
        <f>IF(Table2[[#This Row],[NeedsAttention]]=1,Table2[[#This Row],[End]],Table2[[#This Row],[EndN]])</f>
        <v>8821</v>
      </c>
      <c r="M157" t="b">
        <f>Table2[[#This Row],[Merged.Start]]=L156+1</f>
        <v>1</v>
      </c>
      <c r="O157">
        <f>Table2[[#This Row],[Section]]</f>
        <v>156</v>
      </c>
      <c r="P157">
        <f>Table2[[#This Row],[Canon]]</f>
        <v>5</v>
      </c>
      <c r="Q157" s="1">
        <f>Table2[[#This Row],[Reference]]</f>
        <v>15.14</v>
      </c>
      <c r="R157" t="str">
        <f>Table2[[#This Row],[StartR]]</f>
        <v>MAT 15:14</v>
      </c>
      <c r="S157" t="str">
        <f>Table2[[#This Row],[EndR]]</f>
        <v>MAT 15:14</v>
      </c>
      <c r="T157">
        <f>Table2[[#This Row],[Merged.Start]]</f>
        <v>8807</v>
      </c>
      <c r="U157">
        <f>Table2[[#This Row],[Merged.End]]</f>
        <v>8821</v>
      </c>
    </row>
    <row r="158" spans="1:21" x14ac:dyDescent="0.25">
      <c r="A158">
        <v>157</v>
      </c>
      <c r="B158">
        <v>6</v>
      </c>
      <c r="C158" s="1" t="s">
        <v>367</v>
      </c>
      <c r="D158" t="s">
        <v>368</v>
      </c>
      <c r="E158" t="s">
        <v>369</v>
      </c>
      <c r="F158">
        <v>8822</v>
      </c>
      <c r="G158">
        <v>8952</v>
      </c>
      <c r="H158">
        <v>0</v>
      </c>
      <c r="K158">
        <f>IF(Table2[[#This Row],[NeedsAttention]]=1,Table2[[#This Row],[Start]],Table2[[#This Row],[StartN]])</f>
        <v>8822</v>
      </c>
      <c r="L158">
        <f>IF(Table2[[#This Row],[NeedsAttention]]=1,Table2[[#This Row],[End]],Table2[[#This Row],[EndN]])</f>
        <v>8952</v>
      </c>
      <c r="M158" t="b">
        <f>Table2[[#This Row],[Merged.Start]]=L157+1</f>
        <v>1</v>
      </c>
      <c r="O158">
        <f>Table2[[#This Row],[Section]]</f>
        <v>157</v>
      </c>
      <c r="P158">
        <f>Table2[[#This Row],[Canon]]</f>
        <v>6</v>
      </c>
      <c r="Q158" s="1" t="str">
        <f>Table2[[#This Row],[Reference]]</f>
        <v>15.15-23</v>
      </c>
      <c r="R158" t="str">
        <f>Table2[[#This Row],[StartR]]</f>
        <v>MAT 15:15</v>
      </c>
      <c r="S158" t="str">
        <f>Table2[[#This Row],[EndR]]</f>
        <v>MAT 15:23</v>
      </c>
      <c r="T158">
        <f>Table2[[#This Row],[Merged.Start]]</f>
        <v>8822</v>
      </c>
      <c r="U158">
        <f>Table2[[#This Row],[Merged.End]]</f>
        <v>8952</v>
      </c>
    </row>
    <row r="159" spans="1:21" x14ac:dyDescent="0.25">
      <c r="A159">
        <v>158</v>
      </c>
      <c r="B159">
        <v>5</v>
      </c>
      <c r="C159" s="1">
        <v>15.24</v>
      </c>
      <c r="D159" t="s">
        <v>370</v>
      </c>
      <c r="E159" t="s">
        <v>370</v>
      </c>
      <c r="F159">
        <v>8953</v>
      </c>
      <c r="G159">
        <v>8967</v>
      </c>
      <c r="H159">
        <v>0</v>
      </c>
      <c r="K159">
        <f>IF(Table2[[#This Row],[NeedsAttention]]=1,Table2[[#This Row],[Start]],Table2[[#This Row],[StartN]])</f>
        <v>8953</v>
      </c>
      <c r="L159">
        <f>IF(Table2[[#This Row],[NeedsAttention]]=1,Table2[[#This Row],[End]],Table2[[#This Row],[EndN]])</f>
        <v>8967</v>
      </c>
      <c r="M159" t="b">
        <f>Table2[[#This Row],[Merged.Start]]=L158+1</f>
        <v>1</v>
      </c>
      <c r="O159">
        <f>Table2[[#This Row],[Section]]</f>
        <v>158</v>
      </c>
      <c r="P159">
        <f>Table2[[#This Row],[Canon]]</f>
        <v>5</v>
      </c>
      <c r="Q159" s="1">
        <f>Table2[[#This Row],[Reference]]</f>
        <v>15.24</v>
      </c>
      <c r="R159" t="str">
        <f>Table2[[#This Row],[StartR]]</f>
        <v>MAT 15:24</v>
      </c>
      <c r="S159" t="str">
        <f>Table2[[#This Row],[EndR]]</f>
        <v>MAT 15:24</v>
      </c>
      <c r="T159">
        <f>Table2[[#This Row],[Merged.Start]]</f>
        <v>8953</v>
      </c>
      <c r="U159">
        <f>Table2[[#This Row],[Merged.End]]</f>
        <v>8967</v>
      </c>
    </row>
    <row r="160" spans="1:21" x14ac:dyDescent="0.25">
      <c r="A160">
        <v>159</v>
      </c>
      <c r="B160">
        <v>6</v>
      </c>
      <c r="C160" s="1" t="s">
        <v>371</v>
      </c>
      <c r="D160" t="s">
        <v>372</v>
      </c>
      <c r="E160" t="s">
        <v>373</v>
      </c>
      <c r="F160">
        <v>8968</v>
      </c>
      <c r="G160">
        <v>9038</v>
      </c>
      <c r="H160">
        <v>0</v>
      </c>
      <c r="K160">
        <f>IF(Table2[[#This Row],[NeedsAttention]]=1,Table2[[#This Row],[Start]],Table2[[#This Row],[StartN]])</f>
        <v>8968</v>
      </c>
      <c r="L160">
        <f>IF(Table2[[#This Row],[NeedsAttention]]=1,Table2[[#This Row],[End]],Table2[[#This Row],[EndN]])</f>
        <v>9038</v>
      </c>
      <c r="M160" t="b">
        <f>Table2[[#This Row],[Merged.Start]]=L159+1</f>
        <v>1</v>
      </c>
      <c r="O160">
        <f>Table2[[#This Row],[Section]]</f>
        <v>159</v>
      </c>
      <c r="P160">
        <f>Table2[[#This Row],[Canon]]</f>
        <v>6</v>
      </c>
      <c r="Q160" s="1" t="str">
        <f>Table2[[#This Row],[Reference]]</f>
        <v>15.25-28</v>
      </c>
      <c r="R160" t="str">
        <f>Table2[[#This Row],[StartR]]</f>
        <v>MAT 15:25</v>
      </c>
      <c r="S160" t="str">
        <f>Table2[[#This Row],[EndR]]</f>
        <v>MAT 15:28</v>
      </c>
      <c r="T160">
        <f>Table2[[#This Row],[Merged.Start]]</f>
        <v>8968</v>
      </c>
      <c r="U160">
        <f>Table2[[#This Row],[Merged.End]]</f>
        <v>9038</v>
      </c>
    </row>
    <row r="161" spans="1:21" x14ac:dyDescent="0.25">
      <c r="A161">
        <v>160</v>
      </c>
      <c r="B161">
        <v>6</v>
      </c>
      <c r="C161" s="1" t="s">
        <v>374</v>
      </c>
      <c r="D161" t="s">
        <v>375</v>
      </c>
      <c r="E161" t="s">
        <v>376</v>
      </c>
      <c r="F161">
        <v>9039</v>
      </c>
      <c r="G161">
        <v>9230</v>
      </c>
      <c r="H161">
        <v>0</v>
      </c>
      <c r="K161">
        <f>IF(Table2[[#This Row],[NeedsAttention]]=1,Table2[[#This Row],[Start]],Table2[[#This Row],[StartN]])</f>
        <v>9039</v>
      </c>
      <c r="L161">
        <f>IF(Table2[[#This Row],[NeedsAttention]]=1,Table2[[#This Row],[End]],Table2[[#This Row],[EndN]])</f>
        <v>9230</v>
      </c>
      <c r="M161" t="b">
        <f>Table2[[#This Row],[Merged.Start]]=L160+1</f>
        <v>1</v>
      </c>
      <c r="O161">
        <f>Table2[[#This Row],[Section]]</f>
        <v>160</v>
      </c>
      <c r="P161">
        <f>Table2[[#This Row],[Canon]]</f>
        <v>6</v>
      </c>
      <c r="Q161" s="1" t="str">
        <f>Table2[[#This Row],[Reference]]</f>
        <v>15.29-39</v>
      </c>
      <c r="R161" t="str">
        <f>Table2[[#This Row],[StartR]]</f>
        <v>MAT 15:29</v>
      </c>
      <c r="S161" t="str">
        <f>Table2[[#This Row],[EndR]]</f>
        <v>MAT 15:39</v>
      </c>
      <c r="T161">
        <f>Table2[[#This Row],[Merged.Start]]</f>
        <v>9039</v>
      </c>
      <c r="U161">
        <f>Table2[[#This Row],[Merged.End]]</f>
        <v>9230</v>
      </c>
    </row>
    <row r="162" spans="1:21" x14ac:dyDescent="0.25">
      <c r="A162">
        <v>161</v>
      </c>
      <c r="B162">
        <v>4</v>
      </c>
      <c r="C162" s="1">
        <v>16.100000000000001</v>
      </c>
      <c r="D162" t="s">
        <v>377</v>
      </c>
      <c r="E162" t="s">
        <v>377</v>
      </c>
      <c r="F162">
        <v>9231</v>
      </c>
      <c r="G162">
        <v>9245</v>
      </c>
      <c r="H162">
        <v>0</v>
      </c>
      <c r="K162">
        <f>IF(Table2[[#This Row],[NeedsAttention]]=1,Table2[[#This Row],[Start]],Table2[[#This Row],[StartN]])</f>
        <v>9231</v>
      </c>
      <c r="L162">
        <f>IF(Table2[[#This Row],[NeedsAttention]]=1,Table2[[#This Row],[End]],Table2[[#This Row],[EndN]])</f>
        <v>9245</v>
      </c>
      <c r="M162" t="b">
        <f>Table2[[#This Row],[Merged.Start]]=L161+1</f>
        <v>1</v>
      </c>
      <c r="O162">
        <f>Table2[[#This Row],[Section]]</f>
        <v>161</v>
      </c>
      <c r="P162">
        <f>Table2[[#This Row],[Canon]]</f>
        <v>4</v>
      </c>
      <c r="Q162" s="1">
        <f>Table2[[#This Row],[Reference]]</f>
        <v>16.100000000000001</v>
      </c>
      <c r="R162" t="str">
        <f>Table2[[#This Row],[StartR]]</f>
        <v>MAT 16:1</v>
      </c>
      <c r="S162" t="str">
        <f>Table2[[#This Row],[EndR]]</f>
        <v>MAT 16:1</v>
      </c>
      <c r="T162">
        <f>Table2[[#This Row],[Merged.Start]]</f>
        <v>9231</v>
      </c>
      <c r="U162">
        <f>Table2[[#This Row],[Merged.End]]</f>
        <v>9245</v>
      </c>
    </row>
    <row r="163" spans="1:21" x14ac:dyDescent="0.25">
      <c r="A163">
        <v>162</v>
      </c>
      <c r="B163">
        <v>5</v>
      </c>
      <c r="C163" s="1" t="s">
        <v>378</v>
      </c>
      <c r="D163" t="s">
        <v>379</v>
      </c>
      <c r="E163" t="s">
        <v>380</v>
      </c>
      <c r="F163">
        <v>9246</v>
      </c>
      <c r="G163">
        <v>9281</v>
      </c>
      <c r="H163">
        <v>0</v>
      </c>
      <c r="K163">
        <f>IF(Table2[[#This Row],[NeedsAttention]]=1,Table2[[#This Row],[Start]],Table2[[#This Row],[StartN]])</f>
        <v>9246</v>
      </c>
      <c r="L163">
        <f>IF(Table2[[#This Row],[NeedsAttention]]=1,Table2[[#This Row],[End]],Table2[[#This Row],[EndN]])</f>
        <v>9281</v>
      </c>
      <c r="M163" t="b">
        <f>Table2[[#This Row],[Merged.Start]]=L162+1</f>
        <v>1</v>
      </c>
      <c r="O163">
        <f>Table2[[#This Row],[Section]]</f>
        <v>162</v>
      </c>
      <c r="P163">
        <f>Table2[[#This Row],[Canon]]</f>
        <v>5</v>
      </c>
      <c r="Q163" s="1" t="str">
        <f>Table2[[#This Row],[Reference]]</f>
        <v>16.2-3</v>
      </c>
      <c r="R163" t="str">
        <f>Table2[[#This Row],[StartR]]</f>
        <v>MAT 16:2</v>
      </c>
      <c r="S163" t="str">
        <f>Table2[[#This Row],[EndR]]</f>
        <v>MAT 16:3</v>
      </c>
      <c r="T163">
        <f>Table2[[#This Row],[Merged.Start]]</f>
        <v>9246</v>
      </c>
      <c r="U163">
        <f>Table2[[#This Row],[Merged.End]]</f>
        <v>9281</v>
      </c>
    </row>
    <row r="164" spans="1:21" x14ac:dyDescent="0.25">
      <c r="A164">
        <v>163</v>
      </c>
      <c r="B164">
        <v>6</v>
      </c>
      <c r="C164" s="1">
        <v>16.399999999999999</v>
      </c>
      <c r="D164" t="s">
        <v>381</v>
      </c>
      <c r="E164" t="s">
        <v>381</v>
      </c>
      <c r="F164">
        <v>9282</v>
      </c>
      <c r="G164">
        <v>9301</v>
      </c>
      <c r="H164">
        <v>0</v>
      </c>
      <c r="K164">
        <f>IF(Table2[[#This Row],[NeedsAttention]]=1,Table2[[#This Row],[Start]],Table2[[#This Row],[StartN]])</f>
        <v>9282</v>
      </c>
      <c r="L164">
        <f>IF(Table2[[#This Row],[NeedsAttention]]=1,Table2[[#This Row],[End]],Table2[[#This Row],[EndN]])</f>
        <v>9301</v>
      </c>
      <c r="M164" t="b">
        <f>Table2[[#This Row],[Merged.Start]]=L163+1</f>
        <v>1</v>
      </c>
      <c r="O164">
        <f>Table2[[#This Row],[Section]]</f>
        <v>163</v>
      </c>
      <c r="P164">
        <f>Table2[[#This Row],[Canon]]</f>
        <v>6</v>
      </c>
      <c r="Q164" s="1">
        <f>Table2[[#This Row],[Reference]]</f>
        <v>16.399999999999999</v>
      </c>
      <c r="R164" t="str">
        <f>Table2[[#This Row],[StartR]]</f>
        <v>MAT 16:4</v>
      </c>
      <c r="S164" t="str">
        <f>Table2[[#This Row],[EndR]]</f>
        <v>MAT 16:4</v>
      </c>
      <c r="T164">
        <f>Table2[[#This Row],[Merged.Start]]</f>
        <v>9282</v>
      </c>
      <c r="U164">
        <f>Table2[[#This Row],[Merged.End]]</f>
        <v>9301</v>
      </c>
    </row>
    <row r="165" spans="1:21" x14ac:dyDescent="0.25">
      <c r="A165">
        <v>164</v>
      </c>
      <c r="B165">
        <v>2</v>
      </c>
      <c r="C165" s="1" t="s">
        <v>382</v>
      </c>
      <c r="D165" t="s">
        <v>383</v>
      </c>
      <c r="E165" t="s">
        <v>384</v>
      </c>
      <c r="F165">
        <v>9302</v>
      </c>
      <c r="G165">
        <v>9326</v>
      </c>
      <c r="H165">
        <v>0</v>
      </c>
      <c r="K165">
        <f>IF(Table2[[#This Row],[NeedsAttention]]=1,Table2[[#This Row],[Start]],Table2[[#This Row],[StartN]])</f>
        <v>9302</v>
      </c>
      <c r="L165">
        <f>IF(Table2[[#This Row],[NeedsAttention]]=1,Table2[[#This Row],[End]],Table2[[#This Row],[EndN]])</f>
        <v>9326</v>
      </c>
      <c r="M165" t="b">
        <f>Table2[[#This Row],[Merged.Start]]=L164+1</f>
        <v>1</v>
      </c>
      <c r="O165">
        <f>Table2[[#This Row],[Section]]</f>
        <v>164</v>
      </c>
      <c r="P165">
        <f>Table2[[#This Row],[Canon]]</f>
        <v>2</v>
      </c>
      <c r="Q165" s="1" t="str">
        <f>Table2[[#This Row],[Reference]]</f>
        <v>16.5-6</v>
      </c>
      <c r="R165" t="str">
        <f>Table2[[#This Row],[StartR]]</f>
        <v>MAT 16:5</v>
      </c>
      <c r="S165" t="str">
        <f>Table2[[#This Row],[EndR]]</f>
        <v>MAT 16:6</v>
      </c>
      <c r="T165">
        <f>Table2[[#This Row],[Merged.Start]]</f>
        <v>9302</v>
      </c>
      <c r="U165">
        <f>Table2[[#This Row],[Merged.End]]</f>
        <v>9326</v>
      </c>
    </row>
    <row r="166" spans="1:21" x14ac:dyDescent="0.25">
      <c r="A166">
        <v>165</v>
      </c>
      <c r="B166">
        <v>6</v>
      </c>
      <c r="C166" s="1" t="s">
        <v>385</v>
      </c>
      <c r="D166" t="s">
        <v>386</v>
      </c>
      <c r="E166" t="s">
        <v>387</v>
      </c>
      <c r="F166">
        <v>9327</v>
      </c>
      <c r="G166">
        <v>9410</v>
      </c>
      <c r="H166">
        <v>0</v>
      </c>
      <c r="K166">
        <f>IF(Table2[[#This Row],[NeedsAttention]]=1,Table2[[#This Row],[Start]],Table2[[#This Row],[StartN]])</f>
        <v>9327</v>
      </c>
      <c r="L166">
        <f>IF(Table2[[#This Row],[NeedsAttention]]=1,Table2[[#This Row],[End]],Table2[[#This Row],[EndN]])</f>
        <v>9410</v>
      </c>
      <c r="M166" t="b">
        <f>Table2[[#This Row],[Merged.Start]]=L165+1</f>
        <v>1</v>
      </c>
      <c r="O166">
        <f>Table2[[#This Row],[Section]]</f>
        <v>165</v>
      </c>
      <c r="P166">
        <f>Table2[[#This Row],[Canon]]</f>
        <v>6</v>
      </c>
      <c r="Q166" s="1" t="str">
        <f>Table2[[#This Row],[Reference]]</f>
        <v>16.7-12</v>
      </c>
      <c r="R166" t="str">
        <f>Table2[[#This Row],[StartR]]</f>
        <v>MAT 16:7</v>
      </c>
      <c r="S166" t="str">
        <f>Table2[[#This Row],[EndR]]</f>
        <v>MAT 16:12</v>
      </c>
      <c r="T166">
        <f>Table2[[#This Row],[Merged.Start]]</f>
        <v>9327</v>
      </c>
      <c r="U166">
        <f>Table2[[#This Row],[Merged.End]]</f>
        <v>9410</v>
      </c>
    </row>
    <row r="167" spans="1:21" x14ac:dyDescent="0.25">
      <c r="A167">
        <v>166</v>
      </c>
      <c r="B167">
        <v>1</v>
      </c>
      <c r="C167" s="1" t="s">
        <v>388</v>
      </c>
      <c r="D167" t="s">
        <v>389</v>
      </c>
      <c r="E167" t="s">
        <v>390</v>
      </c>
      <c r="F167">
        <v>9411</v>
      </c>
      <c r="G167">
        <v>9475</v>
      </c>
      <c r="H167">
        <v>0</v>
      </c>
      <c r="K167">
        <f>IF(Table2[[#This Row],[NeedsAttention]]=1,Table2[[#This Row],[Start]],Table2[[#This Row],[StartN]])</f>
        <v>9411</v>
      </c>
      <c r="L167">
        <f>IF(Table2[[#This Row],[NeedsAttention]]=1,Table2[[#This Row],[End]],Table2[[#This Row],[EndN]])</f>
        <v>9475</v>
      </c>
      <c r="M167" t="b">
        <f>Table2[[#This Row],[Merged.Start]]=L166+1</f>
        <v>1</v>
      </c>
      <c r="O167">
        <f>Table2[[#This Row],[Section]]</f>
        <v>166</v>
      </c>
      <c r="P167">
        <f>Table2[[#This Row],[Canon]]</f>
        <v>1</v>
      </c>
      <c r="Q167" s="1" t="str">
        <f>Table2[[#This Row],[Reference]]</f>
        <v>16.13-16</v>
      </c>
      <c r="R167" t="str">
        <f>Table2[[#This Row],[StartR]]</f>
        <v>MAT 16:13</v>
      </c>
      <c r="S167" t="str">
        <f>Table2[[#This Row],[EndR]]</f>
        <v>MAT 16:16</v>
      </c>
      <c r="T167">
        <f>Table2[[#This Row],[Merged.Start]]</f>
        <v>9411</v>
      </c>
      <c r="U167">
        <f>Table2[[#This Row],[Merged.End]]</f>
        <v>9475</v>
      </c>
    </row>
    <row r="168" spans="1:21" x14ac:dyDescent="0.25">
      <c r="A168">
        <v>167</v>
      </c>
      <c r="B168">
        <v>10</v>
      </c>
      <c r="C168" s="1" t="s">
        <v>391</v>
      </c>
      <c r="D168" t="s">
        <v>392</v>
      </c>
      <c r="E168" t="s">
        <v>393</v>
      </c>
      <c r="F168">
        <v>9476</v>
      </c>
      <c r="G168">
        <v>9555</v>
      </c>
      <c r="H168">
        <v>0</v>
      </c>
      <c r="K168">
        <f>IF(Table2[[#This Row],[NeedsAttention]]=1,Table2[[#This Row],[Start]],Table2[[#This Row],[StartN]])</f>
        <v>9476</v>
      </c>
      <c r="L168">
        <f>IF(Table2[[#This Row],[NeedsAttention]]=1,Table2[[#This Row],[End]],Table2[[#This Row],[EndN]])</f>
        <v>9555</v>
      </c>
      <c r="M168" t="b">
        <f>Table2[[#This Row],[Merged.Start]]=L167+1</f>
        <v>1</v>
      </c>
      <c r="O168">
        <f>Table2[[#This Row],[Section]]</f>
        <v>167</v>
      </c>
      <c r="P168">
        <f>Table2[[#This Row],[Canon]]</f>
        <v>10</v>
      </c>
      <c r="Q168" s="1" t="str">
        <f>Table2[[#This Row],[Reference]]</f>
        <v>16.17-19</v>
      </c>
      <c r="R168" t="str">
        <f>Table2[[#This Row],[StartR]]</f>
        <v>MAT 16:17</v>
      </c>
      <c r="S168" t="str">
        <f>Table2[[#This Row],[EndR]]</f>
        <v>MAT 16:19</v>
      </c>
      <c r="T168">
        <f>Table2[[#This Row],[Merged.Start]]</f>
        <v>9476</v>
      </c>
      <c r="U168">
        <f>Table2[[#This Row],[Merged.End]]</f>
        <v>9555</v>
      </c>
    </row>
    <row r="169" spans="1:21" x14ac:dyDescent="0.25">
      <c r="A169">
        <v>168</v>
      </c>
      <c r="B169">
        <v>2</v>
      </c>
      <c r="C169" s="1" t="s">
        <v>394</v>
      </c>
      <c r="D169" t="s">
        <v>395</v>
      </c>
      <c r="E169" t="s">
        <v>396</v>
      </c>
      <c r="F169">
        <v>9556</v>
      </c>
      <c r="G169">
        <v>9599</v>
      </c>
      <c r="H169">
        <v>0</v>
      </c>
      <c r="K169">
        <f>IF(Table2[[#This Row],[NeedsAttention]]=1,Table2[[#This Row],[Start]],Table2[[#This Row],[StartN]])</f>
        <v>9556</v>
      </c>
      <c r="L169">
        <f>IF(Table2[[#This Row],[NeedsAttention]]=1,Table2[[#This Row],[End]],Table2[[#This Row],[EndN]])</f>
        <v>9599</v>
      </c>
      <c r="M169" t="b">
        <f>Table2[[#This Row],[Merged.Start]]=L168+1</f>
        <v>1</v>
      </c>
      <c r="O169">
        <f>Table2[[#This Row],[Section]]</f>
        <v>168</v>
      </c>
      <c r="P169">
        <f>Table2[[#This Row],[Canon]]</f>
        <v>2</v>
      </c>
      <c r="Q169" s="1" t="str">
        <f>Table2[[#This Row],[Reference]]</f>
        <v>16.20-21</v>
      </c>
      <c r="R169" t="str">
        <f>Table2[[#This Row],[StartR]]</f>
        <v>MAT 16:20</v>
      </c>
      <c r="S169" t="str">
        <f>Table2[[#This Row],[EndR]]</f>
        <v>MAT 16:21</v>
      </c>
      <c r="T169">
        <f>Table2[[#This Row],[Merged.Start]]</f>
        <v>9556</v>
      </c>
      <c r="U169">
        <f>Table2[[#This Row],[Merged.End]]</f>
        <v>9599</v>
      </c>
    </row>
    <row r="170" spans="1:21" x14ac:dyDescent="0.25">
      <c r="A170">
        <v>169</v>
      </c>
      <c r="B170">
        <v>6</v>
      </c>
      <c r="C170" s="1" t="s">
        <v>397</v>
      </c>
      <c r="D170" t="s">
        <v>398</v>
      </c>
      <c r="E170" t="s">
        <v>399</v>
      </c>
      <c r="F170">
        <v>9600</v>
      </c>
      <c r="G170">
        <v>9639</v>
      </c>
      <c r="H170">
        <v>0</v>
      </c>
      <c r="K170">
        <f>IF(Table2[[#This Row],[NeedsAttention]]=1,Table2[[#This Row],[Start]],Table2[[#This Row],[StartN]])</f>
        <v>9600</v>
      </c>
      <c r="L170">
        <f>IF(Table2[[#This Row],[NeedsAttention]]=1,Table2[[#This Row],[End]],Table2[[#This Row],[EndN]])</f>
        <v>9639</v>
      </c>
      <c r="M170" t="b">
        <f>Table2[[#This Row],[Merged.Start]]=L169+1</f>
        <v>1</v>
      </c>
      <c r="O170">
        <f>Table2[[#This Row],[Section]]</f>
        <v>169</v>
      </c>
      <c r="P170">
        <f>Table2[[#This Row],[Canon]]</f>
        <v>6</v>
      </c>
      <c r="Q170" s="1" t="str">
        <f>Table2[[#This Row],[Reference]]</f>
        <v>16.22-23</v>
      </c>
      <c r="R170" t="str">
        <f>Table2[[#This Row],[StartR]]</f>
        <v>MAT 16:22</v>
      </c>
      <c r="S170" t="str">
        <f>Table2[[#This Row],[EndR]]</f>
        <v>MAT 16:23</v>
      </c>
      <c r="T170">
        <f>Table2[[#This Row],[Merged.Start]]</f>
        <v>9600</v>
      </c>
      <c r="U170">
        <f>Table2[[#This Row],[Merged.End]]</f>
        <v>9639</v>
      </c>
    </row>
    <row r="171" spans="1:21" x14ac:dyDescent="0.25">
      <c r="A171">
        <v>170</v>
      </c>
      <c r="B171">
        <v>2</v>
      </c>
      <c r="C171" s="1" t="s">
        <v>400</v>
      </c>
      <c r="D171" t="s">
        <v>401</v>
      </c>
      <c r="E171" t="s">
        <v>402</v>
      </c>
      <c r="F171">
        <v>9640</v>
      </c>
      <c r="G171">
        <v>9705</v>
      </c>
      <c r="H171">
        <v>0</v>
      </c>
      <c r="K171">
        <f>IF(Table2[[#This Row],[NeedsAttention]]=1,Table2[[#This Row],[Start]],Table2[[#This Row],[StartN]])</f>
        <v>9640</v>
      </c>
      <c r="L171">
        <f>IF(Table2[[#This Row],[NeedsAttention]]=1,Table2[[#This Row],[End]],Table2[[#This Row],[EndN]])</f>
        <v>9705</v>
      </c>
      <c r="M171" t="b">
        <f>Table2[[#This Row],[Merged.Start]]=L170+1</f>
        <v>1</v>
      </c>
      <c r="O171">
        <f>Table2[[#This Row],[Section]]</f>
        <v>170</v>
      </c>
      <c r="P171">
        <f>Table2[[#This Row],[Canon]]</f>
        <v>2</v>
      </c>
      <c r="Q171" s="1" t="str">
        <f>Table2[[#This Row],[Reference]]</f>
        <v>16.24-26</v>
      </c>
      <c r="R171" t="str">
        <f>Table2[[#This Row],[StartR]]</f>
        <v>MAT 16:24</v>
      </c>
      <c r="S171" t="str">
        <f>Table2[[#This Row],[EndR]]</f>
        <v>MAT 16:26</v>
      </c>
      <c r="T171">
        <f>Table2[[#This Row],[Merged.Start]]</f>
        <v>9640</v>
      </c>
      <c r="U171">
        <f>Table2[[#This Row],[Merged.End]]</f>
        <v>9705</v>
      </c>
    </row>
    <row r="172" spans="1:21" x14ac:dyDescent="0.25">
      <c r="A172">
        <v>171</v>
      </c>
      <c r="B172">
        <v>10</v>
      </c>
      <c r="C172" s="1">
        <v>16.27</v>
      </c>
      <c r="D172" t="s">
        <v>403</v>
      </c>
      <c r="E172" t="s">
        <v>403</v>
      </c>
      <c r="F172">
        <v>9706</v>
      </c>
      <c r="G172">
        <v>9730</v>
      </c>
      <c r="H172">
        <v>0</v>
      </c>
      <c r="K172">
        <f>IF(Table2[[#This Row],[NeedsAttention]]=1,Table2[[#This Row],[Start]],Table2[[#This Row],[StartN]])</f>
        <v>9706</v>
      </c>
      <c r="L172">
        <f>IF(Table2[[#This Row],[NeedsAttention]]=1,Table2[[#This Row],[End]],Table2[[#This Row],[EndN]])</f>
        <v>9730</v>
      </c>
      <c r="M172" t="b">
        <f>Table2[[#This Row],[Merged.Start]]=L171+1</f>
        <v>1</v>
      </c>
      <c r="O172">
        <f>Table2[[#This Row],[Section]]</f>
        <v>171</v>
      </c>
      <c r="P172">
        <f>Table2[[#This Row],[Canon]]</f>
        <v>10</v>
      </c>
      <c r="Q172" s="1">
        <f>Table2[[#This Row],[Reference]]</f>
        <v>16.27</v>
      </c>
      <c r="R172" t="str">
        <f>Table2[[#This Row],[StartR]]</f>
        <v>MAT 16:27</v>
      </c>
      <c r="S172" t="str">
        <f>Table2[[#This Row],[EndR]]</f>
        <v>MAT 16:27</v>
      </c>
      <c r="T172">
        <f>Table2[[#This Row],[Merged.Start]]</f>
        <v>9706</v>
      </c>
      <c r="U172">
        <f>Table2[[#This Row],[Merged.End]]</f>
        <v>9730</v>
      </c>
    </row>
    <row r="173" spans="1:21" x14ac:dyDescent="0.25">
      <c r="A173">
        <v>172</v>
      </c>
      <c r="B173">
        <v>2</v>
      </c>
      <c r="C173" s="1" t="s">
        <v>404</v>
      </c>
      <c r="D173" t="s">
        <v>405</v>
      </c>
      <c r="E173" t="s">
        <v>406</v>
      </c>
      <c r="F173">
        <v>9731</v>
      </c>
      <c r="G173">
        <v>9924</v>
      </c>
      <c r="H173">
        <v>0</v>
      </c>
      <c r="K173">
        <f>IF(Table2[[#This Row],[NeedsAttention]]=1,Table2[[#This Row],[Start]],Table2[[#This Row],[StartN]])</f>
        <v>9731</v>
      </c>
      <c r="L173">
        <f>IF(Table2[[#This Row],[NeedsAttention]]=1,Table2[[#This Row],[End]],Table2[[#This Row],[EndN]])</f>
        <v>9924</v>
      </c>
      <c r="M173" t="b">
        <f>Table2[[#This Row],[Merged.Start]]=L172+1</f>
        <v>1</v>
      </c>
      <c r="O173">
        <f>Table2[[#This Row],[Section]]</f>
        <v>172</v>
      </c>
      <c r="P173">
        <f>Table2[[#This Row],[Canon]]</f>
        <v>2</v>
      </c>
      <c r="Q173" s="1" t="str">
        <f>Table2[[#This Row],[Reference]]</f>
        <v>16.28-17.9</v>
      </c>
      <c r="R173" t="str">
        <f>Table2[[#This Row],[StartR]]</f>
        <v>MAT 16:28</v>
      </c>
      <c r="S173" t="str">
        <f>Table2[[#This Row],[EndR]]</f>
        <v>MAT 17:9</v>
      </c>
      <c r="T173">
        <f>Table2[[#This Row],[Merged.Start]]</f>
        <v>9731</v>
      </c>
      <c r="U173">
        <f>Table2[[#This Row],[Merged.End]]</f>
        <v>9924</v>
      </c>
    </row>
    <row r="174" spans="1:21" x14ac:dyDescent="0.25">
      <c r="A174">
        <v>173</v>
      </c>
      <c r="B174">
        <v>6</v>
      </c>
      <c r="C174" s="1" t="s">
        <v>407</v>
      </c>
      <c r="D174" t="s">
        <v>408</v>
      </c>
      <c r="E174" t="s">
        <v>409</v>
      </c>
      <c r="F174">
        <v>9925</v>
      </c>
      <c r="G174">
        <v>9988</v>
      </c>
      <c r="H174">
        <v>0</v>
      </c>
      <c r="K174">
        <f>IF(Table2[[#This Row],[NeedsAttention]]=1,Table2[[#This Row],[Start]],Table2[[#This Row],[StartN]])</f>
        <v>9925</v>
      </c>
      <c r="L174">
        <f>IF(Table2[[#This Row],[NeedsAttention]]=1,Table2[[#This Row],[End]],Table2[[#This Row],[EndN]])</f>
        <v>9988</v>
      </c>
      <c r="M174" t="b">
        <f>Table2[[#This Row],[Merged.Start]]=L173+1</f>
        <v>1</v>
      </c>
      <c r="O174">
        <f>Table2[[#This Row],[Section]]</f>
        <v>173</v>
      </c>
      <c r="P174">
        <f>Table2[[#This Row],[Canon]]</f>
        <v>6</v>
      </c>
      <c r="Q174" s="1" t="str">
        <f>Table2[[#This Row],[Reference]]</f>
        <v>17.10-13</v>
      </c>
      <c r="R174" t="str">
        <f>Table2[[#This Row],[StartR]]</f>
        <v>MAT 17:10</v>
      </c>
      <c r="S174" t="str">
        <f>Table2[[#This Row],[EndR]]</f>
        <v>MAT 17:13</v>
      </c>
      <c r="T174">
        <f>Table2[[#This Row],[Merged.Start]]</f>
        <v>9925</v>
      </c>
      <c r="U174">
        <f>Table2[[#This Row],[Merged.End]]</f>
        <v>9988</v>
      </c>
    </row>
    <row r="175" spans="1:21" x14ac:dyDescent="0.25">
      <c r="A175">
        <v>174</v>
      </c>
      <c r="B175">
        <v>2</v>
      </c>
      <c r="C175" s="1" t="s">
        <v>410</v>
      </c>
      <c r="D175" t="s">
        <v>411</v>
      </c>
      <c r="E175" t="s">
        <v>412</v>
      </c>
      <c r="F175">
        <v>9989</v>
      </c>
      <c r="G175">
        <v>10074</v>
      </c>
      <c r="H175">
        <v>0</v>
      </c>
      <c r="K175">
        <f>IF(Table2[[#This Row],[NeedsAttention]]=1,Table2[[#This Row],[Start]],Table2[[#This Row],[StartN]])</f>
        <v>9989</v>
      </c>
      <c r="L175">
        <f>IF(Table2[[#This Row],[NeedsAttention]]=1,Table2[[#This Row],[End]],Table2[[#This Row],[EndN]])</f>
        <v>10074</v>
      </c>
      <c r="M175" t="b">
        <f>Table2[[#This Row],[Merged.Start]]=L174+1</f>
        <v>1</v>
      </c>
      <c r="O175">
        <f>Table2[[#This Row],[Section]]</f>
        <v>174</v>
      </c>
      <c r="P175">
        <f>Table2[[#This Row],[Canon]]</f>
        <v>2</v>
      </c>
      <c r="Q175" s="1" t="str">
        <f>Table2[[#This Row],[Reference]]</f>
        <v>17.14-18</v>
      </c>
      <c r="R175" t="str">
        <f>Table2[[#This Row],[StartR]]</f>
        <v>MAT 17:14</v>
      </c>
      <c r="S175" t="str">
        <f>Table2[[#This Row],[EndR]]</f>
        <v>MAT 17:18</v>
      </c>
      <c r="T175">
        <f>Table2[[#This Row],[Merged.Start]]</f>
        <v>9989</v>
      </c>
      <c r="U175">
        <f>Table2[[#This Row],[Merged.End]]</f>
        <v>10074</v>
      </c>
    </row>
    <row r="176" spans="1:21" x14ac:dyDescent="0.25">
      <c r="A176">
        <v>175</v>
      </c>
      <c r="B176">
        <v>5</v>
      </c>
      <c r="C176" s="1" t="s">
        <v>413</v>
      </c>
      <c r="D176" t="s">
        <v>414</v>
      </c>
      <c r="E176" t="s">
        <v>415</v>
      </c>
      <c r="F176">
        <v>10075</v>
      </c>
      <c r="G176">
        <v>10121</v>
      </c>
      <c r="H176">
        <v>0</v>
      </c>
      <c r="K176">
        <f>IF(Table2[[#This Row],[NeedsAttention]]=1,Table2[[#This Row],[Start]],Table2[[#This Row],[StartN]])</f>
        <v>10075</v>
      </c>
      <c r="L176">
        <f>IF(Table2[[#This Row],[NeedsAttention]]=1,Table2[[#This Row],[End]],Table2[[#This Row],[EndN]])</f>
        <v>10121</v>
      </c>
      <c r="M176" t="b">
        <f>Table2[[#This Row],[Merged.Start]]=L175+1</f>
        <v>1</v>
      </c>
      <c r="O176">
        <f>Table2[[#This Row],[Section]]</f>
        <v>175</v>
      </c>
      <c r="P176">
        <f>Table2[[#This Row],[Canon]]</f>
        <v>5</v>
      </c>
      <c r="Q176" s="1" t="str">
        <f>Table2[[#This Row],[Reference]]</f>
        <v>17.19-21</v>
      </c>
      <c r="R176" t="str">
        <f>Table2[[#This Row],[StartR]]</f>
        <v>MAT 17:19</v>
      </c>
      <c r="S176" t="str">
        <f>Table2[[#This Row],[EndR]]</f>
        <v>MAT 17:21</v>
      </c>
      <c r="T176">
        <f>Table2[[#This Row],[Merged.Start]]</f>
        <v>10075</v>
      </c>
      <c r="U176">
        <f>Table2[[#This Row],[Merged.End]]</f>
        <v>10121</v>
      </c>
    </row>
    <row r="177" spans="1:21" x14ac:dyDescent="0.25">
      <c r="A177">
        <v>176</v>
      </c>
      <c r="B177">
        <v>2</v>
      </c>
      <c r="C177" s="1" t="s">
        <v>416</v>
      </c>
      <c r="D177" t="s">
        <v>417</v>
      </c>
      <c r="E177" t="s">
        <v>418</v>
      </c>
      <c r="F177">
        <v>10122</v>
      </c>
      <c r="G177">
        <v>10151</v>
      </c>
      <c r="H177">
        <v>0</v>
      </c>
      <c r="K177">
        <f>IF(Table2[[#This Row],[NeedsAttention]]=1,Table2[[#This Row],[Start]],Table2[[#This Row],[StartN]])</f>
        <v>10122</v>
      </c>
      <c r="L177">
        <f>IF(Table2[[#This Row],[NeedsAttention]]=1,Table2[[#This Row],[End]],Table2[[#This Row],[EndN]])</f>
        <v>10151</v>
      </c>
      <c r="M177" t="b">
        <f>Table2[[#This Row],[Merged.Start]]=L176+1</f>
        <v>1</v>
      </c>
      <c r="O177">
        <f>Table2[[#This Row],[Section]]</f>
        <v>176</v>
      </c>
      <c r="P177">
        <f>Table2[[#This Row],[Canon]]</f>
        <v>2</v>
      </c>
      <c r="Q177" s="1" t="str">
        <f>Table2[[#This Row],[Reference]]</f>
        <v>17.22-23</v>
      </c>
      <c r="R177" t="str">
        <f>Table2[[#This Row],[StartR]]</f>
        <v>MAT 17:22</v>
      </c>
      <c r="S177" t="str">
        <f>Table2[[#This Row],[EndR]]</f>
        <v>MAT 17:23</v>
      </c>
      <c r="T177">
        <f>Table2[[#This Row],[Merged.Start]]</f>
        <v>10122</v>
      </c>
      <c r="U177">
        <f>Table2[[#This Row],[Merged.End]]</f>
        <v>10151</v>
      </c>
    </row>
    <row r="178" spans="1:21" x14ac:dyDescent="0.25">
      <c r="A178">
        <v>177</v>
      </c>
      <c r="B178">
        <v>10</v>
      </c>
      <c r="C178" s="1" t="s">
        <v>419</v>
      </c>
      <c r="D178" t="s">
        <v>420</v>
      </c>
      <c r="E178" t="s">
        <v>421</v>
      </c>
      <c r="F178">
        <v>10152</v>
      </c>
      <c r="G178">
        <v>10252</v>
      </c>
      <c r="H178">
        <v>0</v>
      </c>
      <c r="K178">
        <f>IF(Table2[[#This Row],[NeedsAttention]]=1,Table2[[#This Row],[Start]],Table2[[#This Row],[StartN]])</f>
        <v>10152</v>
      </c>
      <c r="L178">
        <f>IF(Table2[[#This Row],[NeedsAttention]]=1,Table2[[#This Row],[End]],Table2[[#This Row],[EndN]])</f>
        <v>10252</v>
      </c>
      <c r="M178" t="b">
        <f>Table2[[#This Row],[Merged.Start]]=L177+1</f>
        <v>1</v>
      </c>
      <c r="O178">
        <f>Table2[[#This Row],[Section]]</f>
        <v>177</v>
      </c>
      <c r="P178">
        <f>Table2[[#This Row],[Canon]]</f>
        <v>10</v>
      </c>
      <c r="Q178" s="1" t="str">
        <f>Table2[[#This Row],[Reference]]</f>
        <v>17.24-27</v>
      </c>
      <c r="R178" t="str">
        <f>Table2[[#This Row],[StartR]]</f>
        <v>MAT 17:24</v>
      </c>
      <c r="S178" t="str">
        <f>Table2[[#This Row],[EndR]]</f>
        <v>MAT 17:27</v>
      </c>
      <c r="T178">
        <f>Table2[[#This Row],[Merged.Start]]</f>
        <v>10152</v>
      </c>
      <c r="U178">
        <f>Table2[[#This Row],[Merged.End]]</f>
        <v>10252</v>
      </c>
    </row>
    <row r="179" spans="1:21" x14ac:dyDescent="0.25">
      <c r="A179">
        <v>178</v>
      </c>
      <c r="B179">
        <v>2</v>
      </c>
      <c r="C179" s="1" t="s">
        <v>422</v>
      </c>
      <c r="D179" t="s">
        <v>423</v>
      </c>
      <c r="E179" t="s">
        <v>424</v>
      </c>
      <c r="F179">
        <v>10253</v>
      </c>
      <c r="G179">
        <v>10330</v>
      </c>
      <c r="H179">
        <v>0</v>
      </c>
      <c r="K179">
        <f>IF(Table2[[#This Row],[NeedsAttention]]=1,Table2[[#This Row],[Start]],Table2[[#This Row],[StartN]])</f>
        <v>10253</v>
      </c>
      <c r="L179">
        <f>IF(Table2[[#This Row],[NeedsAttention]]=1,Table2[[#This Row],[End]],Table2[[#This Row],[EndN]])</f>
        <v>10330</v>
      </c>
      <c r="M179" t="b">
        <f>Table2[[#This Row],[Merged.Start]]=L178+1</f>
        <v>1</v>
      </c>
      <c r="O179">
        <f>Table2[[#This Row],[Section]]</f>
        <v>178</v>
      </c>
      <c r="P179">
        <f>Table2[[#This Row],[Canon]]</f>
        <v>2</v>
      </c>
      <c r="Q179" s="1" t="str">
        <f>Table2[[#This Row],[Reference]]</f>
        <v>18.1-5</v>
      </c>
      <c r="R179" t="str">
        <f>Table2[[#This Row],[StartR]]</f>
        <v>MAT 18:1</v>
      </c>
      <c r="S179" t="str">
        <f>Table2[[#This Row],[EndR]]</f>
        <v>MAT 18:5</v>
      </c>
      <c r="T179">
        <f>Table2[[#This Row],[Merged.Start]]</f>
        <v>10253</v>
      </c>
      <c r="U179">
        <f>Table2[[#This Row],[Merged.End]]</f>
        <v>10330</v>
      </c>
    </row>
    <row r="180" spans="1:21" x14ac:dyDescent="0.25">
      <c r="A180">
        <v>179</v>
      </c>
      <c r="B180">
        <v>2</v>
      </c>
      <c r="C180" s="1" t="s">
        <v>425</v>
      </c>
      <c r="D180" t="s">
        <v>426</v>
      </c>
      <c r="E180" t="s">
        <v>427</v>
      </c>
      <c r="F180">
        <v>10331</v>
      </c>
      <c r="G180">
        <v>10379</v>
      </c>
      <c r="H180">
        <v>0</v>
      </c>
      <c r="K180">
        <f>IF(Table2[[#This Row],[NeedsAttention]]=1,Table2[[#This Row],[Start]],Table2[[#This Row],[StartN]])</f>
        <v>10331</v>
      </c>
      <c r="L180">
        <f>IF(Table2[[#This Row],[NeedsAttention]]=1,Table2[[#This Row],[End]],Table2[[#This Row],[EndN]])</f>
        <v>10379</v>
      </c>
      <c r="M180" t="b">
        <f>Table2[[#This Row],[Merged.Start]]=L179+1</f>
        <v>1</v>
      </c>
      <c r="O180">
        <f>Table2[[#This Row],[Section]]</f>
        <v>179</v>
      </c>
      <c r="P180">
        <f>Table2[[#This Row],[Canon]]</f>
        <v>2</v>
      </c>
      <c r="Q180" s="1" t="str">
        <f>Table2[[#This Row],[Reference]]</f>
        <v>18.6-7</v>
      </c>
      <c r="R180" t="str">
        <f>Table2[[#This Row],[StartR]]</f>
        <v>MAT 18:6</v>
      </c>
      <c r="S180" t="str">
        <f>Table2[[#This Row],[EndR]]</f>
        <v>MAT 18:7</v>
      </c>
      <c r="T180">
        <f>Table2[[#This Row],[Merged.Start]]</f>
        <v>10331</v>
      </c>
      <c r="U180">
        <f>Table2[[#This Row],[Merged.End]]</f>
        <v>10379</v>
      </c>
    </row>
    <row r="181" spans="1:21" x14ac:dyDescent="0.25">
      <c r="A181">
        <v>180</v>
      </c>
      <c r="B181">
        <v>6</v>
      </c>
      <c r="C181" s="1" t="s">
        <v>428</v>
      </c>
      <c r="D181" t="s">
        <v>429</v>
      </c>
      <c r="E181" t="s">
        <v>430</v>
      </c>
      <c r="F181">
        <v>10380</v>
      </c>
      <c r="G181">
        <v>10450</v>
      </c>
      <c r="H181">
        <v>0</v>
      </c>
      <c r="K181">
        <f>IF(Table2[[#This Row],[NeedsAttention]]=1,Table2[[#This Row],[Start]],Table2[[#This Row],[StartN]])</f>
        <v>10380</v>
      </c>
      <c r="L181">
        <f>IF(Table2[[#This Row],[NeedsAttention]]=1,Table2[[#This Row],[End]],Table2[[#This Row],[EndN]])</f>
        <v>10450</v>
      </c>
      <c r="M181" t="b">
        <f>Table2[[#This Row],[Merged.Start]]=L180+1</f>
        <v>1</v>
      </c>
      <c r="O181">
        <f>Table2[[#This Row],[Section]]</f>
        <v>180</v>
      </c>
      <c r="P181">
        <f>Table2[[#This Row],[Canon]]</f>
        <v>6</v>
      </c>
      <c r="Q181" s="1" t="str">
        <f>Table2[[#This Row],[Reference]]</f>
        <v>18.8-9</v>
      </c>
      <c r="R181" t="str">
        <f>Table2[[#This Row],[StartR]]</f>
        <v>MAT 18:8</v>
      </c>
      <c r="S181" t="str">
        <f>Table2[[#This Row],[EndR]]</f>
        <v>MAT 18:9</v>
      </c>
      <c r="T181">
        <f>Table2[[#This Row],[Merged.Start]]</f>
        <v>10380</v>
      </c>
      <c r="U181">
        <f>Table2[[#This Row],[Merged.End]]</f>
        <v>10450</v>
      </c>
    </row>
    <row r="182" spans="1:21" x14ac:dyDescent="0.25">
      <c r="A182">
        <v>181</v>
      </c>
      <c r="B182">
        <v>10</v>
      </c>
      <c r="C182" s="1" t="s">
        <v>431</v>
      </c>
      <c r="D182" t="s">
        <v>2552</v>
      </c>
      <c r="E182" t="s">
        <v>2553</v>
      </c>
      <c r="F182">
        <v>0</v>
      </c>
      <c r="G182">
        <v>0</v>
      </c>
      <c r="H182">
        <v>1</v>
      </c>
      <c r="I182">
        <v>10451</v>
      </c>
      <c r="J182">
        <v>10477</v>
      </c>
      <c r="K182">
        <f>IF(Table2[[#This Row],[NeedsAttention]]=1,Table2[[#This Row],[Start]],Table2[[#This Row],[StartN]])</f>
        <v>10451</v>
      </c>
      <c r="L182">
        <f>IF(Table2[[#This Row],[NeedsAttention]]=1,Table2[[#This Row],[End]],Table2[[#This Row],[EndN]])</f>
        <v>10477</v>
      </c>
      <c r="M182" t="b">
        <f>Table2[[#This Row],[Merged.Start]]=L181+1</f>
        <v>1</v>
      </c>
      <c r="O182">
        <f>Table2[[#This Row],[Section]]</f>
        <v>181</v>
      </c>
      <c r="P182">
        <f>Table2[[#This Row],[Canon]]</f>
        <v>10</v>
      </c>
      <c r="Q182" s="1" t="str">
        <f>Table2[[#This Row],[Reference]]</f>
        <v>18.10 (-11, in note)</v>
      </c>
      <c r="R182" t="str">
        <f>Table2[[#This Row],[StartR]]</f>
        <v>MAT 18:10</v>
      </c>
      <c r="S182" t="str">
        <f>Table2[[#This Row],[EndR]]</f>
        <v>MAT 18:11</v>
      </c>
      <c r="T182">
        <f>Table2[[#This Row],[Merged.Start]]</f>
        <v>10451</v>
      </c>
      <c r="U182">
        <f>Table2[[#This Row],[Merged.End]]</f>
        <v>10477</v>
      </c>
    </row>
    <row r="183" spans="1:21" x14ac:dyDescent="0.25">
      <c r="A183">
        <v>182</v>
      </c>
      <c r="B183">
        <v>5</v>
      </c>
      <c r="C183" s="1" t="s">
        <v>432</v>
      </c>
      <c r="D183" t="s">
        <v>433</v>
      </c>
      <c r="E183" t="s">
        <v>434</v>
      </c>
      <c r="F183">
        <v>10478</v>
      </c>
      <c r="G183">
        <v>10542</v>
      </c>
      <c r="H183">
        <v>0</v>
      </c>
      <c r="K183">
        <f>IF(Table2[[#This Row],[NeedsAttention]]=1,Table2[[#This Row],[Start]],Table2[[#This Row],[StartN]])</f>
        <v>10478</v>
      </c>
      <c r="L183">
        <f>IF(Table2[[#This Row],[NeedsAttention]]=1,Table2[[#This Row],[End]],Table2[[#This Row],[EndN]])</f>
        <v>10542</v>
      </c>
      <c r="M183" t="b">
        <f>Table2[[#This Row],[Merged.Start]]=L182+1</f>
        <v>1</v>
      </c>
      <c r="O183">
        <f>Table2[[#This Row],[Section]]</f>
        <v>182</v>
      </c>
      <c r="P183">
        <f>Table2[[#This Row],[Canon]]</f>
        <v>5</v>
      </c>
      <c r="Q183" s="1" t="str">
        <f>Table2[[#This Row],[Reference]]</f>
        <v>18.12-14</v>
      </c>
      <c r="R183" t="str">
        <f>Table2[[#This Row],[StartR]]</f>
        <v>MAT 18:12</v>
      </c>
      <c r="S183" t="str">
        <f>Table2[[#This Row],[EndR]]</f>
        <v>MAT 18:14</v>
      </c>
      <c r="T183">
        <f>Table2[[#This Row],[Merged.Start]]</f>
        <v>10478</v>
      </c>
      <c r="U183">
        <f>Table2[[#This Row],[Merged.End]]</f>
        <v>10542</v>
      </c>
    </row>
    <row r="184" spans="1:21" x14ac:dyDescent="0.25">
      <c r="A184">
        <v>183</v>
      </c>
      <c r="B184">
        <v>5</v>
      </c>
      <c r="C184" s="1">
        <v>18.149999999999999</v>
      </c>
      <c r="D184" t="s">
        <v>435</v>
      </c>
      <c r="E184" t="s">
        <v>435</v>
      </c>
      <c r="F184">
        <v>10543</v>
      </c>
      <c r="G184">
        <v>10565</v>
      </c>
      <c r="H184">
        <v>0</v>
      </c>
      <c r="K184">
        <f>IF(Table2[[#This Row],[NeedsAttention]]=1,Table2[[#This Row],[Start]],Table2[[#This Row],[StartN]])</f>
        <v>10543</v>
      </c>
      <c r="L184">
        <f>IF(Table2[[#This Row],[NeedsAttention]]=1,Table2[[#This Row],[End]],Table2[[#This Row],[EndN]])</f>
        <v>10565</v>
      </c>
      <c r="M184" t="b">
        <f>Table2[[#This Row],[Merged.Start]]=L183+1</f>
        <v>1</v>
      </c>
      <c r="O184">
        <f>Table2[[#This Row],[Section]]</f>
        <v>183</v>
      </c>
      <c r="P184">
        <f>Table2[[#This Row],[Canon]]</f>
        <v>5</v>
      </c>
      <c r="Q184" s="1">
        <f>Table2[[#This Row],[Reference]]</f>
        <v>18.149999999999999</v>
      </c>
      <c r="R184" t="str">
        <f>Table2[[#This Row],[StartR]]</f>
        <v>MAT 18:15</v>
      </c>
      <c r="S184" t="str">
        <f>Table2[[#This Row],[EndR]]</f>
        <v>MAT 18:15</v>
      </c>
      <c r="T184">
        <f>Table2[[#This Row],[Merged.Start]]</f>
        <v>10543</v>
      </c>
      <c r="U184">
        <f>Table2[[#This Row],[Merged.End]]</f>
        <v>10565</v>
      </c>
    </row>
    <row r="185" spans="1:21" x14ac:dyDescent="0.25">
      <c r="A185">
        <v>184</v>
      </c>
      <c r="B185">
        <v>10</v>
      </c>
      <c r="C185" s="1" t="s">
        <v>436</v>
      </c>
      <c r="D185" t="s">
        <v>437</v>
      </c>
      <c r="E185" t="s">
        <v>438</v>
      </c>
      <c r="F185">
        <v>10566</v>
      </c>
      <c r="G185">
        <v>10607</v>
      </c>
      <c r="H185">
        <v>0</v>
      </c>
      <c r="K185">
        <f>IF(Table2[[#This Row],[NeedsAttention]]=1,Table2[[#This Row],[Start]],Table2[[#This Row],[StartN]])</f>
        <v>10566</v>
      </c>
      <c r="L185">
        <f>IF(Table2[[#This Row],[NeedsAttention]]=1,Table2[[#This Row],[End]],Table2[[#This Row],[EndN]])</f>
        <v>10607</v>
      </c>
      <c r="M185" t="b">
        <f>Table2[[#This Row],[Merged.Start]]=L184+1</f>
        <v>1</v>
      </c>
      <c r="O185">
        <f>Table2[[#This Row],[Section]]</f>
        <v>184</v>
      </c>
      <c r="P185">
        <f>Table2[[#This Row],[Canon]]</f>
        <v>10</v>
      </c>
      <c r="Q185" s="1" t="str">
        <f>Table2[[#This Row],[Reference]]</f>
        <v>18.16-17</v>
      </c>
      <c r="R185" t="str">
        <f>Table2[[#This Row],[StartR]]</f>
        <v>MAT 18:16</v>
      </c>
      <c r="S185" t="str">
        <f>Table2[[#This Row],[EndR]]</f>
        <v>MAT 18:17</v>
      </c>
      <c r="T185">
        <f>Table2[[#This Row],[Merged.Start]]</f>
        <v>10566</v>
      </c>
      <c r="U185">
        <f>Table2[[#This Row],[Merged.End]]</f>
        <v>10607</v>
      </c>
    </row>
    <row r="186" spans="1:21" x14ac:dyDescent="0.25">
      <c r="A186">
        <v>185</v>
      </c>
      <c r="B186">
        <v>7</v>
      </c>
      <c r="C186" s="1">
        <v>18.18</v>
      </c>
      <c r="D186" t="s">
        <v>439</v>
      </c>
      <c r="E186" t="s">
        <v>439</v>
      </c>
      <c r="F186">
        <v>10608</v>
      </c>
      <c r="G186">
        <v>10631</v>
      </c>
      <c r="H186">
        <v>0</v>
      </c>
      <c r="K186">
        <f>IF(Table2[[#This Row],[NeedsAttention]]=1,Table2[[#This Row],[Start]],Table2[[#This Row],[StartN]])</f>
        <v>10608</v>
      </c>
      <c r="L186">
        <f>IF(Table2[[#This Row],[NeedsAttention]]=1,Table2[[#This Row],[End]],Table2[[#This Row],[EndN]])</f>
        <v>10631</v>
      </c>
      <c r="M186" t="b">
        <f>Table2[[#This Row],[Merged.Start]]=L185+1</f>
        <v>1</v>
      </c>
      <c r="O186">
        <f>Table2[[#This Row],[Section]]</f>
        <v>185</v>
      </c>
      <c r="P186">
        <f>Table2[[#This Row],[Canon]]</f>
        <v>7</v>
      </c>
      <c r="Q186" s="1">
        <f>Table2[[#This Row],[Reference]]</f>
        <v>18.18</v>
      </c>
      <c r="R186" t="str">
        <f>Table2[[#This Row],[StartR]]</f>
        <v>MAT 18:18</v>
      </c>
      <c r="S186" t="str">
        <f>Table2[[#This Row],[EndR]]</f>
        <v>MAT 18:18</v>
      </c>
      <c r="T186">
        <f>Table2[[#This Row],[Merged.Start]]</f>
        <v>10608</v>
      </c>
      <c r="U186">
        <f>Table2[[#This Row],[Merged.End]]</f>
        <v>10631</v>
      </c>
    </row>
    <row r="187" spans="1:21" x14ac:dyDescent="0.25">
      <c r="A187">
        <v>186</v>
      </c>
      <c r="B187">
        <v>10</v>
      </c>
      <c r="C187" s="1" t="s">
        <v>440</v>
      </c>
      <c r="D187" t="s">
        <v>441</v>
      </c>
      <c r="E187" t="s">
        <v>442</v>
      </c>
      <c r="F187">
        <v>10632</v>
      </c>
      <c r="G187">
        <v>10675</v>
      </c>
      <c r="H187">
        <v>0</v>
      </c>
      <c r="K187">
        <f>IF(Table2[[#This Row],[NeedsAttention]]=1,Table2[[#This Row],[Start]],Table2[[#This Row],[StartN]])</f>
        <v>10632</v>
      </c>
      <c r="L187">
        <f>IF(Table2[[#This Row],[NeedsAttention]]=1,Table2[[#This Row],[End]],Table2[[#This Row],[EndN]])</f>
        <v>10675</v>
      </c>
      <c r="M187" t="b">
        <f>Table2[[#This Row],[Merged.Start]]=L186+1</f>
        <v>1</v>
      </c>
      <c r="O187">
        <f>Table2[[#This Row],[Section]]</f>
        <v>186</v>
      </c>
      <c r="P187">
        <f>Table2[[#This Row],[Canon]]</f>
        <v>10</v>
      </c>
      <c r="Q187" s="1" t="str">
        <f>Table2[[#This Row],[Reference]]</f>
        <v>18.19-20</v>
      </c>
      <c r="R187" t="str">
        <f>Table2[[#This Row],[StartR]]</f>
        <v>MAT 18:19</v>
      </c>
      <c r="S187" t="str">
        <f>Table2[[#This Row],[EndR]]</f>
        <v>MAT 18:20</v>
      </c>
      <c r="T187">
        <f>Table2[[#This Row],[Merged.Start]]</f>
        <v>10632</v>
      </c>
      <c r="U187">
        <f>Table2[[#This Row],[Merged.End]]</f>
        <v>10675</v>
      </c>
    </row>
    <row r="188" spans="1:21" x14ac:dyDescent="0.25">
      <c r="A188">
        <v>187</v>
      </c>
      <c r="B188">
        <v>5</v>
      </c>
      <c r="C188" s="1" t="s">
        <v>443</v>
      </c>
      <c r="D188" t="s">
        <v>444</v>
      </c>
      <c r="E188" t="s">
        <v>445</v>
      </c>
      <c r="F188">
        <v>10676</v>
      </c>
      <c r="G188">
        <v>10707</v>
      </c>
      <c r="H188">
        <v>0</v>
      </c>
      <c r="K188">
        <f>IF(Table2[[#This Row],[NeedsAttention]]=1,Table2[[#This Row],[Start]],Table2[[#This Row],[StartN]])</f>
        <v>10676</v>
      </c>
      <c r="L188">
        <f>IF(Table2[[#This Row],[NeedsAttention]]=1,Table2[[#This Row],[End]],Table2[[#This Row],[EndN]])</f>
        <v>10707</v>
      </c>
      <c r="M188" t="b">
        <f>Table2[[#This Row],[Merged.Start]]=L187+1</f>
        <v>1</v>
      </c>
      <c r="O188">
        <f>Table2[[#This Row],[Section]]</f>
        <v>187</v>
      </c>
      <c r="P188">
        <f>Table2[[#This Row],[Canon]]</f>
        <v>5</v>
      </c>
      <c r="Q188" s="1" t="str">
        <f>Table2[[#This Row],[Reference]]</f>
        <v>18.21-22</v>
      </c>
      <c r="R188" t="str">
        <f>Table2[[#This Row],[StartR]]</f>
        <v>MAT 18:21</v>
      </c>
      <c r="S188" t="str">
        <f>Table2[[#This Row],[EndR]]</f>
        <v>MAT 18:22</v>
      </c>
      <c r="T188">
        <f>Table2[[#This Row],[Merged.Start]]</f>
        <v>10676</v>
      </c>
      <c r="U188">
        <f>Table2[[#This Row],[Merged.End]]</f>
        <v>10707</v>
      </c>
    </row>
    <row r="189" spans="1:21" x14ac:dyDescent="0.25">
      <c r="A189">
        <v>188</v>
      </c>
      <c r="B189">
        <v>10</v>
      </c>
      <c r="C189" s="1" t="s">
        <v>446</v>
      </c>
      <c r="D189" t="s">
        <v>447</v>
      </c>
      <c r="E189" t="s">
        <v>448</v>
      </c>
      <c r="F189">
        <v>10708</v>
      </c>
      <c r="G189">
        <v>10921</v>
      </c>
      <c r="H189">
        <v>0</v>
      </c>
      <c r="K189">
        <f>IF(Table2[[#This Row],[NeedsAttention]]=1,Table2[[#This Row],[Start]],Table2[[#This Row],[StartN]])</f>
        <v>10708</v>
      </c>
      <c r="L189">
        <f>IF(Table2[[#This Row],[NeedsAttention]]=1,Table2[[#This Row],[End]],Table2[[#This Row],[EndN]])</f>
        <v>10921</v>
      </c>
      <c r="M189" t="b">
        <f>Table2[[#This Row],[Merged.Start]]=L188+1</f>
        <v>1</v>
      </c>
      <c r="O189">
        <f>Table2[[#This Row],[Section]]</f>
        <v>188</v>
      </c>
      <c r="P189">
        <f>Table2[[#This Row],[Canon]]</f>
        <v>10</v>
      </c>
      <c r="Q189" s="1" t="str">
        <f>Table2[[#This Row],[Reference]]</f>
        <v>18.23-35</v>
      </c>
      <c r="R189" t="str">
        <f>Table2[[#This Row],[StartR]]</f>
        <v>MAT 18:23</v>
      </c>
      <c r="S189" t="str">
        <f>Table2[[#This Row],[EndR]]</f>
        <v>MAT 18:35</v>
      </c>
      <c r="T189">
        <f>Table2[[#This Row],[Merged.Start]]</f>
        <v>10708</v>
      </c>
      <c r="U189">
        <f>Table2[[#This Row],[Merged.End]]</f>
        <v>10921</v>
      </c>
    </row>
    <row r="190" spans="1:21" x14ac:dyDescent="0.25">
      <c r="A190">
        <v>189</v>
      </c>
      <c r="B190">
        <v>6</v>
      </c>
      <c r="C190" s="1" t="s">
        <v>449</v>
      </c>
      <c r="D190" t="s">
        <v>450</v>
      </c>
      <c r="E190" t="s">
        <v>451</v>
      </c>
      <c r="F190">
        <v>10922</v>
      </c>
      <c r="G190">
        <v>11057</v>
      </c>
      <c r="H190">
        <v>0</v>
      </c>
      <c r="K190">
        <f>IF(Table2[[#This Row],[NeedsAttention]]=1,Table2[[#This Row],[Start]],Table2[[#This Row],[StartN]])</f>
        <v>10922</v>
      </c>
      <c r="L190">
        <f>IF(Table2[[#This Row],[NeedsAttention]]=1,Table2[[#This Row],[End]],Table2[[#This Row],[EndN]])</f>
        <v>11057</v>
      </c>
      <c r="M190" t="b">
        <f>Table2[[#This Row],[Merged.Start]]=L189+1</f>
        <v>1</v>
      </c>
      <c r="O190">
        <f>Table2[[#This Row],[Section]]</f>
        <v>189</v>
      </c>
      <c r="P190">
        <f>Table2[[#This Row],[Canon]]</f>
        <v>6</v>
      </c>
      <c r="Q190" s="1" t="str">
        <f>Table2[[#This Row],[Reference]]</f>
        <v>19.1-8</v>
      </c>
      <c r="R190" t="str">
        <f>Table2[[#This Row],[StartR]]</f>
        <v>MAT 19:1</v>
      </c>
      <c r="S190" t="str">
        <f>Table2[[#This Row],[EndR]]</f>
        <v>MAT 19:8</v>
      </c>
      <c r="T190">
        <f>Table2[[#This Row],[Merged.Start]]</f>
        <v>10922</v>
      </c>
      <c r="U190">
        <f>Table2[[#This Row],[Merged.End]]</f>
        <v>11057</v>
      </c>
    </row>
    <row r="191" spans="1:21" x14ac:dyDescent="0.25">
      <c r="A191">
        <v>190</v>
      </c>
      <c r="B191">
        <v>2</v>
      </c>
      <c r="C191" s="1">
        <v>19.899999999999999</v>
      </c>
      <c r="D191" t="s">
        <v>452</v>
      </c>
      <c r="E191" t="s">
        <v>452</v>
      </c>
      <c r="F191">
        <v>11058</v>
      </c>
      <c r="G191">
        <v>11079</v>
      </c>
      <c r="H191">
        <v>0</v>
      </c>
      <c r="K191">
        <f>IF(Table2[[#This Row],[NeedsAttention]]=1,Table2[[#This Row],[Start]],Table2[[#This Row],[StartN]])</f>
        <v>11058</v>
      </c>
      <c r="L191">
        <f>IF(Table2[[#This Row],[NeedsAttention]]=1,Table2[[#This Row],[End]],Table2[[#This Row],[EndN]])</f>
        <v>11079</v>
      </c>
      <c r="M191" t="b">
        <f>Table2[[#This Row],[Merged.Start]]=L190+1</f>
        <v>1</v>
      </c>
      <c r="O191">
        <f>Table2[[#This Row],[Section]]</f>
        <v>190</v>
      </c>
      <c r="P191">
        <f>Table2[[#This Row],[Canon]]</f>
        <v>2</v>
      </c>
      <c r="Q191" s="1">
        <f>Table2[[#This Row],[Reference]]</f>
        <v>19.899999999999999</v>
      </c>
      <c r="R191" t="str">
        <f>Table2[[#This Row],[StartR]]</f>
        <v>MAT 19:9</v>
      </c>
      <c r="S191" t="str">
        <f>Table2[[#This Row],[EndR]]</f>
        <v>MAT 19:9</v>
      </c>
      <c r="T191">
        <f>Table2[[#This Row],[Merged.Start]]</f>
        <v>11058</v>
      </c>
      <c r="U191">
        <f>Table2[[#This Row],[Merged.End]]</f>
        <v>11079</v>
      </c>
    </row>
    <row r="192" spans="1:21" x14ac:dyDescent="0.25">
      <c r="A192">
        <v>191</v>
      </c>
      <c r="B192">
        <v>10</v>
      </c>
      <c r="C192" s="1" t="s">
        <v>453</v>
      </c>
      <c r="D192" t="s">
        <v>454</v>
      </c>
      <c r="E192" t="s">
        <v>455</v>
      </c>
      <c r="F192">
        <v>11080</v>
      </c>
      <c r="G192">
        <v>11141</v>
      </c>
      <c r="H192">
        <v>0</v>
      </c>
      <c r="K192">
        <f>IF(Table2[[#This Row],[NeedsAttention]]=1,Table2[[#This Row],[Start]],Table2[[#This Row],[StartN]])</f>
        <v>11080</v>
      </c>
      <c r="L192">
        <f>IF(Table2[[#This Row],[NeedsAttention]]=1,Table2[[#This Row],[End]],Table2[[#This Row],[EndN]])</f>
        <v>11141</v>
      </c>
      <c r="M192" t="b">
        <f>Table2[[#This Row],[Merged.Start]]=L191+1</f>
        <v>1</v>
      </c>
      <c r="O192">
        <f>Table2[[#This Row],[Section]]</f>
        <v>191</v>
      </c>
      <c r="P192">
        <f>Table2[[#This Row],[Canon]]</f>
        <v>10</v>
      </c>
      <c r="Q192" s="1" t="str">
        <f>Table2[[#This Row],[Reference]]</f>
        <v>19.10-12</v>
      </c>
      <c r="R192" t="str">
        <f>Table2[[#This Row],[StartR]]</f>
        <v>MAT 19:10</v>
      </c>
      <c r="S192" t="str">
        <f>Table2[[#This Row],[EndR]]</f>
        <v>MAT 19:12</v>
      </c>
      <c r="T192">
        <f>Table2[[#This Row],[Merged.Start]]</f>
        <v>11080</v>
      </c>
      <c r="U192">
        <f>Table2[[#This Row],[Merged.End]]</f>
        <v>11141</v>
      </c>
    </row>
    <row r="193" spans="1:21" x14ac:dyDescent="0.25">
      <c r="A193">
        <v>192</v>
      </c>
      <c r="B193">
        <v>2</v>
      </c>
      <c r="C193" s="1" t="s">
        <v>456</v>
      </c>
      <c r="D193" t="s">
        <v>457</v>
      </c>
      <c r="E193" t="s">
        <v>458</v>
      </c>
      <c r="F193">
        <v>11142</v>
      </c>
      <c r="G193">
        <v>11186</v>
      </c>
      <c r="H193">
        <v>0</v>
      </c>
      <c r="K193">
        <f>IF(Table2[[#This Row],[NeedsAttention]]=1,Table2[[#This Row],[Start]],Table2[[#This Row],[StartN]])</f>
        <v>11142</v>
      </c>
      <c r="L193">
        <f>IF(Table2[[#This Row],[NeedsAttention]]=1,Table2[[#This Row],[End]],Table2[[#This Row],[EndN]])</f>
        <v>11186</v>
      </c>
      <c r="M193" t="b">
        <f>Table2[[#This Row],[Merged.Start]]=L192+1</f>
        <v>1</v>
      </c>
      <c r="O193">
        <f>Table2[[#This Row],[Section]]</f>
        <v>192</v>
      </c>
      <c r="P193">
        <f>Table2[[#This Row],[Canon]]</f>
        <v>2</v>
      </c>
      <c r="Q193" s="1" t="str">
        <f>Table2[[#This Row],[Reference]]</f>
        <v>19.13-15</v>
      </c>
      <c r="R193" t="str">
        <f>Table2[[#This Row],[StartR]]</f>
        <v>MAT 19:13</v>
      </c>
      <c r="S193" t="str">
        <f>Table2[[#This Row],[EndR]]</f>
        <v>MAT 19:15</v>
      </c>
      <c r="T193">
        <f>Table2[[#This Row],[Merged.Start]]</f>
        <v>11142</v>
      </c>
      <c r="U193">
        <f>Table2[[#This Row],[Merged.End]]</f>
        <v>11186</v>
      </c>
    </row>
    <row r="194" spans="1:21" x14ac:dyDescent="0.25">
      <c r="A194">
        <v>193</v>
      </c>
      <c r="B194">
        <v>2</v>
      </c>
      <c r="C194" s="1" t="s">
        <v>459</v>
      </c>
      <c r="D194" t="s">
        <v>460</v>
      </c>
      <c r="E194" t="s">
        <v>461</v>
      </c>
      <c r="F194">
        <v>11187</v>
      </c>
      <c r="G194">
        <v>11263</v>
      </c>
      <c r="H194">
        <v>0</v>
      </c>
      <c r="K194">
        <f>IF(Table2[[#This Row],[NeedsAttention]]=1,Table2[[#This Row],[Start]],Table2[[#This Row],[StartN]])</f>
        <v>11187</v>
      </c>
      <c r="L194">
        <f>IF(Table2[[#This Row],[NeedsAttention]]=1,Table2[[#This Row],[End]],Table2[[#This Row],[EndN]])</f>
        <v>11263</v>
      </c>
      <c r="M194" t="b">
        <f>Table2[[#This Row],[Merged.Start]]=L193+1</f>
        <v>1</v>
      </c>
      <c r="O194">
        <f>Table2[[#This Row],[Section]]</f>
        <v>193</v>
      </c>
      <c r="P194">
        <f>Table2[[#This Row],[Canon]]</f>
        <v>2</v>
      </c>
      <c r="Q194" s="1" t="str">
        <f>Table2[[#This Row],[Reference]]</f>
        <v>19.16-20</v>
      </c>
      <c r="R194" t="str">
        <f>Table2[[#This Row],[StartR]]</f>
        <v>MAT 19:16</v>
      </c>
      <c r="S194" t="str">
        <f>Table2[[#This Row],[EndR]]</f>
        <v>MAT 19:20</v>
      </c>
      <c r="T194">
        <f>Table2[[#This Row],[Merged.Start]]</f>
        <v>11187</v>
      </c>
      <c r="U194">
        <f>Table2[[#This Row],[Merged.End]]</f>
        <v>11263</v>
      </c>
    </row>
    <row r="195" spans="1:21" x14ac:dyDescent="0.25">
      <c r="A195">
        <v>194</v>
      </c>
      <c r="B195">
        <v>2</v>
      </c>
      <c r="C195" s="1">
        <v>19.21</v>
      </c>
      <c r="D195" t="s">
        <v>462</v>
      </c>
      <c r="E195" t="s">
        <v>462</v>
      </c>
      <c r="F195">
        <v>11264</v>
      </c>
      <c r="G195">
        <v>11288</v>
      </c>
      <c r="H195">
        <v>0</v>
      </c>
      <c r="K195">
        <f>IF(Table2[[#This Row],[NeedsAttention]]=1,Table2[[#This Row],[Start]],Table2[[#This Row],[StartN]])</f>
        <v>11264</v>
      </c>
      <c r="L195">
        <f>IF(Table2[[#This Row],[NeedsAttention]]=1,Table2[[#This Row],[End]],Table2[[#This Row],[EndN]])</f>
        <v>11288</v>
      </c>
      <c r="M195" t="b">
        <f>Table2[[#This Row],[Merged.Start]]=L194+1</f>
        <v>1</v>
      </c>
      <c r="O195">
        <f>Table2[[#This Row],[Section]]</f>
        <v>194</v>
      </c>
      <c r="P195">
        <f>Table2[[#This Row],[Canon]]</f>
        <v>2</v>
      </c>
      <c r="Q195" s="1">
        <f>Table2[[#This Row],[Reference]]</f>
        <v>19.21</v>
      </c>
      <c r="R195" t="str">
        <f>Table2[[#This Row],[StartR]]</f>
        <v>MAT 19:21</v>
      </c>
      <c r="S195" t="str">
        <f>Table2[[#This Row],[EndR]]</f>
        <v>MAT 19:21</v>
      </c>
      <c r="T195">
        <f>Table2[[#This Row],[Merged.Start]]</f>
        <v>11264</v>
      </c>
      <c r="U195">
        <f>Table2[[#This Row],[Merged.End]]</f>
        <v>11288</v>
      </c>
    </row>
    <row r="196" spans="1:21" x14ac:dyDescent="0.25">
      <c r="A196">
        <v>195</v>
      </c>
      <c r="B196">
        <v>2</v>
      </c>
      <c r="C196" s="1" t="s">
        <v>463</v>
      </c>
      <c r="D196" t="s">
        <v>464</v>
      </c>
      <c r="E196" t="s">
        <v>465</v>
      </c>
      <c r="F196">
        <v>11289</v>
      </c>
      <c r="G196">
        <v>11382</v>
      </c>
      <c r="H196">
        <v>0</v>
      </c>
      <c r="K196">
        <f>IF(Table2[[#This Row],[NeedsAttention]]=1,Table2[[#This Row],[Start]],Table2[[#This Row],[StartN]])</f>
        <v>11289</v>
      </c>
      <c r="L196">
        <f>IF(Table2[[#This Row],[NeedsAttention]]=1,Table2[[#This Row],[End]],Table2[[#This Row],[EndN]])</f>
        <v>11382</v>
      </c>
      <c r="M196" t="b">
        <f>Table2[[#This Row],[Merged.Start]]=L195+1</f>
        <v>1</v>
      </c>
      <c r="O196">
        <f>Table2[[#This Row],[Section]]</f>
        <v>195</v>
      </c>
      <c r="P196">
        <f>Table2[[#This Row],[Canon]]</f>
        <v>2</v>
      </c>
      <c r="Q196" s="1" t="str">
        <f>Table2[[#This Row],[Reference]]</f>
        <v>19.22-27</v>
      </c>
      <c r="R196" t="str">
        <f>Table2[[#This Row],[StartR]]</f>
        <v>MAT 19:22</v>
      </c>
      <c r="S196" t="str">
        <f>Table2[[#This Row],[EndR]]</f>
        <v>MAT 19:27</v>
      </c>
      <c r="T196">
        <f>Table2[[#This Row],[Merged.Start]]</f>
        <v>11289</v>
      </c>
      <c r="U196">
        <f>Table2[[#This Row],[Merged.End]]</f>
        <v>11382</v>
      </c>
    </row>
    <row r="197" spans="1:21" x14ac:dyDescent="0.25">
      <c r="A197">
        <v>196</v>
      </c>
      <c r="B197">
        <v>10</v>
      </c>
      <c r="C197" s="1" t="s">
        <v>466</v>
      </c>
      <c r="D197" t="s">
        <v>467</v>
      </c>
      <c r="E197" t="s">
        <v>467</v>
      </c>
      <c r="F197">
        <v>11383</v>
      </c>
      <c r="G197">
        <v>11420</v>
      </c>
      <c r="H197">
        <v>1</v>
      </c>
      <c r="I197">
        <v>11383</v>
      </c>
      <c r="J197">
        <v>11408</v>
      </c>
      <c r="K197">
        <f>IF(Table2[[#This Row],[NeedsAttention]]=1,Table2[[#This Row],[Start]],Table2[[#This Row],[StartN]])</f>
        <v>11383</v>
      </c>
      <c r="L197">
        <f>IF(Table2[[#This Row],[NeedsAttention]]=1,Table2[[#This Row],[End]],Table2[[#This Row],[EndN]])</f>
        <v>11408</v>
      </c>
      <c r="M197" t="b">
        <f>Table2[[#This Row],[Merged.Start]]=L196+1</f>
        <v>1</v>
      </c>
      <c r="O197">
        <f>Table2[[#This Row],[Section]]</f>
        <v>196</v>
      </c>
      <c r="P197">
        <f>Table2[[#This Row],[Canon]]</f>
        <v>10</v>
      </c>
      <c r="Q197" s="1" t="str">
        <f>Table2[[#This Row],[Reference]]</f>
        <v>19.28A</v>
      </c>
      <c r="R197" t="str">
        <f>Table2[[#This Row],[StartR]]</f>
        <v>MAT 19:28</v>
      </c>
      <c r="S197" t="str">
        <f>Table2[[#This Row],[EndR]]</f>
        <v>MAT 19:28</v>
      </c>
      <c r="T197">
        <f>Table2[[#This Row],[Merged.Start]]</f>
        <v>11383</v>
      </c>
      <c r="U197">
        <f>Table2[[#This Row],[Merged.End]]</f>
        <v>11408</v>
      </c>
    </row>
    <row r="198" spans="1:21" x14ac:dyDescent="0.25">
      <c r="A198">
        <v>197</v>
      </c>
      <c r="B198">
        <v>5</v>
      </c>
      <c r="C198" s="1" t="s">
        <v>468</v>
      </c>
      <c r="D198" t="s">
        <v>467</v>
      </c>
      <c r="E198" t="s">
        <v>467</v>
      </c>
      <c r="F198">
        <v>11383</v>
      </c>
      <c r="G198">
        <v>11420</v>
      </c>
      <c r="H198">
        <v>1</v>
      </c>
      <c r="I198">
        <v>11409</v>
      </c>
      <c r="J198">
        <v>11420</v>
      </c>
      <c r="K198">
        <f>IF(Table2[[#This Row],[NeedsAttention]]=1,Table2[[#This Row],[Start]],Table2[[#This Row],[StartN]])</f>
        <v>11409</v>
      </c>
      <c r="L198">
        <f>IF(Table2[[#This Row],[NeedsAttention]]=1,Table2[[#This Row],[End]],Table2[[#This Row],[EndN]])</f>
        <v>11420</v>
      </c>
      <c r="M198" t="b">
        <f>Table2[[#This Row],[Merged.Start]]=L197+1</f>
        <v>1</v>
      </c>
      <c r="O198">
        <f>Table2[[#This Row],[Section]]</f>
        <v>197</v>
      </c>
      <c r="P198">
        <f>Table2[[#This Row],[Canon]]</f>
        <v>5</v>
      </c>
      <c r="Q198" s="1" t="str">
        <f>Table2[[#This Row],[Reference]]</f>
        <v>19.28B</v>
      </c>
      <c r="R198" t="str">
        <f>Table2[[#This Row],[StartR]]</f>
        <v>MAT 19:28</v>
      </c>
      <c r="S198" t="str">
        <f>Table2[[#This Row],[EndR]]</f>
        <v>MAT 19:28</v>
      </c>
      <c r="T198">
        <f>Table2[[#This Row],[Merged.Start]]</f>
        <v>11409</v>
      </c>
      <c r="U198">
        <f>Table2[[#This Row],[Merged.End]]</f>
        <v>11420</v>
      </c>
    </row>
    <row r="199" spans="1:21" x14ac:dyDescent="0.25">
      <c r="A199">
        <v>198</v>
      </c>
      <c r="B199">
        <v>2</v>
      </c>
      <c r="C199" s="1">
        <v>19.29</v>
      </c>
      <c r="D199" t="s">
        <v>469</v>
      </c>
      <c r="E199" t="s">
        <v>469</v>
      </c>
      <c r="F199">
        <v>11421</v>
      </c>
      <c r="G199">
        <v>11449</v>
      </c>
      <c r="H199">
        <v>0</v>
      </c>
      <c r="K199">
        <f>IF(Table2[[#This Row],[NeedsAttention]]=1,Table2[[#This Row],[Start]],Table2[[#This Row],[StartN]])</f>
        <v>11421</v>
      </c>
      <c r="L199">
        <f>IF(Table2[[#This Row],[NeedsAttention]]=1,Table2[[#This Row],[End]],Table2[[#This Row],[EndN]])</f>
        <v>11449</v>
      </c>
      <c r="M199" t="b">
        <f>Table2[[#This Row],[Merged.Start]]=L198+1</f>
        <v>1</v>
      </c>
      <c r="O199">
        <f>Table2[[#This Row],[Section]]</f>
        <v>198</v>
      </c>
      <c r="P199">
        <f>Table2[[#This Row],[Canon]]</f>
        <v>2</v>
      </c>
      <c r="Q199" s="1">
        <f>Table2[[#This Row],[Reference]]</f>
        <v>19.29</v>
      </c>
      <c r="R199" t="str">
        <f>Table2[[#This Row],[StartR]]</f>
        <v>MAT 19:29</v>
      </c>
      <c r="S199" t="str">
        <f>Table2[[#This Row],[EndR]]</f>
        <v>MAT 19:29</v>
      </c>
      <c r="T199">
        <f>Table2[[#This Row],[Merged.Start]]</f>
        <v>11421</v>
      </c>
      <c r="U199">
        <f>Table2[[#This Row],[Merged.End]]</f>
        <v>11449</v>
      </c>
    </row>
    <row r="200" spans="1:21" x14ac:dyDescent="0.25">
      <c r="A200">
        <v>199</v>
      </c>
      <c r="B200">
        <v>2</v>
      </c>
      <c r="C200" s="1">
        <v>19.3</v>
      </c>
      <c r="D200" t="s">
        <v>2507</v>
      </c>
      <c r="E200" t="s">
        <v>2507</v>
      </c>
      <c r="F200" s="2">
        <v>11450</v>
      </c>
      <c r="G200" s="2">
        <v>11457</v>
      </c>
      <c r="H200">
        <v>0</v>
      </c>
      <c r="K200">
        <f>IF(Table2[[#This Row],[NeedsAttention]]=1,Table2[[#This Row],[Start]],Table2[[#This Row],[StartN]])</f>
        <v>11450</v>
      </c>
      <c r="L200">
        <f>IF(Table2[[#This Row],[NeedsAttention]]=1,Table2[[#This Row],[End]],Table2[[#This Row],[EndN]])</f>
        <v>11457</v>
      </c>
      <c r="M200" t="b">
        <f>Table2[[#This Row],[Merged.Start]]=L199+1</f>
        <v>1</v>
      </c>
      <c r="O200">
        <f>Table2[[#This Row],[Section]]</f>
        <v>199</v>
      </c>
      <c r="P200">
        <f>Table2[[#This Row],[Canon]]</f>
        <v>2</v>
      </c>
      <c r="Q200" s="1">
        <f>Table2[[#This Row],[Reference]]</f>
        <v>19.3</v>
      </c>
      <c r="R200" t="str">
        <f>Table2[[#This Row],[StartR]]</f>
        <v>MAT 19:30</v>
      </c>
      <c r="S200" t="str">
        <f>Table2[[#This Row],[EndR]]</f>
        <v>MAT 19:30</v>
      </c>
      <c r="T200">
        <f>Table2[[#This Row],[Merged.Start]]</f>
        <v>11450</v>
      </c>
      <c r="U200">
        <f>Table2[[#This Row],[Merged.End]]</f>
        <v>11457</v>
      </c>
    </row>
    <row r="201" spans="1:21" x14ac:dyDescent="0.25">
      <c r="A201">
        <v>200</v>
      </c>
      <c r="B201">
        <v>10</v>
      </c>
      <c r="C201" s="1" t="s">
        <v>470</v>
      </c>
      <c r="D201" t="s">
        <v>471</v>
      </c>
      <c r="E201" t="s">
        <v>472</v>
      </c>
      <c r="F201">
        <v>11458</v>
      </c>
      <c r="G201">
        <v>11697</v>
      </c>
      <c r="H201">
        <v>0</v>
      </c>
      <c r="K201">
        <f>IF(Table2[[#This Row],[NeedsAttention]]=1,Table2[[#This Row],[Start]],Table2[[#This Row],[StartN]])</f>
        <v>11458</v>
      </c>
      <c r="L201">
        <f>IF(Table2[[#This Row],[NeedsAttention]]=1,Table2[[#This Row],[End]],Table2[[#This Row],[EndN]])</f>
        <v>11697</v>
      </c>
      <c r="M201" t="b">
        <f>Table2[[#This Row],[Merged.Start]]=L200+1</f>
        <v>1</v>
      </c>
      <c r="O201">
        <f>Table2[[#This Row],[Section]]</f>
        <v>200</v>
      </c>
      <c r="P201">
        <f>Table2[[#This Row],[Canon]]</f>
        <v>10</v>
      </c>
      <c r="Q201" s="1" t="str">
        <f>Table2[[#This Row],[Reference]]</f>
        <v>20.1-16</v>
      </c>
      <c r="R201" t="str">
        <f>Table2[[#This Row],[StartR]]</f>
        <v>MAT 20:1</v>
      </c>
      <c r="S201" t="str">
        <f>Table2[[#This Row],[EndR]]</f>
        <v>MAT 20:16</v>
      </c>
      <c r="T201">
        <f>Table2[[#This Row],[Merged.Start]]</f>
        <v>11458</v>
      </c>
      <c r="U201">
        <f>Table2[[#This Row],[Merged.End]]</f>
        <v>11697</v>
      </c>
    </row>
    <row r="202" spans="1:21" x14ac:dyDescent="0.25">
      <c r="A202">
        <v>201</v>
      </c>
      <c r="B202">
        <v>2</v>
      </c>
      <c r="C202" s="1" t="s">
        <v>473</v>
      </c>
      <c r="D202" t="s">
        <v>474</v>
      </c>
      <c r="E202" t="s">
        <v>475</v>
      </c>
      <c r="F202">
        <v>11698</v>
      </c>
      <c r="G202">
        <v>11750</v>
      </c>
      <c r="H202">
        <v>0</v>
      </c>
      <c r="K202">
        <f>IF(Table2[[#This Row],[NeedsAttention]]=1,Table2[[#This Row],[Start]],Table2[[#This Row],[StartN]])</f>
        <v>11698</v>
      </c>
      <c r="L202">
        <f>IF(Table2[[#This Row],[NeedsAttention]]=1,Table2[[#This Row],[End]],Table2[[#This Row],[EndN]])</f>
        <v>11750</v>
      </c>
      <c r="M202" t="b">
        <f>Table2[[#This Row],[Merged.Start]]=L201+1</f>
        <v>1</v>
      </c>
      <c r="O202">
        <f>Table2[[#This Row],[Section]]</f>
        <v>201</v>
      </c>
      <c r="P202">
        <f>Table2[[#This Row],[Canon]]</f>
        <v>2</v>
      </c>
      <c r="Q202" s="1" t="str">
        <f>Table2[[#This Row],[Reference]]</f>
        <v>20.17-19</v>
      </c>
      <c r="R202" t="str">
        <f>Table2[[#This Row],[StartR]]</f>
        <v>MAT 20:17</v>
      </c>
      <c r="S202" t="str">
        <f>Table2[[#This Row],[EndR]]</f>
        <v>MAT 20:19</v>
      </c>
      <c r="T202">
        <f>Table2[[#This Row],[Merged.Start]]</f>
        <v>11698</v>
      </c>
      <c r="U202">
        <f>Table2[[#This Row],[Merged.End]]</f>
        <v>11750</v>
      </c>
    </row>
    <row r="203" spans="1:21" x14ac:dyDescent="0.25">
      <c r="A203">
        <v>202</v>
      </c>
      <c r="B203">
        <v>6</v>
      </c>
      <c r="C203" s="1" t="s">
        <v>476</v>
      </c>
      <c r="D203" t="s">
        <v>477</v>
      </c>
      <c r="E203" t="s">
        <v>478</v>
      </c>
      <c r="F203">
        <v>11751</v>
      </c>
      <c r="G203">
        <v>11844</v>
      </c>
      <c r="H203">
        <v>0</v>
      </c>
      <c r="K203">
        <f>IF(Table2[[#This Row],[NeedsAttention]]=1,Table2[[#This Row],[Start]],Table2[[#This Row],[StartN]])</f>
        <v>11751</v>
      </c>
      <c r="L203">
        <f>IF(Table2[[#This Row],[NeedsAttention]]=1,Table2[[#This Row],[End]],Table2[[#This Row],[EndN]])</f>
        <v>11844</v>
      </c>
      <c r="M203" t="b">
        <f>Table2[[#This Row],[Merged.Start]]=L202+1</f>
        <v>1</v>
      </c>
      <c r="O203">
        <f>Table2[[#This Row],[Section]]</f>
        <v>202</v>
      </c>
      <c r="P203">
        <f>Table2[[#This Row],[Canon]]</f>
        <v>6</v>
      </c>
      <c r="Q203" s="1" t="str">
        <f>Table2[[#This Row],[Reference]]</f>
        <v>20.20-23</v>
      </c>
      <c r="R203" t="str">
        <f>Table2[[#This Row],[StartR]]</f>
        <v>MAT 20:20</v>
      </c>
      <c r="S203" t="str">
        <f>Table2[[#This Row],[EndR]]</f>
        <v>MAT 20:23</v>
      </c>
      <c r="T203">
        <f>Table2[[#This Row],[Merged.Start]]</f>
        <v>11751</v>
      </c>
      <c r="U203">
        <f>Table2[[#This Row],[Merged.End]]</f>
        <v>11844</v>
      </c>
    </row>
    <row r="204" spans="1:21" x14ac:dyDescent="0.25">
      <c r="A204">
        <v>203</v>
      </c>
      <c r="B204">
        <v>2</v>
      </c>
      <c r="C204" s="1" t="s">
        <v>479</v>
      </c>
      <c r="D204" t="s">
        <v>480</v>
      </c>
      <c r="E204" t="s">
        <v>481</v>
      </c>
      <c r="F204">
        <v>11845</v>
      </c>
      <c r="G204">
        <v>11899</v>
      </c>
      <c r="H204">
        <v>0</v>
      </c>
      <c r="K204">
        <f>IF(Table2[[#This Row],[NeedsAttention]]=1,Table2[[#This Row],[Start]],Table2[[#This Row],[StartN]])</f>
        <v>11845</v>
      </c>
      <c r="L204">
        <f>IF(Table2[[#This Row],[NeedsAttention]]=1,Table2[[#This Row],[End]],Table2[[#This Row],[EndN]])</f>
        <v>11899</v>
      </c>
      <c r="M204" t="b">
        <f>Table2[[#This Row],[Merged.Start]]=L203+1</f>
        <v>1</v>
      </c>
      <c r="O204">
        <f>Table2[[#This Row],[Section]]</f>
        <v>203</v>
      </c>
      <c r="P204">
        <f>Table2[[#This Row],[Canon]]</f>
        <v>2</v>
      </c>
      <c r="Q204" s="1" t="str">
        <f>Table2[[#This Row],[Reference]]</f>
        <v>20.24-27</v>
      </c>
      <c r="R204" t="str">
        <f>Table2[[#This Row],[StartR]]</f>
        <v>MAT 20:24</v>
      </c>
      <c r="S204" t="str">
        <f>Table2[[#This Row],[EndR]]</f>
        <v>MAT 20:27</v>
      </c>
      <c r="T204">
        <f>Table2[[#This Row],[Merged.Start]]</f>
        <v>11845</v>
      </c>
      <c r="U204">
        <f>Table2[[#This Row],[Merged.End]]</f>
        <v>11899</v>
      </c>
    </row>
    <row r="205" spans="1:21" x14ac:dyDescent="0.25">
      <c r="A205">
        <v>204</v>
      </c>
      <c r="B205">
        <v>4</v>
      </c>
      <c r="C205" s="1">
        <v>20.28</v>
      </c>
      <c r="D205" t="s">
        <v>482</v>
      </c>
      <c r="E205" t="s">
        <v>482</v>
      </c>
      <c r="F205">
        <v>11900</v>
      </c>
      <c r="G205">
        <v>11917</v>
      </c>
      <c r="H205">
        <v>0</v>
      </c>
      <c r="K205">
        <f>IF(Table2[[#This Row],[NeedsAttention]]=1,Table2[[#This Row],[Start]],Table2[[#This Row],[StartN]])</f>
        <v>11900</v>
      </c>
      <c r="L205">
        <f>IF(Table2[[#This Row],[NeedsAttention]]=1,Table2[[#This Row],[End]],Table2[[#This Row],[EndN]])</f>
        <v>11917</v>
      </c>
      <c r="M205" t="b">
        <f>Table2[[#This Row],[Merged.Start]]=L204+1</f>
        <v>1</v>
      </c>
      <c r="O205">
        <f>Table2[[#This Row],[Section]]</f>
        <v>204</v>
      </c>
      <c r="P205">
        <f>Table2[[#This Row],[Canon]]</f>
        <v>4</v>
      </c>
      <c r="Q205" s="1">
        <f>Table2[[#This Row],[Reference]]</f>
        <v>20.28</v>
      </c>
      <c r="R205" t="str">
        <f>Table2[[#This Row],[StartR]]</f>
        <v>MAT 20:28</v>
      </c>
      <c r="S205" t="str">
        <f>Table2[[#This Row],[EndR]]</f>
        <v>MAT 20:28</v>
      </c>
      <c r="T205">
        <f>Table2[[#This Row],[Merged.Start]]</f>
        <v>11900</v>
      </c>
      <c r="U205">
        <f>Table2[[#This Row],[Merged.End]]</f>
        <v>11917</v>
      </c>
    </row>
    <row r="206" spans="1:21" x14ac:dyDescent="0.25">
      <c r="A206">
        <v>205</v>
      </c>
      <c r="B206">
        <v>2</v>
      </c>
      <c r="C206" s="1" t="s">
        <v>483</v>
      </c>
      <c r="D206" t="s">
        <v>484</v>
      </c>
      <c r="E206" t="s">
        <v>485</v>
      </c>
      <c r="F206">
        <v>11918</v>
      </c>
      <c r="G206">
        <v>11996</v>
      </c>
      <c r="H206">
        <v>0</v>
      </c>
      <c r="K206">
        <f>IF(Table2[[#This Row],[NeedsAttention]]=1,Table2[[#This Row],[Start]],Table2[[#This Row],[StartN]])</f>
        <v>11918</v>
      </c>
      <c r="L206">
        <f>IF(Table2[[#This Row],[NeedsAttention]]=1,Table2[[#This Row],[End]],Table2[[#This Row],[EndN]])</f>
        <v>11996</v>
      </c>
      <c r="M206" t="b">
        <f>Table2[[#This Row],[Merged.Start]]=L205+1</f>
        <v>1</v>
      </c>
      <c r="O206">
        <f>Table2[[#This Row],[Section]]</f>
        <v>205</v>
      </c>
      <c r="P206">
        <f>Table2[[#This Row],[Canon]]</f>
        <v>2</v>
      </c>
      <c r="Q206" s="1" t="str">
        <f>Table2[[#This Row],[Reference]]</f>
        <v>20.29-34</v>
      </c>
      <c r="R206" t="str">
        <f>Table2[[#This Row],[StartR]]</f>
        <v>MAT 20:29</v>
      </c>
      <c r="S206" t="str">
        <f>Table2[[#This Row],[EndR]]</f>
        <v>MAT 20:34</v>
      </c>
      <c r="T206">
        <f>Table2[[#This Row],[Merged.Start]]</f>
        <v>11918</v>
      </c>
      <c r="U206">
        <f>Table2[[#This Row],[Merged.End]]</f>
        <v>11996</v>
      </c>
    </row>
    <row r="207" spans="1:21" x14ac:dyDescent="0.25">
      <c r="A207">
        <v>206</v>
      </c>
      <c r="B207">
        <v>2</v>
      </c>
      <c r="C207" s="1" t="s">
        <v>486</v>
      </c>
      <c r="D207" t="s">
        <v>487</v>
      </c>
      <c r="E207" t="s">
        <v>488</v>
      </c>
      <c r="F207">
        <v>11997</v>
      </c>
      <c r="G207">
        <v>12053</v>
      </c>
      <c r="H207">
        <v>0</v>
      </c>
      <c r="K207">
        <f>IF(Table2[[#This Row],[NeedsAttention]]=1,Table2[[#This Row],[Start]],Table2[[#This Row],[StartN]])</f>
        <v>11997</v>
      </c>
      <c r="L207">
        <f>IF(Table2[[#This Row],[NeedsAttention]]=1,Table2[[#This Row],[End]],Table2[[#This Row],[EndN]])</f>
        <v>12053</v>
      </c>
      <c r="M207" t="b">
        <f>Table2[[#This Row],[Merged.Start]]=L206+1</f>
        <v>1</v>
      </c>
      <c r="O207">
        <f>Table2[[#This Row],[Section]]</f>
        <v>206</v>
      </c>
      <c r="P207">
        <f>Table2[[#This Row],[Canon]]</f>
        <v>2</v>
      </c>
      <c r="Q207" s="1" t="str">
        <f>Table2[[#This Row],[Reference]]</f>
        <v>21.1-3</v>
      </c>
      <c r="R207" t="str">
        <f>Table2[[#This Row],[StartR]]</f>
        <v>MAT 21:1</v>
      </c>
      <c r="S207" t="str">
        <f>Table2[[#This Row],[EndR]]</f>
        <v>MAT 21:3</v>
      </c>
      <c r="T207">
        <f>Table2[[#This Row],[Merged.Start]]</f>
        <v>11997</v>
      </c>
      <c r="U207">
        <f>Table2[[#This Row],[Merged.End]]</f>
        <v>12053</v>
      </c>
    </row>
    <row r="208" spans="1:21" x14ac:dyDescent="0.25">
      <c r="A208">
        <v>207</v>
      </c>
      <c r="B208">
        <v>7</v>
      </c>
      <c r="C208" s="1" t="s">
        <v>489</v>
      </c>
      <c r="D208" t="s">
        <v>490</v>
      </c>
      <c r="E208" t="s">
        <v>491</v>
      </c>
      <c r="F208">
        <v>12054</v>
      </c>
      <c r="G208">
        <v>12084</v>
      </c>
      <c r="H208">
        <v>0</v>
      </c>
      <c r="K208">
        <f>IF(Table2[[#This Row],[NeedsAttention]]=1,Table2[[#This Row],[Start]],Table2[[#This Row],[StartN]])</f>
        <v>12054</v>
      </c>
      <c r="L208">
        <f>IF(Table2[[#This Row],[NeedsAttention]]=1,Table2[[#This Row],[End]],Table2[[#This Row],[EndN]])</f>
        <v>12084</v>
      </c>
      <c r="M208" t="b">
        <f>Table2[[#This Row],[Merged.Start]]=L207+1</f>
        <v>1</v>
      </c>
      <c r="O208">
        <f>Table2[[#This Row],[Section]]</f>
        <v>207</v>
      </c>
      <c r="P208">
        <f>Table2[[#This Row],[Canon]]</f>
        <v>7</v>
      </c>
      <c r="Q208" s="1" t="str">
        <f>Table2[[#This Row],[Reference]]</f>
        <v>21.4-5</v>
      </c>
      <c r="R208" t="str">
        <f>Table2[[#This Row],[StartR]]</f>
        <v>MAT 21:4</v>
      </c>
      <c r="S208" t="str">
        <f>Table2[[#This Row],[EndR]]</f>
        <v>MAT 21:5</v>
      </c>
      <c r="T208">
        <f>Table2[[#This Row],[Merged.Start]]</f>
        <v>12054</v>
      </c>
      <c r="U208">
        <f>Table2[[#This Row],[Merged.End]]</f>
        <v>12084</v>
      </c>
    </row>
    <row r="209" spans="1:21" x14ac:dyDescent="0.25">
      <c r="A209">
        <v>208</v>
      </c>
      <c r="B209">
        <v>2</v>
      </c>
      <c r="C209" s="1" t="s">
        <v>492</v>
      </c>
      <c r="D209" t="s">
        <v>493</v>
      </c>
      <c r="E209" t="s">
        <v>494</v>
      </c>
      <c r="F209">
        <v>12085</v>
      </c>
      <c r="G209">
        <v>12134</v>
      </c>
      <c r="H209">
        <v>0</v>
      </c>
      <c r="K209">
        <f>IF(Table2[[#This Row],[NeedsAttention]]=1,Table2[[#This Row],[Start]],Table2[[#This Row],[StartN]])</f>
        <v>12085</v>
      </c>
      <c r="L209">
        <f>IF(Table2[[#This Row],[NeedsAttention]]=1,Table2[[#This Row],[End]],Table2[[#This Row],[EndN]])</f>
        <v>12134</v>
      </c>
      <c r="M209" t="b">
        <f>Table2[[#This Row],[Merged.Start]]=L208+1</f>
        <v>1</v>
      </c>
      <c r="O209">
        <f>Table2[[#This Row],[Section]]</f>
        <v>208</v>
      </c>
      <c r="P209">
        <f>Table2[[#This Row],[Canon]]</f>
        <v>2</v>
      </c>
      <c r="Q209" s="1" t="str">
        <f>Table2[[#This Row],[Reference]]</f>
        <v>21.6-8</v>
      </c>
      <c r="R209" t="str">
        <f>Table2[[#This Row],[StartR]]</f>
        <v>MAT 21:6</v>
      </c>
      <c r="S209" t="str">
        <f>Table2[[#This Row],[EndR]]</f>
        <v>MAT 21:8</v>
      </c>
      <c r="T209">
        <f>Table2[[#This Row],[Merged.Start]]</f>
        <v>12085</v>
      </c>
      <c r="U209">
        <f>Table2[[#This Row],[Merged.End]]</f>
        <v>12134</v>
      </c>
    </row>
    <row r="210" spans="1:21" x14ac:dyDescent="0.25">
      <c r="A210">
        <v>209</v>
      </c>
      <c r="B210">
        <v>1</v>
      </c>
      <c r="C210" s="1">
        <v>21.9</v>
      </c>
      <c r="D210" t="s">
        <v>495</v>
      </c>
      <c r="E210" t="s">
        <v>495</v>
      </c>
      <c r="F210">
        <v>12135</v>
      </c>
      <c r="G210">
        <v>12159</v>
      </c>
      <c r="H210">
        <v>0</v>
      </c>
      <c r="K210">
        <f>IF(Table2[[#This Row],[NeedsAttention]]=1,Table2[[#This Row],[Start]],Table2[[#This Row],[StartN]])</f>
        <v>12135</v>
      </c>
      <c r="L210">
        <f>IF(Table2[[#This Row],[NeedsAttention]]=1,Table2[[#This Row],[End]],Table2[[#This Row],[EndN]])</f>
        <v>12159</v>
      </c>
      <c r="M210" t="b">
        <f>Table2[[#This Row],[Merged.Start]]=L209+1</f>
        <v>1</v>
      </c>
      <c r="O210">
        <f>Table2[[#This Row],[Section]]</f>
        <v>209</v>
      </c>
      <c r="P210">
        <f>Table2[[#This Row],[Canon]]</f>
        <v>1</v>
      </c>
      <c r="Q210" s="1">
        <f>Table2[[#This Row],[Reference]]</f>
        <v>21.9</v>
      </c>
      <c r="R210" t="str">
        <f>Table2[[#This Row],[StartR]]</f>
        <v>MAT 21:9</v>
      </c>
      <c r="S210" t="str">
        <f>Table2[[#This Row],[EndR]]</f>
        <v>MAT 21:9</v>
      </c>
      <c r="T210">
        <f>Table2[[#This Row],[Merged.Start]]</f>
        <v>12135</v>
      </c>
      <c r="U210">
        <f>Table2[[#This Row],[Merged.End]]</f>
        <v>12159</v>
      </c>
    </row>
    <row r="211" spans="1:21" x14ac:dyDescent="0.25">
      <c r="A211">
        <v>210</v>
      </c>
      <c r="B211">
        <v>10</v>
      </c>
      <c r="C211" s="1" t="s">
        <v>496</v>
      </c>
      <c r="D211" t="s">
        <v>497</v>
      </c>
      <c r="E211" t="s">
        <v>498</v>
      </c>
      <c r="F211">
        <v>12160</v>
      </c>
      <c r="G211">
        <v>12186</v>
      </c>
      <c r="H211">
        <v>0</v>
      </c>
      <c r="K211">
        <f>IF(Table2[[#This Row],[NeedsAttention]]=1,Table2[[#This Row],[Start]],Table2[[#This Row],[StartN]])</f>
        <v>12160</v>
      </c>
      <c r="L211">
        <f>IF(Table2[[#This Row],[NeedsAttention]]=1,Table2[[#This Row],[End]],Table2[[#This Row],[EndN]])</f>
        <v>12186</v>
      </c>
      <c r="M211" t="b">
        <f>Table2[[#This Row],[Merged.Start]]=L210+1</f>
        <v>1</v>
      </c>
      <c r="O211">
        <f>Table2[[#This Row],[Section]]</f>
        <v>210</v>
      </c>
      <c r="P211">
        <f>Table2[[#This Row],[Canon]]</f>
        <v>10</v>
      </c>
      <c r="Q211" s="1" t="str">
        <f>Table2[[#This Row],[Reference]]</f>
        <v>21.10-11</v>
      </c>
      <c r="R211" t="str">
        <f>Table2[[#This Row],[StartR]]</f>
        <v>MAT 21:10</v>
      </c>
      <c r="S211" t="str">
        <f>Table2[[#This Row],[EndR]]</f>
        <v>MAT 21:11</v>
      </c>
      <c r="T211">
        <f>Table2[[#This Row],[Merged.Start]]</f>
        <v>12160</v>
      </c>
      <c r="U211">
        <f>Table2[[#This Row],[Merged.End]]</f>
        <v>12186</v>
      </c>
    </row>
    <row r="212" spans="1:21" x14ac:dyDescent="0.25">
      <c r="A212">
        <v>211</v>
      </c>
      <c r="B212">
        <v>1</v>
      </c>
      <c r="C212" s="1" t="s">
        <v>499</v>
      </c>
      <c r="D212" t="s">
        <v>500</v>
      </c>
      <c r="E212" t="s">
        <v>501</v>
      </c>
      <c r="F212">
        <v>12187</v>
      </c>
      <c r="G212">
        <v>12231</v>
      </c>
      <c r="H212">
        <v>0</v>
      </c>
      <c r="K212">
        <f>IF(Table2[[#This Row],[NeedsAttention]]=1,Table2[[#This Row],[Start]],Table2[[#This Row],[StartN]])</f>
        <v>12187</v>
      </c>
      <c r="L212">
        <f>IF(Table2[[#This Row],[NeedsAttention]]=1,Table2[[#This Row],[End]],Table2[[#This Row],[EndN]])</f>
        <v>12231</v>
      </c>
      <c r="M212" t="b">
        <f>Table2[[#This Row],[Merged.Start]]=L211+1</f>
        <v>1</v>
      </c>
      <c r="O212">
        <f>Table2[[#This Row],[Section]]</f>
        <v>211</v>
      </c>
      <c r="P212">
        <f>Table2[[#This Row],[Canon]]</f>
        <v>1</v>
      </c>
      <c r="Q212" s="1" t="str">
        <f>Table2[[#This Row],[Reference]]</f>
        <v>21.12-13</v>
      </c>
      <c r="R212" t="str">
        <f>Table2[[#This Row],[StartR]]</f>
        <v>MAT 21:12</v>
      </c>
      <c r="S212" t="str">
        <f>Table2[[#This Row],[EndR]]</f>
        <v>MAT 21:13</v>
      </c>
      <c r="T212">
        <f>Table2[[#This Row],[Merged.Start]]</f>
        <v>12187</v>
      </c>
      <c r="U212">
        <f>Table2[[#This Row],[Merged.End]]</f>
        <v>12231</v>
      </c>
    </row>
    <row r="213" spans="1:21" x14ac:dyDescent="0.25">
      <c r="A213">
        <v>212</v>
      </c>
      <c r="B213">
        <v>10</v>
      </c>
      <c r="C213" s="1">
        <v>21.14</v>
      </c>
      <c r="D213" t="s">
        <v>502</v>
      </c>
      <c r="E213" t="s">
        <v>502</v>
      </c>
      <c r="F213">
        <v>12232</v>
      </c>
      <c r="G213">
        <v>12243</v>
      </c>
      <c r="H213">
        <v>0</v>
      </c>
      <c r="K213">
        <f>IF(Table2[[#This Row],[NeedsAttention]]=1,Table2[[#This Row],[Start]],Table2[[#This Row],[StartN]])</f>
        <v>12232</v>
      </c>
      <c r="L213">
        <f>IF(Table2[[#This Row],[NeedsAttention]]=1,Table2[[#This Row],[End]],Table2[[#This Row],[EndN]])</f>
        <v>12243</v>
      </c>
      <c r="M213" t="b">
        <f>Table2[[#This Row],[Merged.Start]]=L212+1</f>
        <v>1</v>
      </c>
      <c r="O213">
        <f>Table2[[#This Row],[Section]]</f>
        <v>212</v>
      </c>
      <c r="P213">
        <f>Table2[[#This Row],[Canon]]</f>
        <v>10</v>
      </c>
      <c r="Q213" s="1">
        <f>Table2[[#This Row],[Reference]]</f>
        <v>21.14</v>
      </c>
      <c r="R213" t="str">
        <f>Table2[[#This Row],[StartR]]</f>
        <v>MAT 21:14</v>
      </c>
      <c r="S213" t="str">
        <f>Table2[[#This Row],[EndR]]</f>
        <v>MAT 21:14</v>
      </c>
      <c r="T213">
        <f>Table2[[#This Row],[Merged.Start]]</f>
        <v>12232</v>
      </c>
      <c r="U213">
        <f>Table2[[#This Row],[Merged.End]]</f>
        <v>12243</v>
      </c>
    </row>
    <row r="214" spans="1:21" x14ac:dyDescent="0.25">
      <c r="A214">
        <v>213</v>
      </c>
      <c r="B214">
        <v>5</v>
      </c>
      <c r="C214" s="1" t="s">
        <v>503</v>
      </c>
      <c r="D214" t="s">
        <v>504</v>
      </c>
      <c r="E214" t="s">
        <v>505</v>
      </c>
      <c r="F214">
        <v>12244</v>
      </c>
      <c r="G214">
        <v>12292</v>
      </c>
      <c r="H214">
        <v>0</v>
      </c>
      <c r="K214">
        <f>IF(Table2[[#This Row],[NeedsAttention]]=1,Table2[[#This Row],[Start]],Table2[[#This Row],[StartN]])</f>
        <v>12244</v>
      </c>
      <c r="L214">
        <f>IF(Table2[[#This Row],[NeedsAttention]]=1,Table2[[#This Row],[End]],Table2[[#This Row],[EndN]])</f>
        <v>12292</v>
      </c>
      <c r="M214" t="b">
        <f>Table2[[#This Row],[Merged.Start]]=L213+1</f>
        <v>1</v>
      </c>
      <c r="O214">
        <f>Table2[[#This Row],[Section]]</f>
        <v>213</v>
      </c>
      <c r="P214">
        <f>Table2[[#This Row],[Canon]]</f>
        <v>5</v>
      </c>
      <c r="Q214" s="1" t="str">
        <f>Table2[[#This Row],[Reference]]</f>
        <v>21.15-16</v>
      </c>
      <c r="R214" t="str">
        <f>Table2[[#This Row],[StartR]]</f>
        <v>MAT 21:15</v>
      </c>
      <c r="S214" t="str">
        <f>Table2[[#This Row],[EndR]]</f>
        <v>MAT 21:16</v>
      </c>
      <c r="T214">
        <f>Table2[[#This Row],[Merged.Start]]</f>
        <v>12244</v>
      </c>
      <c r="U214">
        <f>Table2[[#This Row],[Merged.End]]</f>
        <v>12292</v>
      </c>
    </row>
    <row r="215" spans="1:21" x14ac:dyDescent="0.25">
      <c r="A215">
        <v>214</v>
      </c>
      <c r="B215">
        <v>6</v>
      </c>
      <c r="C215" s="1" t="s">
        <v>506</v>
      </c>
      <c r="D215" t="s">
        <v>507</v>
      </c>
      <c r="E215" t="s">
        <v>508</v>
      </c>
      <c r="F215">
        <v>12293</v>
      </c>
      <c r="G215">
        <v>12357</v>
      </c>
      <c r="H215">
        <v>0</v>
      </c>
      <c r="K215">
        <f>IF(Table2[[#This Row],[NeedsAttention]]=1,Table2[[#This Row],[Start]],Table2[[#This Row],[StartN]])</f>
        <v>12293</v>
      </c>
      <c r="L215">
        <f>IF(Table2[[#This Row],[NeedsAttention]]=1,Table2[[#This Row],[End]],Table2[[#This Row],[EndN]])</f>
        <v>12357</v>
      </c>
      <c r="M215" t="b">
        <f>Table2[[#This Row],[Merged.Start]]=L214+1</f>
        <v>1</v>
      </c>
      <c r="O215">
        <f>Table2[[#This Row],[Section]]</f>
        <v>214</v>
      </c>
      <c r="P215">
        <f>Table2[[#This Row],[Canon]]</f>
        <v>6</v>
      </c>
      <c r="Q215" s="1" t="str">
        <f>Table2[[#This Row],[Reference]]</f>
        <v>21.17-20</v>
      </c>
      <c r="R215" t="str">
        <f>Table2[[#This Row],[StartR]]</f>
        <v>MAT 21:17</v>
      </c>
      <c r="S215" t="str">
        <f>Table2[[#This Row],[EndR]]</f>
        <v>MAT 21:20</v>
      </c>
      <c r="T215">
        <f>Table2[[#This Row],[Merged.Start]]</f>
        <v>12293</v>
      </c>
      <c r="U215">
        <f>Table2[[#This Row],[Merged.End]]</f>
        <v>12357</v>
      </c>
    </row>
    <row r="216" spans="1:21" x14ac:dyDescent="0.25">
      <c r="A216">
        <v>215</v>
      </c>
      <c r="B216">
        <v>6</v>
      </c>
      <c r="C216" s="1">
        <v>21.21</v>
      </c>
      <c r="D216" t="s">
        <v>509</v>
      </c>
      <c r="E216" t="s">
        <v>509</v>
      </c>
      <c r="F216">
        <v>12358</v>
      </c>
      <c r="G216">
        <v>12391</v>
      </c>
      <c r="H216">
        <v>0</v>
      </c>
      <c r="K216">
        <f>IF(Table2[[#This Row],[NeedsAttention]]=1,Table2[[#This Row],[Start]],Table2[[#This Row],[StartN]])</f>
        <v>12358</v>
      </c>
      <c r="L216">
        <f>IF(Table2[[#This Row],[NeedsAttention]]=1,Table2[[#This Row],[End]],Table2[[#This Row],[EndN]])</f>
        <v>12391</v>
      </c>
      <c r="M216" t="b">
        <f>Table2[[#This Row],[Merged.Start]]=L215+1</f>
        <v>1</v>
      </c>
      <c r="O216">
        <f>Table2[[#This Row],[Section]]</f>
        <v>215</v>
      </c>
      <c r="P216">
        <f>Table2[[#This Row],[Canon]]</f>
        <v>6</v>
      </c>
      <c r="Q216" s="1">
        <f>Table2[[#This Row],[Reference]]</f>
        <v>21.21</v>
      </c>
      <c r="R216" t="str">
        <f>Table2[[#This Row],[StartR]]</f>
        <v>MAT 21:21</v>
      </c>
      <c r="S216" t="str">
        <f>Table2[[#This Row],[EndR]]</f>
        <v>MAT 21:21</v>
      </c>
      <c r="T216">
        <f>Table2[[#This Row],[Merged.Start]]</f>
        <v>12358</v>
      </c>
      <c r="U216">
        <f>Table2[[#This Row],[Merged.End]]</f>
        <v>12391</v>
      </c>
    </row>
    <row r="217" spans="1:21" x14ac:dyDescent="0.25">
      <c r="A217">
        <v>216</v>
      </c>
      <c r="B217">
        <v>4</v>
      </c>
      <c r="C217" s="1">
        <v>21.22</v>
      </c>
      <c r="D217" t="s">
        <v>510</v>
      </c>
      <c r="E217" t="s">
        <v>510</v>
      </c>
      <c r="F217">
        <v>12392</v>
      </c>
      <c r="G217">
        <v>12401</v>
      </c>
      <c r="H217">
        <v>0</v>
      </c>
      <c r="K217">
        <f>IF(Table2[[#This Row],[NeedsAttention]]=1,Table2[[#This Row],[Start]],Table2[[#This Row],[StartN]])</f>
        <v>12392</v>
      </c>
      <c r="L217">
        <f>IF(Table2[[#This Row],[NeedsAttention]]=1,Table2[[#This Row],[End]],Table2[[#This Row],[EndN]])</f>
        <v>12401</v>
      </c>
      <c r="M217" t="b">
        <f>Table2[[#This Row],[Merged.Start]]=L216+1</f>
        <v>1</v>
      </c>
      <c r="O217">
        <f>Table2[[#This Row],[Section]]</f>
        <v>216</v>
      </c>
      <c r="P217">
        <f>Table2[[#This Row],[Canon]]</f>
        <v>4</v>
      </c>
      <c r="Q217" s="1">
        <f>Table2[[#This Row],[Reference]]</f>
        <v>21.22</v>
      </c>
      <c r="R217" t="str">
        <f>Table2[[#This Row],[StartR]]</f>
        <v>MAT 21:22</v>
      </c>
      <c r="S217" t="str">
        <f>Table2[[#This Row],[EndR]]</f>
        <v>MAT 21:22</v>
      </c>
      <c r="T217">
        <f>Table2[[#This Row],[Merged.Start]]</f>
        <v>12392</v>
      </c>
      <c r="U217">
        <f>Table2[[#This Row],[Merged.End]]</f>
        <v>12401</v>
      </c>
    </row>
    <row r="218" spans="1:21" x14ac:dyDescent="0.25">
      <c r="A218">
        <v>217</v>
      </c>
      <c r="B218">
        <v>2</v>
      </c>
      <c r="C218" s="1" t="s">
        <v>511</v>
      </c>
      <c r="D218" t="s">
        <v>512</v>
      </c>
      <c r="E218" t="s">
        <v>513</v>
      </c>
      <c r="F218">
        <v>12402</v>
      </c>
      <c r="G218">
        <v>12517</v>
      </c>
      <c r="H218">
        <v>0</v>
      </c>
      <c r="K218">
        <f>IF(Table2[[#This Row],[NeedsAttention]]=1,Table2[[#This Row],[Start]],Table2[[#This Row],[StartN]])</f>
        <v>12402</v>
      </c>
      <c r="L218">
        <f>IF(Table2[[#This Row],[NeedsAttention]]=1,Table2[[#This Row],[End]],Table2[[#This Row],[EndN]])</f>
        <v>12517</v>
      </c>
      <c r="M218" t="b">
        <f>Table2[[#This Row],[Merged.Start]]=L217+1</f>
        <v>1</v>
      </c>
      <c r="O218">
        <f>Table2[[#This Row],[Section]]</f>
        <v>217</v>
      </c>
      <c r="P218">
        <f>Table2[[#This Row],[Canon]]</f>
        <v>2</v>
      </c>
      <c r="Q218" s="1" t="str">
        <f>Table2[[#This Row],[Reference]]</f>
        <v>21.23-27</v>
      </c>
      <c r="R218" t="str">
        <f>Table2[[#This Row],[StartR]]</f>
        <v>MAT 21:23</v>
      </c>
      <c r="S218" t="str">
        <f>Table2[[#This Row],[EndR]]</f>
        <v>MAT 21:27</v>
      </c>
      <c r="T218">
        <f>Table2[[#This Row],[Merged.Start]]</f>
        <v>12402</v>
      </c>
      <c r="U218">
        <f>Table2[[#This Row],[Merged.End]]</f>
        <v>12517</v>
      </c>
    </row>
    <row r="219" spans="1:21" x14ac:dyDescent="0.25">
      <c r="A219">
        <v>218</v>
      </c>
      <c r="B219">
        <v>10</v>
      </c>
      <c r="C219" s="1" t="s">
        <v>514</v>
      </c>
      <c r="D219" t="s">
        <v>515</v>
      </c>
      <c r="E219" t="s">
        <v>516</v>
      </c>
      <c r="F219">
        <v>12518</v>
      </c>
      <c r="G219">
        <v>12622</v>
      </c>
      <c r="H219">
        <v>0</v>
      </c>
      <c r="K219">
        <f>IF(Table2[[#This Row],[NeedsAttention]]=1,Table2[[#This Row],[Start]],Table2[[#This Row],[StartN]])</f>
        <v>12518</v>
      </c>
      <c r="L219">
        <f>IF(Table2[[#This Row],[NeedsAttention]]=1,Table2[[#This Row],[End]],Table2[[#This Row],[EndN]])</f>
        <v>12622</v>
      </c>
      <c r="M219" t="b">
        <f>Table2[[#This Row],[Merged.Start]]=L218+1</f>
        <v>1</v>
      </c>
      <c r="O219">
        <f>Table2[[#This Row],[Section]]</f>
        <v>218</v>
      </c>
      <c r="P219">
        <f>Table2[[#This Row],[Canon]]</f>
        <v>10</v>
      </c>
      <c r="Q219" s="1" t="str">
        <f>Table2[[#This Row],[Reference]]</f>
        <v>21.28-32</v>
      </c>
      <c r="R219" t="str">
        <f>Table2[[#This Row],[StartR]]</f>
        <v>MAT 21:28</v>
      </c>
      <c r="S219" t="str">
        <f>Table2[[#This Row],[EndR]]</f>
        <v>MAT 21:32</v>
      </c>
      <c r="T219">
        <f>Table2[[#This Row],[Merged.Start]]</f>
        <v>12518</v>
      </c>
      <c r="U219">
        <f>Table2[[#This Row],[Merged.End]]</f>
        <v>12622</v>
      </c>
    </row>
    <row r="220" spans="1:21" x14ac:dyDescent="0.25">
      <c r="A220">
        <v>219</v>
      </c>
      <c r="B220">
        <v>2</v>
      </c>
      <c r="C220" s="1" t="s">
        <v>517</v>
      </c>
      <c r="D220" t="s">
        <v>518</v>
      </c>
      <c r="E220" t="s">
        <v>519</v>
      </c>
      <c r="F220">
        <v>12623</v>
      </c>
      <c r="G220">
        <v>12833</v>
      </c>
      <c r="H220">
        <v>0</v>
      </c>
      <c r="K220">
        <f>IF(Table2[[#This Row],[NeedsAttention]]=1,Table2[[#This Row],[Start]],Table2[[#This Row],[StartN]])</f>
        <v>12623</v>
      </c>
      <c r="L220">
        <f>IF(Table2[[#This Row],[NeedsAttention]]=1,Table2[[#This Row],[End]],Table2[[#This Row],[EndN]])</f>
        <v>12833</v>
      </c>
      <c r="M220" t="b">
        <f>Table2[[#This Row],[Merged.Start]]=L219+1</f>
        <v>1</v>
      </c>
      <c r="O220">
        <f>Table2[[#This Row],[Section]]</f>
        <v>219</v>
      </c>
      <c r="P220">
        <f>Table2[[#This Row],[Canon]]</f>
        <v>2</v>
      </c>
      <c r="Q220" s="1" t="str">
        <f>Table2[[#This Row],[Reference]]</f>
        <v>21.33-44</v>
      </c>
      <c r="R220" t="str">
        <f>Table2[[#This Row],[StartR]]</f>
        <v>MAT 21:33</v>
      </c>
      <c r="S220" t="str">
        <f>Table2[[#This Row],[EndR]]</f>
        <v>MAT 21:44</v>
      </c>
      <c r="T220">
        <f>Table2[[#This Row],[Merged.Start]]</f>
        <v>12623</v>
      </c>
      <c r="U220">
        <f>Table2[[#This Row],[Merged.End]]</f>
        <v>12833</v>
      </c>
    </row>
    <row r="221" spans="1:21" x14ac:dyDescent="0.25">
      <c r="A221">
        <v>220</v>
      </c>
      <c r="B221">
        <v>1</v>
      </c>
      <c r="C221" s="1" t="s">
        <v>520</v>
      </c>
      <c r="D221" t="s">
        <v>521</v>
      </c>
      <c r="E221" t="s">
        <v>522</v>
      </c>
      <c r="F221">
        <v>12834</v>
      </c>
      <c r="G221">
        <v>12860</v>
      </c>
      <c r="H221">
        <v>0</v>
      </c>
      <c r="K221">
        <f>IF(Table2[[#This Row],[NeedsAttention]]=1,Table2[[#This Row],[Start]],Table2[[#This Row],[StartN]])</f>
        <v>12834</v>
      </c>
      <c r="L221">
        <f>IF(Table2[[#This Row],[NeedsAttention]]=1,Table2[[#This Row],[End]],Table2[[#This Row],[EndN]])</f>
        <v>12860</v>
      </c>
      <c r="M221" t="b">
        <f>Table2[[#This Row],[Merged.Start]]=L220+1</f>
        <v>1</v>
      </c>
      <c r="O221">
        <f>Table2[[#This Row],[Section]]</f>
        <v>220</v>
      </c>
      <c r="P221">
        <f>Table2[[#This Row],[Canon]]</f>
        <v>1</v>
      </c>
      <c r="Q221" s="1" t="str">
        <f>Table2[[#This Row],[Reference]]</f>
        <v>21.45-46</v>
      </c>
      <c r="R221" t="str">
        <f>Table2[[#This Row],[StartR]]</f>
        <v>MAT 21:45</v>
      </c>
      <c r="S221" t="str">
        <f>Table2[[#This Row],[EndR]]</f>
        <v>MAT 21:46</v>
      </c>
      <c r="T221">
        <f>Table2[[#This Row],[Merged.Start]]</f>
        <v>12834</v>
      </c>
      <c r="U221">
        <f>Table2[[#This Row],[Merged.End]]</f>
        <v>12860</v>
      </c>
    </row>
    <row r="222" spans="1:21" x14ac:dyDescent="0.25">
      <c r="A222">
        <v>221</v>
      </c>
      <c r="B222">
        <v>5</v>
      </c>
      <c r="C222" s="1" t="s">
        <v>523</v>
      </c>
      <c r="D222" t="s">
        <v>524</v>
      </c>
      <c r="E222" t="s">
        <v>525</v>
      </c>
      <c r="F222">
        <v>12861</v>
      </c>
      <c r="G222">
        <v>13021</v>
      </c>
      <c r="H222">
        <v>0</v>
      </c>
      <c r="K222">
        <f>IF(Table2[[#This Row],[NeedsAttention]]=1,Table2[[#This Row],[Start]],Table2[[#This Row],[StartN]])</f>
        <v>12861</v>
      </c>
      <c r="L222">
        <f>IF(Table2[[#This Row],[NeedsAttention]]=1,Table2[[#This Row],[End]],Table2[[#This Row],[EndN]])</f>
        <v>13021</v>
      </c>
      <c r="M222" t="b">
        <f>Table2[[#This Row],[Merged.Start]]=L221+1</f>
        <v>1</v>
      </c>
      <c r="O222">
        <f>Table2[[#This Row],[Section]]</f>
        <v>221</v>
      </c>
      <c r="P222">
        <f>Table2[[#This Row],[Canon]]</f>
        <v>5</v>
      </c>
      <c r="Q222" s="1" t="str">
        <f>Table2[[#This Row],[Reference]]</f>
        <v>22.1-10</v>
      </c>
      <c r="R222" t="str">
        <f>Table2[[#This Row],[StartR]]</f>
        <v>MAT 22:1</v>
      </c>
      <c r="S222" t="str">
        <f>Table2[[#This Row],[EndR]]</f>
        <v>MAT 22:10</v>
      </c>
      <c r="T222">
        <f>Table2[[#This Row],[Merged.Start]]</f>
        <v>12861</v>
      </c>
      <c r="U222">
        <f>Table2[[#This Row],[Merged.End]]</f>
        <v>13021</v>
      </c>
    </row>
    <row r="223" spans="1:21" x14ac:dyDescent="0.25">
      <c r="A223">
        <v>222</v>
      </c>
      <c r="B223">
        <v>10</v>
      </c>
      <c r="C223" s="1" t="s">
        <v>526</v>
      </c>
      <c r="D223" t="s">
        <v>527</v>
      </c>
      <c r="E223" t="s">
        <v>528</v>
      </c>
      <c r="F223">
        <v>13022</v>
      </c>
      <c r="G223">
        <v>13083</v>
      </c>
      <c r="H223">
        <v>0</v>
      </c>
      <c r="K223">
        <f>IF(Table2[[#This Row],[NeedsAttention]]=1,Table2[[#This Row],[Start]],Table2[[#This Row],[StartN]])</f>
        <v>13022</v>
      </c>
      <c r="L223">
        <f>IF(Table2[[#This Row],[NeedsAttention]]=1,Table2[[#This Row],[End]],Table2[[#This Row],[EndN]])</f>
        <v>13083</v>
      </c>
      <c r="M223" t="b">
        <f>Table2[[#This Row],[Merged.Start]]=L222+1</f>
        <v>1</v>
      </c>
      <c r="O223">
        <f>Table2[[#This Row],[Section]]</f>
        <v>222</v>
      </c>
      <c r="P223">
        <f>Table2[[#This Row],[Canon]]</f>
        <v>10</v>
      </c>
      <c r="Q223" s="1" t="str">
        <f>Table2[[#This Row],[Reference]]</f>
        <v>22.11-14</v>
      </c>
      <c r="R223" t="str">
        <f>Table2[[#This Row],[StartR]]</f>
        <v>MAT 22:11</v>
      </c>
      <c r="S223" t="str">
        <f>Table2[[#This Row],[EndR]]</f>
        <v>MAT 22:14</v>
      </c>
      <c r="T223">
        <f>Table2[[#This Row],[Merged.Start]]</f>
        <v>13022</v>
      </c>
      <c r="U223">
        <f>Table2[[#This Row],[Merged.End]]</f>
        <v>13083</v>
      </c>
    </row>
    <row r="224" spans="1:21" x14ac:dyDescent="0.25">
      <c r="A224">
        <v>223</v>
      </c>
      <c r="B224">
        <v>2</v>
      </c>
      <c r="C224" s="1" t="s">
        <v>529</v>
      </c>
      <c r="D224" t="s">
        <v>530</v>
      </c>
      <c r="E224" t="s">
        <v>531</v>
      </c>
      <c r="F224">
        <v>13084</v>
      </c>
      <c r="G224">
        <v>13362</v>
      </c>
      <c r="H224">
        <v>0</v>
      </c>
      <c r="K224">
        <f>IF(Table2[[#This Row],[NeedsAttention]]=1,Table2[[#This Row],[Start]],Table2[[#This Row],[StartN]])</f>
        <v>13084</v>
      </c>
      <c r="L224">
        <f>IF(Table2[[#This Row],[NeedsAttention]]=1,Table2[[#This Row],[End]],Table2[[#This Row],[EndN]])</f>
        <v>13362</v>
      </c>
      <c r="M224" t="b">
        <f>Table2[[#This Row],[Merged.Start]]=L223+1</f>
        <v>1</v>
      </c>
      <c r="O224">
        <f>Table2[[#This Row],[Section]]</f>
        <v>223</v>
      </c>
      <c r="P224">
        <f>Table2[[#This Row],[Canon]]</f>
        <v>2</v>
      </c>
      <c r="Q224" s="1" t="str">
        <f>Table2[[#This Row],[Reference]]</f>
        <v>22.15-33</v>
      </c>
      <c r="R224" t="str">
        <f>Table2[[#This Row],[StartR]]</f>
        <v>MAT 22:15</v>
      </c>
      <c r="S224" t="str">
        <f>Table2[[#This Row],[EndR]]</f>
        <v>MAT 22:33</v>
      </c>
      <c r="T224">
        <f>Table2[[#This Row],[Merged.Start]]</f>
        <v>13084</v>
      </c>
      <c r="U224">
        <f>Table2[[#This Row],[Merged.End]]</f>
        <v>13362</v>
      </c>
    </row>
    <row r="225" spans="1:21" x14ac:dyDescent="0.25">
      <c r="A225">
        <v>224</v>
      </c>
      <c r="B225">
        <v>6</v>
      </c>
      <c r="C225" s="1" t="s">
        <v>532</v>
      </c>
      <c r="D225" t="s">
        <v>533</v>
      </c>
      <c r="E225" t="s">
        <v>534</v>
      </c>
      <c r="F225">
        <v>13363</v>
      </c>
      <c r="G225">
        <v>13444</v>
      </c>
      <c r="H225">
        <v>0</v>
      </c>
      <c r="K225">
        <f>IF(Table2[[#This Row],[NeedsAttention]]=1,Table2[[#This Row],[Start]],Table2[[#This Row],[StartN]])</f>
        <v>13363</v>
      </c>
      <c r="L225">
        <f>IF(Table2[[#This Row],[NeedsAttention]]=1,Table2[[#This Row],[End]],Table2[[#This Row],[EndN]])</f>
        <v>13444</v>
      </c>
      <c r="M225" t="b">
        <f>Table2[[#This Row],[Merged.Start]]=L224+1</f>
        <v>1</v>
      </c>
      <c r="O225">
        <f>Table2[[#This Row],[Section]]</f>
        <v>224</v>
      </c>
      <c r="P225">
        <f>Table2[[#This Row],[Canon]]</f>
        <v>6</v>
      </c>
      <c r="Q225" s="1" t="str">
        <f>Table2[[#This Row],[Reference]]</f>
        <v>22.34-40</v>
      </c>
      <c r="R225" t="str">
        <f>Table2[[#This Row],[StartR]]</f>
        <v>MAT 22:34</v>
      </c>
      <c r="S225" t="str">
        <f>Table2[[#This Row],[EndR]]</f>
        <v>MAT 22:40</v>
      </c>
      <c r="T225">
        <f>Table2[[#This Row],[Merged.Start]]</f>
        <v>13363</v>
      </c>
      <c r="U225">
        <f>Table2[[#This Row],[Merged.End]]</f>
        <v>13444</v>
      </c>
    </row>
    <row r="226" spans="1:21" x14ac:dyDescent="0.25">
      <c r="A226">
        <v>225</v>
      </c>
      <c r="B226">
        <v>2</v>
      </c>
      <c r="C226" s="1" t="s">
        <v>535</v>
      </c>
      <c r="D226" t="s">
        <v>536</v>
      </c>
      <c r="E226" t="s">
        <v>537</v>
      </c>
      <c r="F226">
        <v>13445</v>
      </c>
      <c r="G226">
        <v>13506</v>
      </c>
      <c r="H226">
        <v>0</v>
      </c>
      <c r="K226">
        <f>IF(Table2[[#This Row],[NeedsAttention]]=1,Table2[[#This Row],[Start]],Table2[[#This Row],[StartN]])</f>
        <v>13445</v>
      </c>
      <c r="L226">
        <f>IF(Table2[[#This Row],[NeedsAttention]]=1,Table2[[#This Row],[End]],Table2[[#This Row],[EndN]])</f>
        <v>13506</v>
      </c>
      <c r="M226" t="b">
        <f>Table2[[#This Row],[Merged.Start]]=L225+1</f>
        <v>1</v>
      </c>
      <c r="O226">
        <f>Table2[[#This Row],[Section]]</f>
        <v>225</v>
      </c>
      <c r="P226">
        <f>Table2[[#This Row],[Canon]]</f>
        <v>2</v>
      </c>
      <c r="Q226" s="1" t="str">
        <f>Table2[[#This Row],[Reference]]</f>
        <v>22.41-45</v>
      </c>
      <c r="R226" t="str">
        <f>Table2[[#This Row],[StartR]]</f>
        <v>MAT 22:41</v>
      </c>
      <c r="S226" t="str">
        <f>Table2[[#This Row],[EndR]]</f>
        <v>MAT 22:45</v>
      </c>
      <c r="T226">
        <f>Table2[[#This Row],[Merged.Start]]</f>
        <v>13445</v>
      </c>
      <c r="U226">
        <f>Table2[[#This Row],[Merged.End]]</f>
        <v>13506</v>
      </c>
    </row>
    <row r="227" spans="1:21" x14ac:dyDescent="0.25">
      <c r="A227">
        <v>226</v>
      </c>
      <c r="B227">
        <v>2</v>
      </c>
      <c r="C227" s="1">
        <v>22.46</v>
      </c>
      <c r="D227" t="s">
        <v>538</v>
      </c>
      <c r="E227" t="s">
        <v>538</v>
      </c>
      <c r="F227">
        <v>13507</v>
      </c>
      <c r="G227">
        <v>13522</v>
      </c>
      <c r="H227">
        <v>0</v>
      </c>
      <c r="K227">
        <f>IF(Table2[[#This Row],[NeedsAttention]]=1,Table2[[#This Row],[Start]],Table2[[#This Row],[StartN]])</f>
        <v>13507</v>
      </c>
      <c r="L227">
        <f>IF(Table2[[#This Row],[NeedsAttention]]=1,Table2[[#This Row],[End]],Table2[[#This Row],[EndN]])</f>
        <v>13522</v>
      </c>
      <c r="M227" t="b">
        <f>Table2[[#This Row],[Merged.Start]]=L226+1</f>
        <v>1</v>
      </c>
      <c r="O227">
        <f>Table2[[#This Row],[Section]]</f>
        <v>226</v>
      </c>
      <c r="P227">
        <f>Table2[[#This Row],[Canon]]</f>
        <v>2</v>
      </c>
      <c r="Q227" s="1">
        <f>Table2[[#This Row],[Reference]]</f>
        <v>22.46</v>
      </c>
      <c r="R227" t="str">
        <f>Table2[[#This Row],[StartR]]</f>
        <v>MAT 22:46</v>
      </c>
      <c r="S227" t="str">
        <f>Table2[[#This Row],[EndR]]</f>
        <v>MAT 22:46</v>
      </c>
      <c r="T227">
        <f>Table2[[#This Row],[Merged.Start]]</f>
        <v>13507</v>
      </c>
      <c r="U227">
        <f>Table2[[#This Row],[Merged.End]]</f>
        <v>13522</v>
      </c>
    </row>
    <row r="228" spans="1:21" x14ac:dyDescent="0.25">
      <c r="A228">
        <v>227</v>
      </c>
      <c r="B228">
        <v>10</v>
      </c>
      <c r="C228" s="1" t="s">
        <v>539</v>
      </c>
      <c r="D228" t="s">
        <v>540</v>
      </c>
      <c r="E228" t="s">
        <v>541</v>
      </c>
      <c r="F228">
        <v>13523</v>
      </c>
      <c r="G228">
        <v>13564</v>
      </c>
      <c r="H228">
        <v>0</v>
      </c>
      <c r="K228">
        <f>IF(Table2[[#This Row],[NeedsAttention]]=1,Table2[[#This Row],[Start]],Table2[[#This Row],[StartN]])</f>
        <v>13523</v>
      </c>
      <c r="L228">
        <f>IF(Table2[[#This Row],[NeedsAttention]]=1,Table2[[#This Row],[End]],Table2[[#This Row],[EndN]])</f>
        <v>13564</v>
      </c>
      <c r="M228" t="b">
        <f>Table2[[#This Row],[Merged.Start]]=L227+1</f>
        <v>1</v>
      </c>
      <c r="O228">
        <f>Table2[[#This Row],[Section]]</f>
        <v>227</v>
      </c>
      <c r="P228">
        <f>Table2[[#This Row],[Canon]]</f>
        <v>10</v>
      </c>
      <c r="Q228" s="1" t="str">
        <f>Table2[[#This Row],[Reference]]</f>
        <v>23.1-3</v>
      </c>
      <c r="R228" t="str">
        <f>Table2[[#This Row],[StartR]]</f>
        <v>MAT 23:1</v>
      </c>
      <c r="S228" t="str">
        <f>Table2[[#This Row],[EndR]]</f>
        <v>MAT 23:3</v>
      </c>
      <c r="T228">
        <f>Table2[[#This Row],[Merged.Start]]</f>
        <v>13523</v>
      </c>
      <c r="U228">
        <f>Table2[[#This Row],[Merged.End]]</f>
        <v>13564</v>
      </c>
    </row>
    <row r="229" spans="1:21" x14ac:dyDescent="0.25">
      <c r="A229">
        <v>228</v>
      </c>
      <c r="B229">
        <v>5</v>
      </c>
      <c r="C229" s="1">
        <v>23.4</v>
      </c>
      <c r="D229" t="s">
        <v>542</v>
      </c>
      <c r="E229" t="s">
        <v>542</v>
      </c>
      <c r="F229">
        <v>13565</v>
      </c>
      <c r="G229">
        <v>13584</v>
      </c>
      <c r="H229">
        <v>0</v>
      </c>
      <c r="K229">
        <f>IF(Table2[[#This Row],[NeedsAttention]]=1,Table2[[#This Row],[Start]],Table2[[#This Row],[StartN]])</f>
        <v>13565</v>
      </c>
      <c r="L229">
        <f>IF(Table2[[#This Row],[NeedsAttention]]=1,Table2[[#This Row],[End]],Table2[[#This Row],[EndN]])</f>
        <v>13584</v>
      </c>
      <c r="M229" t="b">
        <f>Table2[[#This Row],[Merged.Start]]=L228+1</f>
        <v>1</v>
      </c>
      <c r="O229">
        <f>Table2[[#This Row],[Section]]</f>
        <v>228</v>
      </c>
      <c r="P229">
        <f>Table2[[#This Row],[Canon]]</f>
        <v>5</v>
      </c>
      <c r="Q229" s="1">
        <f>Table2[[#This Row],[Reference]]</f>
        <v>23.4</v>
      </c>
      <c r="R229" t="str">
        <f>Table2[[#This Row],[StartR]]</f>
        <v>MAT 23:4</v>
      </c>
      <c r="S229" t="str">
        <f>Table2[[#This Row],[EndR]]</f>
        <v>MAT 23:4</v>
      </c>
      <c r="T229">
        <f>Table2[[#This Row],[Merged.Start]]</f>
        <v>13565</v>
      </c>
      <c r="U229">
        <f>Table2[[#This Row],[Merged.End]]</f>
        <v>13584</v>
      </c>
    </row>
    <row r="230" spans="1:21" x14ac:dyDescent="0.25">
      <c r="A230">
        <v>229</v>
      </c>
      <c r="B230">
        <v>2</v>
      </c>
      <c r="C230" s="1" t="s">
        <v>543</v>
      </c>
      <c r="D230" t="s">
        <v>544</v>
      </c>
      <c r="E230" t="s">
        <v>545</v>
      </c>
      <c r="F230">
        <v>13585</v>
      </c>
      <c r="G230">
        <v>13629</v>
      </c>
      <c r="H230">
        <v>0</v>
      </c>
      <c r="K230">
        <f>IF(Table2[[#This Row],[NeedsAttention]]=1,Table2[[#This Row],[Start]],Table2[[#This Row],[StartN]])</f>
        <v>13585</v>
      </c>
      <c r="L230">
        <f>IF(Table2[[#This Row],[NeedsAttention]]=1,Table2[[#This Row],[End]],Table2[[#This Row],[EndN]])</f>
        <v>13629</v>
      </c>
      <c r="M230" t="b">
        <f>Table2[[#This Row],[Merged.Start]]=L229+1</f>
        <v>1</v>
      </c>
      <c r="O230">
        <f>Table2[[#This Row],[Section]]</f>
        <v>229</v>
      </c>
      <c r="P230">
        <f>Table2[[#This Row],[Canon]]</f>
        <v>2</v>
      </c>
      <c r="Q230" s="1" t="str">
        <f>Table2[[#This Row],[Reference]]</f>
        <v>23.5-7</v>
      </c>
      <c r="R230" t="str">
        <f>Table2[[#This Row],[StartR]]</f>
        <v>MAT 23:5</v>
      </c>
      <c r="S230" t="str">
        <f>Table2[[#This Row],[EndR]]</f>
        <v>MAT 23:7</v>
      </c>
      <c r="T230">
        <f>Table2[[#This Row],[Merged.Start]]</f>
        <v>13585</v>
      </c>
      <c r="U230">
        <f>Table2[[#This Row],[Merged.End]]</f>
        <v>13629</v>
      </c>
    </row>
    <row r="231" spans="1:21" x14ac:dyDescent="0.25">
      <c r="A231">
        <v>230</v>
      </c>
      <c r="B231">
        <v>10</v>
      </c>
      <c r="C231" s="1" t="s">
        <v>546</v>
      </c>
      <c r="D231" t="s">
        <v>547</v>
      </c>
      <c r="E231" t="s">
        <v>548</v>
      </c>
      <c r="F231">
        <v>13630</v>
      </c>
      <c r="G231">
        <v>13678</v>
      </c>
      <c r="H231">
        <v>0</v>
      </c>
      <c r="K231">
        <f>IF(Table2[[#This Row],[NeedsAttention]]=1,Table2[[#This Row],[Start]],Table2[[#This Row],[StartN]])</f>
        <v>13630</v>
      </c>
      <c r="L231">
        <f>IF(Table2[[#This Row],[NeedsAttention]]=1,Table2[[#This Row],[End]],Table2[[#This Row],[EndN]])</f>
        <v>13678</v>
      </c>
      <c r="M231" t="b">
        <f>Table2[[#This Row],[Merged.Start]]=L230+1</f>
        <v>1</v>
      </c>
      <c r="O231">
        <f>Table2[[#This Row],[Section]]</f>
        <v>230</v>
      </c>
      <c r="P231">
        <f>Table2[[#This Row],[Canon]]</f>
        <v>10</v>
      </c>
      <c r="Q231" s="1" t="str">
        <f>Table2[[#This Row],[Reference]]</f>
        <v>23.8-11</v>
      </c>
      <c r="R231" t="str">
        <f>Table2[[#This Row],[StartR]]</f>
        <v>MAT 23:8</v>
      </c>
      <c r="S231" t="str">
        <f>Table2[[#This Row],[EndR]]</f>
        <v>MAT 23:11</v>
      </c>
      <c r="T231">
        <f>Table2[[#This Row],[Merged.Start]]</f>
        <v>13630</v>
      </c>
      <c r="U231">
        <f>Table2[[#This Row],[Merged.End]]</f>
        <v>13678</v>
      </c>
    </row>
    <row r="232" spans="1:21" x14ac:dyDescent="0.25">
      <c r="A232">
        <v>231</v>
      </c>
      <c r="B232">
        <v>5</v>
      </c>
      <c r="C232" s="1">
        <v>23.12</v>
      </c>
      <c r="D232" t="s">
        <v>549</v>
      </c>
      <c r="E232" t="s">
        <v>549</v>
      </c>
      <c r="F232">
        <v>13679</v>
      </c>
      <c r="G232">
        <v>13688</v>
      </c>
      <c r="H232">
        <v>0</v>
      </c>
      <c r="K232">
        <f>IF(Table2[[#This Row],[NeedsAttention]]=1,Table2[[#This Row],[Start]],Table2[[#This Row],[StartN]])</f>
        <v>13679</v>
      </c>
      <c r="L232">
        <f>IF(Table2[[#This Row],[NeedsAttention]]=1,Table2[[#This Row],[End]],Table2[[#This Row],[EndN]])</f>
        <v>13688</v>
      </c>
      <c r="M232" t="b">
        <f>Table2[[#This Row],[Merged.Start]]=L231+1</f>
        <v>1</v>
      </c>
      <c r="O232">
        <f>Table2[[#This Row],[Section]]</f>
        <v>231</v>
      </c>
      <c r="P232">
        <f>Table2[[#This Row],[Canon]]</f>
        <v>5</v>
      </c>
      <c r="Q232" s="1">
        <f>Table2[[#This Row],[Reference]]</f>
        <v>23.12</v>
      </c>
      <c r="R232" t="str">
        <f>Table2[[#This Row],[StartR]]</f>
        <v>MAT 23:12</v>
      </c>
      <c r="S232" t="str">
        <f>Table2[[#This Row],[EndR]]</f>
        <v>MAT 23:12</v>
      </c>
      <c r="T232">
        <f>Table2[[#This Row],[Merged.Start]]</f>
        <v>13679</v>
      </c>
      <c r="U232">
        <f>Table2[[#This Row],[Merged.End]]</f>
        <v>13688</v>
      </c>
    </row>
    <row r="233" spans="1:21" x14ac:dyDescent="0.25">
      <c r="A233">
        <v>232</v>
      </c>
      <c r="B233">
        <v>5</v>
      </c>
      <c r="C233" s="1" t="s">
        <v>550</v>
      </c>
      <c r="D233" t="s">
        <v>2554</v>
      </c>
      <c r="E233" t="s">
        <v>2554</v>
      </c>
      <c r="F233">
        <v>0</v>
      </c>
      <c r="G233">
        <v>0</v>
      </c>
      <c r="H233">
        <v>1</v>
      </c>
      <c r="I233">
        <v>13689</v>
      </c>
      <c r="J233">
        <v>13713</v>
      </c>
      <c r="K233">
        <f>IF(Table2[[#This Row],[NeedsAttention]]=1,Table2[[#This Row],[Start]],Table2[[#This Row],[StartN]])</f>
        <v>13689</v>
      </c>
      <c r="L233">
        <f>IF(Table2[[#This Row],[NeedsAttention]]=1,Table2[[#This Row],[End]],Table2[[#This Row],[EndN]])</f>
        <v>13713</v>
      </c>
      <c r="M233" t="b">
        <f>Table2[[#This Row],[Merged.Start]]=L232+1</f>
        <v>1</v>
      </c>
      <c r="O233">
        <f>Table2[[#This Row],[Section]]</f>
        <v>232</v>
      </c>
      <c r="P233">
        <f>Table2[[#This Row],[Canon]]</f>
        <v>5</v>
      </c>
      <c r="Q233" s="1" t="str">
        <f>Table2[[#This Row],[Reference]]</f>
        <v>23.13 (-14, in note)</v>
      </c>
      <c r="R233" t="str">
        <f>Table2[[#This Row],[StartR]]</f>
        <v>MAT 23:13</v>
      </c>
      <c r="S233" t="str">
        <f>Table2[[#This Row],[EndR]]</f>
        <v>MAT 23:13</v>
      </c>
      <c r="T233">
        <f>Table2[[#This Row],[Merged.Start]]</f>
        <v>13689</v>
      </c>
      <c r="U233">
        <f>Table2[[#This Row],[Merged.End]]</f>
        <v>13713</v>
      </c>
    </row>
    <row r="234" spans="1:21" x14ac:dyDescent="0.25">
      <c r="A234">
        <v>233</v>
      </c>
      <c r="B234">
        <v>10</v>
      </c>
      <c r="C234" s="1" t="s">
        <v>551</v>
      </c>
      <c r="D234" t="s">
        <v>552</v>
      </c>
      <c r="E234" t="s">
        <v>553</v>
      </c>
      <c r="F234">
        <v>13714</v>
      </c>
      <c r="G234">
        <v>13858</v>
      </c>
      <c r="H234">
        <v>0</v>
      </c>
      <c r="K234">
        <f>IF(Table2[[#This Row],[NeedsAttention]]=1,Table2[[#This Row],[Start]],Table2[[#This Row],[StartN]])</f>
        <v>13714</v>
      </c>
      <c r="L234">
        <f>IF(Table2[[#This Row],[NeedsAttention]]=1,Table2[[#This Row],[End]],Table2[[#This Row],[EndN]])</f>
        <v>13858</v>
      </c>
      <c r="M234" t="b">
        <f>Table2[[#This Row],[Merged.Start]]=L233+1</f>
        <v>1</v>
      </c>
      <c r="O234">
        <f>Table2[[#This Row],[Section]]</f>
        <v>233</v>
      </c>
      <c r="P234">
        <f>Table2[[#This Row],[Canon]]</f>
        <v>10</v>
      </c>
      <c r="Q234" s="1" t="str">
        <f>Table2[[#This Row],[Reference]]</f>
        <v>23.15-22</v>
      </c>
      <c r="R234" t="str">
        <f>Table2[[#This Row],[StartR]]</f>
        <v>MAT 23:15</v>
      </c>
      <c r="S234" t="str">
        <f>Table2[[#This Row],[EndR]]</f>
        <v>MAT 23:22</v>
      </c>
      <c r="T234">
        <f>Table2[[#This Row],[Merged.Start]]</f>
        <v>13714</v>
      </c>
      <c r="U234">
        <f>Table2[[#This Row],[Merged.End]]</f>
        <v>13858</v>
      </c>
    </row>
    <row r="235" spans="1:21" x14ac:dyDescent="0.25">
      <c r="A235">
        <v>234</v>
      </c>
      <c r="B235">
        <v>5</v>
      </c>
      <c r="C235" s="1">
        <v>23.23</v>
      </c>
      <c r="D235" t="s">
        <v>554</v>
      </c>
      <c r="E235" t="s">
        <v>554</v>
      </c>
      <c r="F235">
        <v>13859</v>
      </c>
      <c r="G235">
        <v>13894</v>
      </c>
      <c r="H235">
        <v>0</v>
      </c>
      <c r="K235">
        <f>IF(Table2[[#This Row],[NeedsAttention]]=1,Table2[[#This Row],[Start]],Table2[[#This Row],[StartN]])</f>
        <v>13859</v>
      </c>
      <c r="L235">
        <f>IF(Table2[[#This Row],[NeedsAttention]]=1,Table2[[#This Row],[End]],Table2[[#This Row],[EndN]])</f>
        <v>13894</v>
      </c>
      <c r="M235" t="b">
        <f>Table2[[#This Row],[Merged.Start]]=L234+1</f>
        <v>1</v>
      </c>
      <c r="O235">
        <f>Table2[[#This Row],[Section]]</f>
        <v>234</v>
      </c>
      <c r="P235">
        <f>Table2[[#This Row],[Canon]]</f>
        <v>5</v>
      </c>
      <c r="Q235" s="1">
        <f>Table2[[#This Row],[Reference]]</f>
        <v>23.23</v>
      </c>
      <c r="R235" t="str">
        <f>Table2[[#This Row],[StartR]]</f>
        <v>MAT 23:23</v>
      </c>
      <c r="S235" t="str">
        <f>Table2[[#This Row],[EndR]]</f>
        <v>MAT 23:23</v>
      </c>
      <c r="T235">
        <f>Table2[[#This Row],[Merged.Start]]</f>
        <v>13859</v>
      </c>
      <c r="U235">
        <f>Table2[[#This Row],[Merged.End]]</f>
        <v>13894</v>
      </c>
    </row>
    <row r="236" spans="1:21" x14ac:dyDescent="0.25">
      <c r="A236">
        <v>235</v>
      </c>
      <c r="B236">
        <v>10</v>
      </c>
      <c r="C236" s="1">
        <v>23.24</v>
      </c>
      <c r="D236" t="s">
        <v>555</v>
      </c>
      <c r="E236" t="s">
        <v>555</v>
      </c>
      <c r="F236">
        <v>13895</v>
      </c>
      <c r="G236">
        <v>13904</v>
      </c>
      <c r="H236">
        <v>0</v>
      </c>
      <c r="K236">
        <f>IF(Table2[[#This Row],[NeedsAttention]]=1,Table2[[#This Row],[Start]],Table2[[#This Row],[StartN]])</f>
        <v>13895</v>
      </c>
      <c r="L236">
        <f>IF(Table2[[#This Row],[NeedsAttention]]=1,Table2[[#This Row],[End]],Table2[[#This Row],[EndN]])</f>
        <v>13904</v>
      </c>
      <c r="M236" t="b">
        <f>Table2[[#This Row],[Merged.Start]]=L235+1</f>
        <v>1</v>
      </c>
      <c r="O236">
        <f>Table2[[#This Row],[Section]]</f>
        <v>235</v>
      </c>
      <c r="P236">
        <f>Table2[[#This Row],[Canon]]</f>
        <v>10</v>
      </c>
      <c r="Q236" s="1">
        <f>Table2[[#This Row],[Reference]]</f>
        <v>23.24</v>
      </c>
      <c r="R236" t="str">
        <f>Table2[[#This Row],[StartR]]</f>
        <v>MAT 23:24</v>
      </c>
      <c r="S236" t="str">
        <f>Table2[[#This Row],[EndR]]</f>
        <v>MAT 23:24</v>
      </c>
      <c r="T236">
        <f>Table2[[#This Row],[Merged.Start]]</f>
        <v>13895</v>
      </c>
      <c r="U236">
        <f>Table2[[#This Row],[Merged.End]]</f>
        <v>13904</v>
      </c>
    </row>
    <row r="237" spans="1:21" x14ac:dyDescent="0.25">
      <c r="A237">
        <v>236</v>
      </c>
      <c r="B237">
        <v>5</v>
      </c>
      <c r="C237" s="1" t="s">
        <v>556</v>
      </c>
      <c r="D237" t="s">
        <v>557</v>
      </c>
      <c r="E237" t="s">
        <v>558</v>
      </c>
      <c r="F237">
        <v>13905</v>
      </c>
      <c r="G237">
        <v>13944</v>
      </c>
      <c r="H237">
        <v>0</v>
      </c>
      <c r="K237">
        <f>IF(Table2[[#This Row],[NeedsAttention]]=1,Table2[[#This Row],[Start]],Table2[[#This Row],[StartN]])</f>
        <v>13905</v>
      </c>
      <c r="L237">
        <f>IF(Table2[[#This Row],[NeedsAttention]]=1,Table2[[#This Row],[End]],Table2[[#This Row],[EndN]])</f>
        <v>13944</v>
      </c>
      <c r="M237" t="b">
        <f>Table2[[#This Row],[Merged.Start]]=L236+1</f>
        <v>1</v>
      </c>
      <c r="O237">
        <f>Table2[[#This Row],[Section]]</f>
        <v>236</v>
      </c>
      <c r="P237">
        <f>Table2[[#This Row],[Canon]]</f>
        <v>5</v>
      </c>
      <c r="Q237" s="1" t="str">
        <f>Table2[[#This Row],[Reference]]</f>
        <v>23.25-26</v>
      </c>
      <c r="R237" t="str">
        <f>Table2[[#This Row],[StartR]]</f>
        <v>MAT 23:25</v>
      </c>
      <c r="S237" t="str">
        <f>Table2[[#This Row],[EndR]]</f>
        <v>MAT 23:26</v>
      </c>
      <c r="T237">
        <f>Table2[[#This Row],[Merged.Start]]</f>
        <v>13905</v>
      </c>
      <c r="U237">
        <f>Table2[[#This Row],[Merged.End]]</f>
        <v>13944</v>
      </c>
    </row>
    <row r="238" spans="1:21" x14ac:dyDescent="0.25">
      <c r="A238">
        <v>237</v>
      </c>
      <c r="B238">
        <v>5</v>
      </c>
      <c r="C238" s="1" t="s">
        <v>559</v>
      </c>
      <c r="D238" t="s">
        <v>560</v>
      </c>
      <c r="E238" t="s">
        <v>561</v>
      </c>
      <c r="F238">
        <v>13945</v>
      </c>
      <c r="G238">
        <v>13983</v>
      </c>
      <c r="H238">
        <v>0</v>
      </c>
      <c r="K238">
        <f>IF(Table2[[#This Row],[NeedsAttention]]=1,Table2[[#This Row],[Start]],Table2[[#This Row],[StartN]])</f>
        <v>13945</v>
      </c>
      <c r="L238">
        <f>IF(Table2[[#This Row],[NeedsAttention]]=1,Table2[[#This Row],[End]],Table2[[#This Row],[EndN]])</f>
        <v>13983</v>
      </c>
      <c r="M238" t="b">
        <f>Table2[[#This Row],[Merged.Start]]=L237+1</f>
        <v>1</v>
      </c>
      <c r="O238">
        <f>Table2[[#This Row],[Section]]</f>
        <v>237</v>
      </c>
      <c r="P238">
        <f>Table2[[#This Row],[Canon]]</f>
        <v>5</v>
      </c>
      <c r="Q238" s="1" t="str">
        <f>Table2[[#This Row],[Reference]]</f>
        <v>23.27-28</v>
      </c>
      <c r="R238" t="str">
        <f>Table2[[#This Row],[StartR]]</f>
        <v>MAT 23:27</v>
      </c>
      <c r="S238" t="str">
        <f>Table2[[#This Row],[EndR]]</f>
        <v>MAT 23:28</v>
      </c>
      <c r="T238">
        <f>Table2[[#This Row],[Merged.Start]]</f>
        <v>13945</v>
      </c>
      <c r="U238">
        <f>Table2[[#This Row],[Merged.End]]</f>
        <v>13983</v>
      </c>
    </row>
    <row r="239" spans="1:21" x14ac:dyDescent="0.25">
      <c r="A239">
        <v>238</v>
      </c>
      <c r="B239">
        <v>5</v>
      </c>
      <c r="C239" s="1" t="s">
        <v>562</v>
      </c>
      <c r="D239" t="s">
        <v>563</v>
      </c>
      <c r="E239" t="s">
        <v>564</v>
      </c>
      <c r="F239">
        <v>13984</v>
      </c>
      <c r="G239">
        <v>14039</v>
      </c>
      <c r="H239">
        <v>0</v>
      </c>
      <c r="K239">
        <f>IF(Table2[[#This Row],[NeedsAttention]]=1,Table2[[#This Row],[Start]],Table2[[#This Row],[StartN]])</f>
        <v>13984</v>
      </c>
      <c r="L239">
        <f>IF(Table2[[#This Row],[NeedsAttention]]=1,Table2[[#This Row],[End]],Table2[[#This Row],[EndN]])</f>
        <v>14039</v>
      </c>
      <c r="M239" t="b">
        <f>Table2[[#This Row],[Merged.Start]]=L238+1</f>
        <v>1</v>
      </c>
      <c r="O239">
        <f>Table2[[#This Row],[Section]]</f>
        <v>238</v>
      </c>
      <c r="P239">
        <f>Table2[[#This Row],[Canon]]</f>
        <v>5</v>
      </c>
      <c r="Q239" s="1" t="str">
        <f>Table2[[#This Row],[Reference]]</f>
        <v>23.29-32</v>
      </c>
      <c r="R239" t="str">
        <f>Table2[[#This Row],[StartR]]</f>
        <v>MAT 23:29</v>
      </c>
      <c r="S239" t="str">
        <f>Table2[[#This Row],[EndR]]</f>
        <v>MAT 23:32</v>
      </c>
      <c r="T239">
        <f>Table2[[#This Row],[Merged.Start]]</f>
        <v>13984</v>
      </c>
      <c r="U239">
        <f>Table2[[#This Row],[Merged.End]]</f>
        <v>14039</v>
      </c>
    </row>
    <row r="240" spans="1:21" x14ac:dyDescent="0.25">
      <c r="A240">
        <v>239</v>
      </c>
      <c r="B240">
        <v>10</v>
      </c>
      <c r="C240" s="1">
        <v>23.33</v>
      </c>
      <c r="D240" t="s">
        <v>565</v>
      </c>
      <c r="E240" t="s">
        <v>565</v>
      </c>
      <c r="F240">
        <v>14040</v>
      </c>
      <c r="G240">
        <v>14049</v>
      </c>
      <c r="H240">
        <v>0</v>
      </c>
      <c r="K240">
        <f>IF(Table2[[#This Row],[NeedsAttention]]=1,Table2[[#This Row],[Start]],Table2[[#This Row],[StartN]])</f>
        <v>14040</v>
      </c>
      <c r="L240">
        <f>IF(Table2[[#This Row],[NeedsAttention]]=1,Table2[[#This Row],[End]],Table2[[#This Row],[EndN]])</f>
        <v>14049</v>
      </c>
      <c r="M240" t="b">
        <f>Table2[[#This Row],[Merged.Start]]=L239+1</f>
        <v>1</v>
      </c>
      <c r="O240">
        <f>Table2[[#This Row],[Section]]</f>
        <v>239</v>
      </c>
      <c r="P240">
        <f>Table2[[#This Row],[Canon]]</f>
        <v>10</v>
      </c>
      <c r="Q240" s="1">
        <f>Table2[[#This Row],[Reference]]</f>
        <v>23.33</v>
      </c>
      <c r="R240" t="str">
        <f>Table2[[#This Row],[StartR]]</f>
        <v>MAT 23:33</v>
      </c>
      <c r="S240" t="str">
        <f>Table2[[#This Row],[EndR]]</f>
        <v>MAT 23:33</v>
      </c>
      <c r="T240">
        <f>Table2[[#This Row],[Merged.Start]]</f>
        <v>14040</v>
      </c>
      <c r="U240">
        <f>Table2[[#This Row],[Merged.End]]</f>
        <v>14049</v>
      </c>
    </row>
    <row r="241" spans="1:21" x14ac:dyDescent="0.25">
      <c r="A241">
        <v>240</v>
      </c>
      <c r="B241">
        <v>5</v>
      </c>
      <c r="C241" s="1" t="s">
        <v>566</v>
      </c>
      <c r="D241" t="s">
        <v>567</v>
      </c>
      <c r="E241" t="s">
        <v>568</v>
      </c>
      <c r="F241">
        <v>14050</v>
      </c>
      <c r="G241">
        <v>14121</v>
      </c>
      <c r="H241">
        <v>0</v>
      </c>
      <c r="K241">
        <f>IF(Table2[[#This Row],[NeedsAttention]]=1,Table2[[#This Row],[Start]],Table2[[#This Row],[StartN]])</f>
        <v>14050</v>
      </c>
      <c r="L241">
        <f>IF(Table2[[#This Row],[NeedsAttention]]=1,Table2[[#This Row],[End]],Table2[[#This Row],[EndN]])</f>
        <v>14121</v>
      </c>
      <c r="M241" t="b">
        <f>Table2[[#This Row],[Merged.Start]]=L240+1</f>
        <v>1</v>
      </c>
      <c r="O241">
        <f>Table2[[#This Row],[Section]]</f>
        <v>240</v>
      </c>
      <c r="P241">
        <f>Table2[[#This Row],[Canon]]</f>
        <v>5</v>
      </c>
      <c r="Q241" s="1" t="str">
        <f>Table2[[#This Row],[Reference]]</f>
        <v>23.34-36</v>
      </c>
      <c r="R241" t="str">
        <f>Table2[[#This Row],[StartR]]</f>
        <v>MAT 23:34</v>
      </c>
      <c r="S241" t="str">
        <f>Table2[[#This Row],[EndR]]</f>
        <v>MAT 23:36</v>
      </c>
      <c r="T241">
        <f>Table2[[#This Row],[Merged.Start]]</f>
        <v>14050</v>
      </c>
      <c r="U241">
        <f>Table2[[#This Row],[Merged.End]]</f>
        <v>14121</v>
      </c>
    </row>
    <row r="242" spans="1:21" x14ac:dyDescent="0.25">
      <c r="A242">
        <v>241</v>
      </c>
      <c r="B242">
        <v>5</v>
      </c>
      <c r="C242" s="1" t="s">
        <v>569</v>
      </c>
      <c r="D242" t="s">
        <v>570</v>
      </c>
      <c r="E242" t="s">
        <v>571</v>
      </c>
      <c r="F242">
        <v>14122</v>
      </c>
      <c r="G242">
        <v>14177</v>
      </c>
      <c r="H242">
        <v>0</v>
      </c>
      <c r="K242">
        <f>IF(Table2[[#This Row],[NeedsAttention]]=1,Table2[[#This Row],[Start]],Table2[[#This Row],[StartN]])</f>
        <v>14122</v>
      </c>
      <c r="L242">
        <f>IF(Table2[[#This Row],[NeedsAttention]]=1,Table2[[#This Row],[End]],Table2[[#This Row],[EndN]])</f>
        <v>14177</v>
      </c>
      <c r="M242" t="b">
        <f>Table2[[#This Row],[Merged.Start]]=L241+1</f>
        <v>1</v>
      </c>
      <c r="O242">
        <f>Table2[[#This Row],[Section]]</f>
        <v>241</v>
      </c>
      <c r="P242">
        <f>Table2[[#This Row],[Canon]]</f>
        <v>5</v>
      </c>
      <c r="Q242" s="1" t="str">
        <f>Table2[[#This Row],[Reference]]</f>
        <v>23.37-39</v>
      </c>
      <c r="R242" t="str">
        <f>Table2[[#This Row],[StartR]]</f>
        <v>MAT 23:37</v>
      </c>
      <c r="S242" t="str">
        <f>Table2[[#This Row],[EndR]]</f>
        <v>MAT 23:39</v>
      </c>
      <c r="T242">
        <f>Table2[[#This Row],[Merged.Start]]</f>
        <v>14122</v>
      </c>
      <c r="U242">
        <f>Table2[[#This Row],[Merged.End]]</f>
        <v>14177</v>
      </c>
    </row>
    <row r="243" spans="1:21" x14ac:dyDescent="0.25">
      <c r="A243">
        <v>242</v>
      </c>
      <c r="B243">
        <v>2</v>
      </c>
      <c r="C243" s="1" t="s">
        <v>572</v>
      </c>
      <c r="D243" t="s">
        <v>573</v>
      </c>
      <c r="E243" t="s">
        <v>574</v>
      </c>
      <c r="F243">
        <v>14178</v>
      </c>
      <c r="G243">
        <v>14218</v>
      </c>
      <c r="H243">
        <v>0</v>
      </c>
      <c r="K243">
        <f>IF(Table2[[#This Row],[NeedsAttention]]=1,Table2[[#This Row],[Start]],Table2[[#This Row],[StartN]])</f>
        <v>14178</v>
      </c>
      <c r="L243">
        <f>IF(Table2[[#This Row],[NeedsAttention]]=1,Table2[[#This Row],[End]],Table2[[#This Row],[EndN]])</f>
        <v>14218</v>
      </c>
      <c r="M243" t="b">
        <f>Table2[[#This Row],[Merged.Start]]=L242+1</f>
        <v>1</v>
      </c>
      <c r="O243">
        <f>Table2[[#This Row],[Section]]</f>
        <v>242</v>
      </c>
      <c r="P243">
        <f>Table2[[#This Row],[Canon]]</f>
        <v>2</v>
      </c>
      <c r="Q243" s="1" t="str">
        <f>Table2[[#This Row],[Reference]]</f>
        <v>24.1-2</v>
      </c>
      <c r="R243" t="str">
        <f>Table2[[#This Row],[StartR]]</f>
        <v>MAT 24:1</v>
      </c>
      <c r="S243" t="str">
        <f>Table2[[#This Row],[EndR]]</f>
        <v>MAT 24:2</v>
      </c>
      <c r="T243">
        <f>Table2[[#This Row],[Merged.Start]]</f>
        <v>14178</v>
      </c>
      <c r="U243">
        <f>Table2[[#This Row],[Merged.End]]</f>
        <v>14218</v>
      </c>
    </row>
    <row r="244" spans="1:21" x14ac:dyDescent="0.25">
      <c r="A244">
        <v>243</v>
      </c>
      <c r="B244">
        <v>2</v>
      </c>
      <c r="C244" s="1" t="s">
        <v>575</v>
      </c>
      <c r="D244" t="s">
        <v>576</v>
      </c>
      <c r="E244" t="s">
        <v>577</v>
      </c>
      <c r="F244">
        <v>14219</v>
      </c>
      <c r="G244">
        <v>14314</v>
      </c>
      <c r="H244">
        <v>0</v>
      </c>
      <c r="K244">
        <f>IF(Table2[[#This Row],[NeedsAttention]]=1,Table2[[#This Row],[Start]],Table2[[#This Row],[StartN]])</f>
        <v>14219</v>
      </c>
      <c r="L244">
        <f>IF(Table2[[#This Row],[NeedsAttention]]=1,Table2[[#This Row],[End]],Table2[[#This Row],[EndN]])</f>
        <v>14314</v>
      </c>
      <c r="M244" t="b">
        <f>Table2[[#This Row],[Merged.Start]]=L243+1</f>
        <v>1</v>
      </c>
      <c r="O244">
        <f>Table2[[#This Row],[Section]]</f>
        <v>243</v>
      </c>
      <c r="P244">
        <f>Table2[[#This Row],[Canon]]</f>
        <v>2</v>
      </c>
      <c r="Q244" s="1" t="str">
        <f>Table2[[#This Row],[Reference]]</f>
        <v>24.3-8</v>
      </c>
      <c r="R244" t="str">
        <f>Table2[[#This Row],[StartR]]</f>
        <v>MAT 24:3</v>
      </c>
      <c r="S244" t="str">
        <f>Table2[[#This Row],[EndR]]</f>
        <v>MAT 24:8</v>
      </c>
      <c r="T244">
        <f>Table2[[#This Row],[Merged.Start]]</f>
        <v>14219</v>
      </c>
      <c r="U244">
        <f>Table2[[#This Row],[Merged.End]]</f>
        <v>14314</v>
      </c>
    </row>
    <row r="245" spans="1:21" x14ac:dyDescent="0.25">
      <c r="A245">
        <v>244</v>
      </c>
      <c r="B245">
        <v>1</v>
      </c>
      <c r="C245" s="1">
        <v>24.9</v>
      </c>
      <c r="D245" t="s">
        <v>578</v>
      </c>
      <c r="E245" t="s">
        <v>578</v>
      </c>
      <c r="F245">
        <v>14315</v>
      </c>
      <c r="G245">
        <v>14333</v>
      </c>
      <c r="H245">
        <v>0</v>
      </c>
      <c r="K245">
        <f>IF(Table2[[#This Row],[NeedsAttention]]=1,Table2[[#This Row],[Start]],Table2[[#This Row],[StartN]])</f>
        <v>14315</v>
      </c>
      <c r="L245">
        <f>IF(Table2[[#This Row],[NeedsAttention]]=1,Table2[[#This Row],[End]],Table2[[#This Row],[EndN]])</f>
        <v>14333</v>
      </c>
      <c r="M245" t="b">
        <f>Table2[[#This Row],[Merged.Start]]=L244+1</f>
        <v>1</v>
      </c>
      <c r="O245">
        <f>Table2[[#This Row],[Section]]</f>
        <v>244</v>
      </c>
      <c r="P245">
        <f>Table2[[#This Row],[Canon]]</f>
        <v>1</v>
      </c>
      <c r="Q245" s="1">
        <f>Table2[[#This Row],[Reference]]</f>
        <v>24.9</v>
      </c>
      <c r="R245" t="str">
        <f>Table2[[#This Row],[StartR]]</f>
        <v>MAT 24:9</v>
      </c>
      <c r="S245" t="str">
        <f>Table2[[#This Row],[EndR]]</f>
        <v>MAT 24:9</v>
      </c>
      <c r="T245">
        <f>Table2[[#This Row],[Merged.Start]]</f>
        <v>14315</v>
      </c>
      <c r="U245">
        <f>Table2[[#This Row],[Merged.End]]</f>
        <v>14333</v>
      </c>
    </row>
    <row r="246" spans="1:21" x14ac:dyDescent="0.25">
      <c r="A246">
        <v>245</v>
      </c>
      <c r="B246">
        <v>10</v>
      </c>
      <c r="C246" s="1" t="s">
        <v>579</v>
      </c>
      <c r="D246" t="s">
        <v>580</v>
      </c>
      <c r="E246" t="s">
        <v>581</v>
      </c>
      <c r="F246">
        <v>14334</v>
      </c>
      <c r="G246">
        <v>14368</v>
      </c>
      <c r="H246">
        <v>0</v>
      </c>
      <c r="K246">
        <f>IF(Table2[[#This Row],[NeedsAttention]]=1,Table2[[#This Row],[Start]],Table2[[#This Row],[StartN]])</f>
        <v>14334</v>
      </c>
      <c r="L246">
        <f>IF(Table2[[#This Row],[NeedsAttention]]=1,Table2[[#This Row],[End]],Table2[[#This Row],[EndN]])</f>
        <v>14368</v>
      </c>
      <c r="M246" t="b">
        <f>Table2[[#This Row],[Merged.Start]]=L245+1</f>
        <v>1</v>
      </c>
      <c r="O246">
        <f>Table2[[#This Row],[Section]]</f>
        <v>245</v>
      </c>
      <c r="P246">
        <f>Table2[[#This Row],[Canon]]</f>
        <v>10</v>
      </c>
      <c r="Q246" s="1" t="str">
        <f>Table2[[#This Row],[Reference]]</f>
        <v>24.10-13</v>
      </c>
      <c r="R246" t="str">
        <f>Table2[[#This Row],[StartR]]</f>
        <v>MAT 24:10</v>
      </c>
      <c r="S246" t="str">
        <f>Table2[[#This Row],[EndR]]</f>
        <v>MAT 24:13</v>
      </c>
      <c r="T246">
        <f>Table2[[#This Row],[Merged.Start]]</f>
        <v>14334</v>
      </c>
      <c r="U246">
        <f>Table2[[#This Row],[Merged.End]]</f>
        <v>14368</v>
      </c>
    </row>
    <row r="247" spans="1:21" x14ac:dyDescent="0.25">
      <c r="A247">
        <v>246</v>
      </c>
      <c r="B247">
        <v>6</v>
      </c>
      <c r="C247" s="1">
        <v>24.14</v>
      </c>
      <c r="D247" t="s">
        <v>582</v>
      </c>
      <c r="E247" t="s">
        <v>582</v>
      </c>
      <c r="F247">
        <v>14369</v>
      </c>
      <c r="G247">
        <v>14389</v>
      </c>
      <c r="H247">
        <v>0</v>
      </c>
      <c r="K247">
        <f>IF(Table2[[#This Row],[NeedsAttention]]=1,Table2[[#This Row],[Start]],Table2[[#This Row],[StartN]])</f>
        <v>14369</v>
      </c>
      <c r="L247">
        <f>IF(Table2[[#This Row],[NeedsAttention]]=1,Table2[[#This Row],[End]],Table2[[#This Row],[EndN]])</f>
        <v>14389</v>
      </c>
      <c r="M247" t="b">
        <f>Table2[[#This Row],[Merged.Start]]=L246+1</f>
        <v>1</v>
      </c>
      <c r="O247">
        <f>Table2[[#This Row],[Section]]</f>
        <v>246</v>
      </c>
      <c r="P247">
        <f>Table2[[#This Row],[Canon]]</f>
        <v>6</v>
      </c>
      <c r="Q247" s="1">
        <f>Table2[[#This Row],[Reference]]</f>
        <v>24.14</v>
      </c>
      <c r="R247" t="str">
        <f>Table2[[#This Row],[StartR]]</f>
        <v>MAT 24:14</v>
      </c>
      <c r="S247" t="str">
        <f>Table2[[#This Row],[EndR]]</f>
        <v>MAT 24:14</v>
      </c>
      <c r="T247">
        <f>Table2[[#This Row],[Merged.Start]]</f>
        <v>14369</v>
      </c>
      <c r="U247">
        <f>Table2[[#This Row],[Merged.End]]</f>
        <v>14389</v>
      </c>
    </row>
    <row r="248" spans="1:21" x14ac:dyDescent="0.25">
      <c r="A248">
        <v>247</v>
      </c>
      <c r="B248">
        <v>6</v>
      </c>
      <c r="C248" s="1" t="s">
        <v>583</v>
      </c>
      <c r="D248" t="s">
        <v>584</v>
      </c>
      <c r="E248" t="s">
        <v>585</v>
      </c>
      <c r="F248">
        <v>14390</v>
      </c>
      <c r="G248">
        <v>14418</v>
      </c>
      <c r="H248">
        <v>0</v>
      </c>
      <c r="K248">
        <f>IF(Table2[[#This Row],[NeedsAttention]]=1,Table2[[#This Row],[Start]],Table2[[#This Row],[StartN]])</f>
        <v>14390</v>
      </c>
      <c r="L248">
        <f>IF(Table2[[#This Row],[NeedsAttention]]=1,Table2[[#This Row],[End]],Table2[[#This Row],[EndN]])</f>
        <v>14418</v>
      </c>
      <c r="M248" t="b">
        <f>Table2[[#This Row],[Merged.Start]]=L247+1</f>
        <v>1</v>
      </c>
      <c r="O248">
        <f>Table2[[#This Row],[Section]]</f>
        <v>247</v>
      </c>
      <c r="P248">
        <f>Table2[[#This Row],[Canon]]</f>
        <v>6</v>
      </c>
      <c r="Q248" s="1" t="str">
        <f>Table2[[#This Row],[Reference]]</f>
        <v>24.15-16</v>
      </c>
      <c r="R248" t="str">
        <f>Table2[[#This Row],[StartR]]</f>
        <v>MAT 24:15</v>
      </c>
      <c r="S248" t="str">
        <f>Table2[[#This Row],[EndR]]</f>
        <v>MAT 24:16</v>
      </c>
      <c r="T248">
        <f>Table2[[#This Row],[Merged.Start]]</f>
        <v>14390</v>
      </c>
      <c r="U248">
        <f>Table2[[#This Row],[Merged.End]]</f>
        <v>14418</v>
      </c>
    </row>
    <row r="249" spans="1:21" x14ac:dyDescent="0.25">
      <c r="A249">
        <v>248</v>
      </c>
      <c r="B249">
        <v>2</v>
      </c>
      <c r="C249" s="1" t="s">
        <v>586</v>
      </c>
      <c r="D249" t="s">
        <v>587</v>
      </c>
      <c r="E249" t="s">
        <v>588</v>
      </c>
      <c r="F249">
        <v>14419</v>
      </c>
      <c r="G249">
        <v>14442</v>
      </c>
      <c r="H249">
        <v>0</v>
      </c>
      <c r="K249">
        <f>IF(Table2[[#This Row],[NeedsAttention]]=1,Table2[[#This Row],[Start]],Table2[[#This Row],[StartN]])</f>
        <v>14419</v>
      </c>
      <c r="L249">
        <f>IF(Table2[[#This Row],[NeedsAttention]]=1,Table2[[#This Row],[End]],Table2[[#This Row],[EndN]])</f>
        <v>14442</v>
      </c>
      <c r="M249" t="b">
        <f>Table2[[#This Row],[Merged.Start]]=L248+1</f>
        <v>1</v>
      </c>
      <c r="O249">
        <f>Table2[[#This Row],[Section]]</f>
        <v>248</v>
      </c>
      <c r="P249">
        <f>Table2[[#This Row],[Canon]]</f>
        <v>2</v>
      </c>
      <c r="Q249" s="1" t="str">
        <f>Table2[[#This Row],[Reference]]</f>
        <v>24.17-18</v>
      </c>
      <c r="R249" t="str">
        <f>Table2[[#This Row],[StartR]]</f>
        <v>MAT 24:17</v>
      </c>
      <c r="S249" t="str">
        <f>Table2[[#This Row],[EndR]]</f>
        <v>MAT 24:18</v>
      </c>
      <c r="T249">
        <f>Table2[[#This Row],[Merged.Start]]</f>
        <v>14419</v>
      </c>
      <c r="U249">
        <f>Table2[[#This Row],[Merged.End]]</f>
        <v>14442</v>
      </c>
    </row>
    <row r="250" spans="1:21" x14ac:dyDescent="0.25">
      <c r="A250">
        <v>249</v>
      </c>
      <c r="B250">
        <v>2</v>
      </c>
      <c r="C250" s="1">
        <v>24.19</v>
      </c>
      <c r="D250" t="s">
        <v>589</v>
      </c>
      <c r="E250" t="s">
        <v>589</v>
      </c>
      <c r="F250">
        <v>14443</v>
      </c>
      <c r="G250">
        <v>14455</v>
      </c>
      <c r="H250">
        <v>0</v>
      </c>
      <c r="K250">
        <f>IF(Table2[[#This Row],[NeedsAttention]]=1,Table2[[#This Row],[Start]],Table2[[#This Row],[StartN]])</f>
        <v>14443</v>
      </c>
      <c r="L250">
        <f>IF(Table2[[#This Row],[NeedsAttention]]=1,Table2[[#This Row],[End]],Table2[[#This Row],[EndN]])</f>
        <v>14455</v>
      </c>
      <c r="M250" t="b">
        <f>Table2[[#This Row],[Merged.Start]]=L249+1</f>
        <v>1</v>
      </c>
      <c r="O250">
        <f>Table2[[#This Row],[Section]]</f>
        <v>249</v>
      </c>
      <c r="P250">
        <f>Table2[[#This Row],[Canon]]</f>
        <v>2</v>
      </c>
      <c r="Q250" s="1">
        <f>Table2[[#This Row],[Reference]]</f>
        <v>24.19</v>
      </c>
      <c r="R250" t="str">
        <f>Table2[[#This Row],[StartR]]</f>
        <v>MAT 24:19</v>
      </c>
      <c r="S250" t="str">
        <f>Table2[[#This Row],[EndR]]</f>
        <v>MAT 24:19</v>
      </c>
      <c r="T250">
        <f>Table2[[#This Row],[Merged.Start]]</f>
        <v>14443</v>
      </c>
      <c r="U250">
        <f>Table2[[#This Row],[Merged.End]]</f>
        <v>14455</v>
      </c>
    </row>
    <row r="251" spans="1:21" x14ac:dyDescent="0.25">
      <c r="A251">
        <v>250</v>
      </c>
      <c r="B251">
        <v>6</v>
      </c>
      <c r="C251" s="1">
        <v>24.2</v>
      </c>
      <c r="D251" t="s">
        <v>2508</v>
      </c>
      <c r="E251" t="s">
        <v>2508</v>
      </c>
      <c r="F251" s="2">
        <v>14456</v>
      </c>
      <c r="G251" s="2">
        <v>14466</v>
      </c>
      <c r="H251">
        <v>0</v>
      </c>
      <c r="K251">
        <f>IF(Table2[[#This Row],[NeedsAttention]]=1,Table2[[#This Row],[Start]],Table2[[#This Row],[StartN]])</f>
        <v>14456</v>
      </c>
      <c r="L251">
        <f>IF(Table2[[#This Row],[NeedsAttention]]=1,Table2[[#This Row],[End]],Table2[[#This Row],[EndN]])</f>
        <v>14466</v>
      </c>
      <c r="M251" t="b">
        <f>Table2[[#This Row],[Merged.Start]]=L250+1</f>
        <v>1</v>
      </c>
      <c r="O251">
        <f>Table2[[#This Row],[Section]]</f>
        <v>250</v>
      </c>
      <c r="P251">
        <f>Table2[[#This Row],[Canon]]</f>
        <v>6</v>
      </c>
      <c r="Q251" s="1">
        <f>Table2[[#This Row],[Reference]]</f>
        <v>24.2</v>
      </c>
      <c r="R251" t="str">
        <f>Table2[[#This Row],[StartR]]</f>
        <v>MAT 24:20</v>
      </c>
      <c r="S251" t="str">
        <f>Table2[[#This Row],[EndR]]</f>
        <v>MAT 24:20</v>
      </c>
      <c r="T251">
        <f>Table2[[#This Row],[Merged.Start]]</f>
        <v>14456</v>
      </c>
      <c r="U251">
        <f>Table2[[#This Row],[Merged.End]]</f>
        <v>14466</v>
      </c>
    </row>
    <row r="252" spans="1:21" x14ac:dyDescent="0.25">
      <c r="A252">
        <v>251</v>
      </c>
      <c r="B252">
        <v>2</v>
      </c>
      <c r="C252" s="1">
        <v>24.21</v>
      </c>
      <c r="D252" t="s">
        <v>590</v>
      </c>
      <c r="E252" t="s">
        <v>590</v>
      </c>
      <c r="F252">
        <v>14467</v>
      </c>
      <c r="G252">
        <v>14484</v>
      </c>
      <c r="H252">
        <v>0</v>
      </c>
      <c r="K252">
        <f>IF(Table2[[#This Row],[NeedsAttention]]=1,Table2[[#This Row],[Start]],Table2[[#This Row],[StartN]])</f>
        <v>14467</v>
      </c>
      <c r="L252">
        <f>IF(Table2[[#This Row],[NeedsAttention]]=1,Table2[[#This Row],[End]],Table2[[#This Row],[EndN]])</f>
        <v>14484</v>
      </c>
      <c r="M252" t="b">
        <f>Table2[[#This Row],[Merged.Start]]=L251+1</f>
        <v>1</v>
      </c>
      <c r="O252">
        <f>Table2[[#This Row],[Section]]</f>
        <v>251</v>
      </c>
      <c r="P252">
        <f>Table2[[#This Row],[Canon]]</f>
        <v>2</v>
      </c>
      <c r="Q252" s="1">
        <f>Table2[[#This Row],[Reference]]</f>
        <v>24.21</v>
      </c>
      <c r="R252" t="str">
        <f>Table2[[#This Row],[StartR]]</f>
        <v>MAT 24:21</v>
      </c>
      <c r="S252" t="str">
        <f>Table2[[#This Row],[EndR]]</f>
        <v>MAT 24:21</v>
      </c>
      <c r="T252">
        <f>Table2[[#This Row],[Merged.Start]]</f>
        <v>14467</v>
      </c>
      <c r="U252">
        <f>Table2[[#This Row],[Merged.End]]</f>
        <v>14484</v>
      </c>
    </row>
    <row r="253" spans="1:21" x14ac:dyDescent="0.25">
      <c r="A253">
        <v>252</v>
      </c>
      <c r="B253">
        <v>6</v>
      </c>
      <c r="C253" s="1">
        <v>24.22</v>
      </c>
      <c r="D253" t="s">
        <v>591</v>
      </c>
      <c r="E253" t="s">
        <v>591</v>
      </c>
      <c r="F253">
        <v>14485</v>
      </c>
      <c r="G253">
        <v>14504</v>
      </c>
      <c r="H253">
        <v>0</v>
      </c>
      <c r="K253">
        <f>IF(Table2[[#This Row],[NeedsAttention]]=1,Table2[[#This Row],[Start]],Table2[[#This Row],[StartN]])</f>
        <v>14485</v>
      </c>
      <c r="L253">
        <f>IF(Table2[[#This Row],[NeedsAttention]]=1,Table2[[#This Row],[End]],Table2[[#This Row],[EndN]])</f>
        <v>14504</v>
      </c>
      <c r="M253" t="b">
        <f>Table2[[#This Row],[Merged.Start]]=L252+1</f>
        <v>1</v>
      </c>
      <c r="O253">
        <f>Table2[[#This Row],[Section]]</f>
        <v>252</v>
      </c>
      <c r="P253">
        <f>Table2[[#This Row],[Canon]]</f>
        <v>6</v>
      </c>
      <c r="Q253" s="1">
        <f>Table2[[#This Row],[Reference]]</f>
        <v>24.22</v>
      </c>
      <c r="R253" t="str">
        <f>Table2[[#This Row],[StartR]]</f>
        <v>MAT 24:22</v>
      </c>
      <c r="S253" t="str">
        <f>Table2[[#This Row],[EndR]]</f>
        <v>MAT 24:22</v>
      </c>
      <c r="T253">
        <f>Table2[[#This Row],[Merged.Start]]</f>
        <v>14485</v>
      </c>
      <c r="U253">
        <f>Table2[[#This Row],[Merged.End]]</f>
        <v>14504</v>
      </c>
    </row>
    <row r="254" spans="1:21" x14ac:dyDescent="0.25">
      <c r="A254">
        <v>253</v>
      </c>
      <c r="B254">
        <v>2</v>
      </c>
      <c r="C254" s="1">
        <v>24.23</v>
      </c>
      <c r="D254" t="s">
        <v>592</v>
      </c>
      <c r="E254" t="s">
        <v>592</v>
      </c>
      <c r="F254">
        <v>14505</v>
      </c>
      <c r="G254">
        <v>14517</v>
      </c>
      <c r="H254">
        <v>0</v>
      </c>
      <c r="K254">
        <f>IF(Table2[[#This Row],[NeedsAttention]]=1,Table2[[#This Row],[Start]],Table2[[#This Row],[StartN]])</f>
        <v>14505</v>
      </c>
      <c r="L254">
        <f>IF(Table2[[#This Row],[NeedsAttention]]=1,Table2[[#This Row],[End]],Table2[[#This Row],[EndN]])</f>
        <v>14517</v>
      </c>
      <c r="M254" t="b">
        <f>Table2[[#This Row],[Merged.Start]]=L253+1</f>
        <v>1</v>
      </c>
      <c r="O254">
        <f>Table2[[#This Row],[Section]]</f>
        <v>253</v>
      </c>
      <c r="P254">
        <f>Table2[[#This Row],[Canon]]</f>
        <v>2</v>
      </c>
      <c r="Q254" s="1">
        <f>Table2[[#This Row],[Reference]]</f>
        <v>24.23</v>
      </c>
      <c r="R254" t="str">
        <f>Table2[[#This Row],[StartR]]</f>
        <v>MAT 24:23</v>
      </c>
      <c r="S254" t="str">
        <f>Table2[[#This Row],[EndR]]</f>
        <v>MAT 24:23</v>
      </c>
      <c r="T254">
        <f>Table2[[#This Row],[Merged.Start]]</f>
        <v>14505</v>
      </c>
      <c r="U254">
        <f>Table2[[#This Row],[Merged.End]]</f>
        <v>14517</v>
      </c>
    </row>
    <row r="255" spans="1:21" x14ac:dyDescent="0.25">
      <c r="A255">
        <v>254</v>
      </c>
      <c r="B255">
        <v>6</v>
      </c>
      <c r="C255" s="1">
        <v>24.24</v>
      </c>
      <c r="D255" t="s">
        <v>593</v>
      </c>
      <c r="E255" t="s">
        <v>593</v>
      </c>
      <c r="F255">
        <v>14518</v>
      </c>
      <c r="G255">
        <v>14535</v>
      </c>
      <c r="H255">
        <v>0</v>
      </c>
      <c r="K255">
        <f>IF(Table2[[#This Row],[NeedsAttention]]=1,Table2[[#This Row],[Start]],Table2[[#This Row],[StartN]])</f>
        <v>14518</v>
      </c>
      <c r="L255">
        <f>IF(Table2[[#This Row],[NeedsAttention]]=1,Table2[[#This Row],[End]],Table2[[#This Row],[EndN]])</f>
        <v>14535</v>
      </c>
      <c r="M255" t="b">
        <f>Table2[[#This Row],[Merged.Start]]=L254+1</f>
        <v>1</v>
      </c>
      <c r="O255">
        <f>Table2[[#This Row],[Section]]</f>
        <v>254</v>
      </c>
      <c r="P255">
        <f>Table2[[#This Row],[Canon]]</f>
        <v>6</v>
      </c>
      <c r="Q255" s="1">
        <f>Table2[[#This Row],[Reference]]</f>
        <v>24.24</v>
      </c>
      <c r="R255" t="str">
        <f>Table2[[#This Row],[StartR]]</f>
        <v>MAT 24:24</v>
      </c>
      <c r="S255" t="str">
        <f>Table2[[#This Row],[EndR]]</f>
        <v>MAT 24:24</v>
      </c>
      <c r="T255">
        <f>Table2[[#This Row],[Merged.Start]]</f>
        <v>14518</v>
      </c>
      <c r="U255">
        <f>Table2[[#This Row],[Merged.End]]</f>
        <v>14535</v>
      </c>
    </row>
    <row r="256" spans="1:21" x14ac:dyDescent="0.25">
      <c r="A256">
        <v>255</v>
      </c>
      <c r="B256">
        <v>5</v>
      </c>
      <c r="C256" s="1" t="s">
        <v>594</v>
      </c>
      <c r="D256" t="s">
        <v>595</v>
      </c>
      <c r="E256" t="s">
        <v>596</v>
      </c>
      <c r="F256">
        <v>14536</v>
      </c>
      <c r="G256">
        <v>14555</v>
      </c>
      <c r="H256">
        <v>0</v>
      </c>
      <c r="K256">
        <f>IF(Table2[[#This Row],[NeedsAttention]]=1,Table2[[#This Row],[Start]],Table2[[#This Row],[StartN]])</f>
        <v>14536</v>
      </c>
      <c r="L256">
        <f>IF(Table2[[#This Row],[NeedsAttention]]=1,Table2[[#This Row],[End]],Table2[[#This Row],[EndN]])</f>
        <v>14555</v>
      </c>
      <c r="M256" t="b">
        <f>Table2[[#This Row],[Merged.Start]]=L255+1</f>
        <v>1</v>
      </c>
      <c r="O256">
        <f>Table2[[#This Row],[Section]]</f>
        <v>255</v>
      </c>
      <c r="P256">
        <f>Table2[[#This Row],[Canon]]</f>
        <v>5</v>
      </c>
      <c r="Q256" s="1" t="str">
        <f>Table2[[#This Row],[Reference]]</f>
        <v>24.25-26</v>
      </c>
      <c r="R256" t="str">
        <f>Table2[[#This Row],[StartR]]</f>
        <v>MAT 24:25</v>
      </c>
      <c r="S256" t="str">
        <f>Table2[[#This Row],[EndR]]</f>
        <v>MAT 24:26</v>
      </c>
      <c r="T256">
        <f>Table2[[#This Row],[Merged.Start]]</f>
        <v>14536</v>
      </c>
      <c r="U256">
        <f>Table2[[#This Row],[Merged.End]]</f>
        <v>14555</v>
      </c>
    </row>
    <row r="257" spans="1:21" x14ac:dyDescent="0.25">
      <c r="A257">
        <v>256</v>
      </c>
      <c r="B257">
        <v>5</v>
      </c>
      <c r="C257" s="1">
        <v>24.27</v>
      </c>
      <c r="D257" t="s">
        <v>597</v>
      </c>
      <c r="E257" t="s">
        <v>597</v>
      </c>
      <c r="F257">
        <v>14556</v>
      </c>
      <c r="G257">
        <v>14574</v>
      </c>
      <c r="H257">
        <v>0</v>
      </c>
      <c r="K257">
        <f>IF(Table2[[#This Row],[NeedsAttention]]=1,Table2[[#This Row],[Start]],Table2[[#This Row],[StartN]])</f>
        <v>14556</v>
      </c>
      <c r="L257">
        <f>IF(Table2[[#This Row],[NeedsAttention]]=1,Table2[[#This Row],[End]],Table2[[#This Row],[EndN]])</f>
        <v>14574</v>
      </c>
      <c r="M257" t="b">
        <f>Table2[[#This Row],[Merged.Start]]=L256+1</f>
        <v>1</v>
      </c>
      <c r="O257">
        <f>Table2[[#This Row],[Section]]</f>
        <v>256</v>
      </c>
      <c r="P257">
        <f>Table2[[#This Row],[Canon]]</f>
        <v>5</v>
      </c>
      <c r="Q257" s="1">
        <f>Table2[[#This Row],[Reference]]</f>
        <v>24.27</v>
      </c>
      <c r="R257" t="str">
        <f>Table2[[#This Row],[StartR]]</f>
        <v>MAT 24:27</v>
      </c>
      <c r="S257" t="str">
        <f>Table2[[#This Row],[EndR]]</f>
        <v>MAT 24:27</v>
      </c>
      <c r="T257">
        <f>Table2[[#This Row],[Merged.Start]]</f>
        <v>14556</v>
      </c>
      <c r="U257">
        <f>Table2[[#This Row],[Merged.End]]</f>
        <v>14574</v>
      </c>
    </row>
    <row r="258" spans="1:21" x14ac:dyDescent="0.25">
      <c r="A258">
        <v>257</v>
      </c>
      <c r="B258">
        <v>5</v>
      </c>
      <c r="C258" s="1">
        <v>24.28</v>
      </c>
      <c r="D258" t="s">
        <v>598</v>
      </c>
      <c r="E258" t="s">
        <v>598</v>
      </c>
      <c r="F258">
        <v>14575</v>
      </c>
      <c r="G258">
        <v>14583</v>
      </c>
      <c r="H258">
        <v>0</v>
      </c>
      <c r="K258">
        <f>IF(Table2[[#This Row],[NeedsAttention]]=1,Table2[[#This Row],[Start]],Table2[[#This Row],[StartN]])</f>
        <v>14575</v>
      </c>
      <c r="L258">
        <f>IF(Table2[[#This Row],[NeedsAttention]]=1,Table2[[#This Row],[End]],Table2[[#This Row],[EndN]])</f>
        <v>14583</v>
      </c>
      <c r="M258" t="b">
        <f>Table2[[#This Row],[Merged.Start]]=L257+1</f>
        <v>1</v>
      </c>
      <c r="O258">
        <f>Table2[[#This Row],[Section]]</f>
        <v>257</v>
      </c>
      <c r="P258">
        <f>Table2[[#This Row],[Canon]]</f>
        <v>5</v>
      </c>
      <c r="Q258" s="1">
        <f>Table2[[#This Row],[Reference]]</f>
        <v>24.28</v>
      </c>
      <c r="R258" t="str">
        <f>Table2[[#This Row],[StartR]]</f>
        <v>MAT 24:28</v>
      </c>
      <c r="S258" t="str">
        <f>Table2[[#This Row],[EndR]]</f>
        <v>MAT 24:28</v>
      </c>
      <c r="T258">
        <f>Table2[[#This Row],[Merged.Start]]</f>
        <v>14575</v>
      </c>
      <c r="U258">
        <f>Table2[[#This Row],[Merged.End]]</f>
        <v>14583</v>
      </c>
    </row>
    <row r="259" spans="1:21" x14ac:dyDescent="0.25">
      <c r="A259">
        <v>258</v>
      </c>
      <c r="B259">
        <v>2</v>
      </c>
      <c r="C259" s="1" t="s">
        <v>599</v>
      </c>
      <c r="D259" t="s">
        <v>600</v>
      </c>
      <c r="E259" t="s">
        <v>601</v>
      </c>
      <c r="F259">
        <v>14584</v>
      </c>
      <c r="G259">
        <v>14652</v>
      </c>
      <c r="H259">
        <v>1</v>
      </c>
      <c r="I259">
        <v>14584</v>
      </c>
      <c r="J259">
        <v>14627</v>
      </c>
      <c r="K259">
        <f>IF(Table2[[#This Row],[NeedsAttention]]=1,Table2[[#This Row],[Start]],Table2[[#This Row],[StartN]])</f>
        <v>14584</v>
      </c>
      <c r="L259">
        <f>IF(Table2[[#This Row],[NeedsAttention]]=1,Table2[[#This Row],[End]],Table2[[#This Row],[EndN]])</f>
        <v>14627</v>
      </c>
      <c r="M259" t="b">
        <f>Table2[[#This Row],[Merged.Start]]=L258+1</f>
        <v>1</v>
      </c>
      <c r="O259">
        <f>Table2[[#This Row],[Section]]</f>
        <v>258</v>
      </c>
      <c r="P259">
        <f>Table2[[#This Row],[Canon]]</f>
        <v>2</v>
      </c>
      <c r="Q259" s="1" t="str">
        <f>Table2[[#This Row],[Reference]]</f>
        <v>24.29-30A</v>
      </c>
      <c r="R259" t="str">
        <f>Table2[[#This Row],[StartR]]</f>
        <v>MAT 24:29</v>
      </c>
      <c r="S259" t="str">
        <f>Table2[[#This Row],[EndR]]</f>
        <v>MAT 24:30</v>
      </c>
      <c r="T259">
        <f>Table2[[#This Row],[Merged.Start]]</f>
        <v>14584</v>
      </c>
      <c r="U259">
        <f>Table2[[#This Row],[Merged.End]]</f>
        <v>14627</v>
      </c>
    </row>
    <row r="260" spans="1:21" x14ac:dyDescent="0.25">
      <c r="A260">
        <v>259</v>
      </c>
      <c r="B260">
        <v>2</v>
      </c>
      <c r="C260" s="1" t="s">
        <v>602</v>
      </c>
      <c r="D260" t="s">
        <v>601</v>
      </c>
      <c r="E260" t="s">
        <v>603</v>
      </c>
      <c r="F260">
        <v>14616</v>
      </c>
      <c r="G260">
        <v>14740</v>
      </c>
      <c r="H260">
        <v>1</v>
      </c>
      <c r="I260">
        <v>14628</v>
      </c>
      <c r="J260">
        <v>14740</v>
      </c>
      <c r="K260">
        <f>IF(Table2[[#This Row],[NeedsAttention]]=1,Table2[[#This Row],[Start]],Table2[[#This Row],[StartN]])</f>
        <v>14628</v>
      </c>
      <c r="L260">
        <f>IF(Table2[[#This Row],[NeedsAttention]]=1,Table2[[#This Row],[End]],Table2[[#This Row],[EndN]])</f>
        <v>14740</v>
      </c>
      <c r="M260" t="b">
        <f>Table2[[#This Row],[Merged.Start]]=L259+1</f>
        <v>1</v>
      </c>
      <c r="O260">
        <f>Table2[[#This Row],[Section]]</f>
        <v>259</v>
      </c>
      <c r="P260">
        <f>Table2[[#This Row],[Canon]]</f>
        <v>2</v>
      </c>
      <c r="Q260" s="1" t="str">
        <f>Table2[[#This Row],[Reference]]</f>
        <v>24.30B-35</v>
      </c>
      <c r="R260" t="str">
        <f>Table2[[#This Row],[StartR]]</f>
        <v>MAT 24:30</v>
      </c>
      <c r="S260" t="str">
        <f>Table2[[#This Row],[EndR]]</f>
        <v>MAT 24:35</v>
      </c>
      <c r="T260">
        <f>Table2[[#This Row],[Merged.Start]]</f>
        <v>14628</v>
      </c>
      <c r="U260">
        <f>Table2[[#This Row],[Merged.End]]</f>
        <v>14740</v>
      </c>
    </row>
    <row r="261" spans="1:21" x14ac:dyDescent="0.25">
      <c r="A261">
        <v>260</v>
      </c>
      <c r="B261">
        <v>6</v>
      </c>
      <c r="C261" s="1">
        <v>24.36</v>
      </c>
      <c r="D261" t="s">
        <v>604</v>
      </c>
      <c r="E261" t="s">
        <v>604</v>
      </c>
      <c r="F261">
        <v>14741</v>
      </c>
      <c r="G261">
        <v>14762</v>
      </c>
      <c r="H261">
        <v>0</v>
      </c>
      <c r="K261">
        <f>IF(Table2[[#This Row],[NeedsAttention]]=1,Table2[[#This Row],[Start]],Table2[[#This Row],[StartN]])</f>
        <v>14741</v>
      </c>
      <c r="L261">
        <f>IF(Table2[[#This Row],[NeedsAttention]]=1,Table2[[#This Row],[End]],Table2[[#This Row],[EndN]])</f>
        <v>14762</v>
      </c>
      <c r="M261" t="b">
        <f>Table2[[#This Row],[Merged.Start]]=L260+1</f>
        <v>1</v>
      </c>
      <c r="O261">
        <f>Table2[[#This Row],[Section]]</f>
        <v>260</v>
      </c>
      <c r="P261">
        <f>Table2[[#This Row],[Canon]]</f>
        <v>6</v>
      </c>
      <c r="Q261" s="1">
        <f>Table2[[#This Row],[Reference]]</f>
        <v>24.36</v>
      </c>
      <c r="R261" t="str">
        <f>Table2[[#This Row],[StartR]]</f>
        <v>MAT 24:36</v>
      </c>
      <c r="S261" t="str">
        <f>Table2[[#This Row],[EndR]]</f>
        <v>MAT 24:36</v>
      </c>
      <c r="T261">
        <f>Table2[[#This Row],[Merged.Start]]</f>
        <v>14741</v>
      </c>
      <c r="U261">
        <f>Table2[[#This Row],[Merged.End]]</f>
        <v>14762</v>
      </c>
    </row>
    <row r="262" spans="1:21" x14ac:dyDescent="0.25">
      <c r="A262">
        <v>261</v>
      </c>
      <c r="B262">
        <v>5</v>
      </c>
      <c r="C262" s="1" t="s">
        <v>605</v>
      </c>
      <c r="D262" t="s">
        <v>606</v>
      </c>
      <c r="E262" t="s">
        <v>607</v>
      </c>
      <c r="F262">
        <v>14763</v>
      </c>
      <c r="G262">
        <v>14819</v>
      </c>
      <c r="H262">
        <v>0</v>
      </c>
      <c r="K262">
        <f>IF(Table2[[#This Row],[NeedsAttention]]=1,Table2[[#This Row],[Start]],Table2[[#This Row],[StartN]])</f>
        <v>14763</v>
      </c>
      <c r="L262">
        <f>IF(Table2[[#This Row],[NeedsAttention]]=1,Table2[[#This Row],[End]],Table2[[#This Row],[EndN]])</f>
        <v>14819</v>
      </c>
      <c r="M262" t="b">
        <f>Table2[[#This Row],[Merged.Start]]=L261+1</f>
        <v>1</v>
      </c>
      <c r="O262">
        <f>Table2[[#This Row],[Section]]</f>
        <v>261</v>
      </c>
      <c r="P262">
        <f>Table2[[#This Row],[Canon]]</f>
        <v>5</v>
      </c>
      <c r="Q262" s="1" t="str">
        <f>Table2[[#This Row],[Reference]]</f>
        <v>24.37-39</v>
      </c>
      <c r="R262" t="str">
        <f>Table2[[#This Row],[StartR]]</f>
        <v>MAT 24:37</v>
      </c>
      <c r="S262" t="str">
        <f>Table2[[#This Row],[EndR]]</f>
        <v>MAT 24:39</v>
      </c>
      <c r="T262">
        <f>Table2[[#This Row],[Merged.Start]]</f>
        <v>14763</v>
      </c>
      <c r="U262">
        <f>Table2[[#This Row],[Merged.End]]</f>
        <v>14819</v>
      </c>
    </row>
    <row r="263" spans="1:21" x14ac:dyDescent="0.25">
      <c r="A263">
        <v>262</v>
      </c>
      <c r="B263">
        <v>5</v>
      </c>
      <c r="C263" s="1" t="s">
        <v>608</v>
      </c>
      <c r="D263" t="s">
        <v>609</v>
      </c>
      <c r="E263" t="s">
        <v>610</v>
      </c>
      <c r="F263">
        <v>14820</v>
      </c>
      <c r="G263">
        <v>14840</v>
      </c>
      <c r="H263">
        <v>0</v>
      </c>
      <c r="K263">
        <f>IF(Table2[[#This Row],[NeedsAttention]]=1,Table2[[#This Row],[Start]],Table2[[#This Row],[StartN]])</f>
        <v>14820</v>
      </c>
      <c r="L263">
        <f>IF(Table2[[#This Row],[NeedsAttention]]=1,Table2[[#This Row],[End]],Table2[[#This Row],[EndN]])</f>
        <v>14840</v>
      </c>
      <c r="M263" t="b">
        <f>Table2[[#This Row],[Merged.Start]]=L262+1</f>
        <v>1</v>
      </c>
      <c r="O263">
        <f>Table2[[#This Row],[Section]]</f>
        <v>262</v>
      </c>
      <c r="P263">
        <f>Table2[[#This Row],[Canon]]</f>
        <v>5</v>
      </c>
      <c r="Q263" s="1" t="str">
        <f>Table2[[#This Row],[Reference]]</f>
        <v>24.40-41</v>
      </c>
      <c r="R263" t="str">
        <f>Table2[[#This Row],[StartR]]</f>
        <v>MAT 24:40</v>
      </c>
      <c r="S263" t="str">
        <f>Table2[[#This Row],[EndR]]</f>
        <v>MAT 24:41</v>
      </c>
      <c r="T263">
        <f>Table2[[#This Row],[Merged.Start]]</f>
        <v>14820</v>
      </c>
      <c r="U263">
        <f>Table2[[#This Row],[Merged.End]]</f>
        <v>14840</v>
      </c>
    </row>
    <row r="264" spans="1:21" x14ac:dyDescent="0.25">
      <c r="A264">
        <v>263</v>
      </c>
      <c r="B264">
        <v>6</v>
      </c>
      <c r="C264" s="1">
        <v>24.42</v>
      </c>
      <c r="D264" t="s">
        <v>611</v>
      </c>
      <c r="E264" t="s">
        <v>611</v>
      </c>
      <c r="F264">
        <v>14841</v>
      </c>
      <c r="G264">
        <v>14851</v>
      </c>
      <c r="H264">
        <v>0</v>
      </c>
      <c r="K264">
        <f>IF(Table2[[#This Row],[NeedsAttention]]=1,Table2[[#This Row],[Start]],Table2[[#This Row],[StartN]])</f>
        <v>14841</v>
      </c>
      <c r="L264">
        <f>IF(Table2[[#This Row],[NeedsAttention]]=1,Table2[[#This Row],[End]],Table2[[#This Row],[EndN]])</f>
        <v>14851</v>
      </c>
      <c r="M264" t="b">
        <f>Table2[[#This Row],[Merged.Start]]=L263+1</f>
        <v>1</v>
      </c>
      <c r="O264">
        <f>Table2[[#This Row],[Section]]</f>
        <v>263</v>
      </c>
      <c r="P264">
        <f>Table2[[#This Row],[Canon]]</f>
        <v>6</v>
      </c>
      <c r="Q264" s="1">
        <f>Table2[[#This Row],[Reference]]</f>
        <v>24.42</v>
      </c>
      <c r="R264" t="str">
        <f>Table2[[#This Row],[StartR]]</f>
        <v>MAT 24:42</v>
      </c>
      <c r="S264" t="str">
        <f>Table2[[#This Row],[EndR]]</f>
        <v>MAT 24:42</v>
      </c>
      <c r="T264">
        <f>Table2[[#This Row],[Merged.Start]]</f>
        <v>14841</v>
      </c>
      <c r="U264">
        <f>Table2[[#This Row],[Merged.End]]</f>
        <v>14851</v>
      </c>
    </row>
    <row r="265" spans="1:21" x14ac:dyDescent="0.25">
      <c r="A265">
        <v>264</v>
      </c>
      <c r="B265">
        <v>2</v>
      </c>
      <c r="C265" s="1" t="s">
        <v>612</v>
      </c>
      <c r="D265" t="s">
        <v>613</v>
      </c>
      <c r="E265" t="s">
        <v>614</v>
      </c>
      <c r="F265">
        <v>14852</v>
      </c>
      <c r="G265">
        <v>14890</v>
      </c>
      <c r="H265">
        <v>0</v>
      </c>
      <c r="K265">
        <f>IF(Table2[[#This Row],[NeedsAttention]]=1,Table2[[#This Row],[Start]],Table2[[#This Row],[StartN]])</f>
        <v>14852</v>
      </c>
      <c r="L265">
        <f>IF(Table2[[#This Row],[NeedsAttention]]=1,Table2[[#This Row],[End]],Table2[[#This Row],[EndN]])</f>
        <v>14890</v>
      </c>
      <c r="M265" t="b">
        <f>Table2[[#This Row],[Merged.Start]]=L264+1</f>
        <v>1</v>
      </c>
      <c r="O265">
        <f>Table2[[#This Row],[Section]]</f>
        <v>264</v>
      </c>
      <c r="P265">
        <f>Table2[[#This Row],[Canon]]</f>
        <v>2</v>
      </c>
      <c r="Q265" s="1" t="str">
        <f>Table2[[#This Row],[Reference]]</f>
        <v>24.43-44</v>
      </c>
      <c r="R265" t="str">
        <f>Table2[[#This Row],[StartR]]</f>
        <v>MAT 24:43</v>
      </c>
      <c r="S265" t="str">
        <f>Table2[[#This Row],[EndR]]</f>
        <v>MAT 24:44</v>
      </c>
      <c r="T265">
        <f>Table2[[#This Row],[Merged.Start]]</f>
        <v>14852</v>
      </c>
      <c r="U265">
        <f>Table2[[#This Row],[Merged.End]]</f>
        <v>14890</v>
      </c>
    </row>
    <row r="266" spans="1:21" x14ac:dyDescent="0.25">
      <c r="A266">
        <v>265</v>
      </c>
      <c r="B266">
        <v>5</v>
      </c>
      <c r="C266" s="1">
        <v>24.45</v>
      </c>
      <c r="D266" t="s">
        <v>615</v>
      </c>
      <c r="E266" t="s">
        <v>615</v>
      </c>
      <c r="F266">
        <v>14891</v>
      </c>
      <c r="G266">
        <v>14913</v>
      </c>
      <c r="H266">
        <v>0</v>
      </c>
      <c r="K266">
        <f>IF(Table2[[#This Row],[NeedsAttention]]=1,Table2[[#This Row],[Start]],Table2[[#This Row],[StartN]])</f>
        <v>14891</v>
      </c>
      <c r="L266">
        <f>IF(Table2[[#This Row],[NeedsAttention]]=1,Table2[[#This Row],[End]],Table2[[#This Row],[EndN]])</f>
        <v>14913</v>
      </c>
      <c r="M266" t="b">
        <f>Table2[[#This Row],[Merged.Start]]=L265+1</f>
        <v>1</v>
      </c>
      <c r="O266">
        <f>Table2[[#This Row],[Section]]</f>
        <v>265</v>
      </c>
      <c r="P266">
        <f>Table2[[#This Row],[Canon]]</f>
        <v>5</v>
      </c>
      <c r="Q266" s="1">
        <f>Table2[[#This Row],[Reference]]</f>
        <v>24.45</v>
      </c>
      <c r="R266" t="str">
        <f>Table2[[#This Row],[StartR]]</f>
        <v>MAT 24:45</v>
      </c>
      <c r="S266" t="str">
        <f>Table2[[#This Row],[EndR]]</f>
        <v>MAT 24:45</v>
      </c>
      <c r="T266">
        <f>Table2[[#This Row],[Merged.Start]]</f>
        <v>14891</v>
      </c>
      <c r="U266">
        <f>Table2[[#This Row],[Merged.End]]</f>
        <v>14913</v>
      </c>
    </row>
    <row r="267" spans="1:21" x14ac:dyDescent="0.25">
      <c r="A267">
        <v>266</v>
      </c>
      <c r="B267">
        <v>5</v>
      </c>
      <c r="C267" s="1" t="s">
        <v>616</v>
      </c>
      <c r="D267" t="s">
        <v>617</v>
      </c>
      <c r="E267" t="s">
        <v>618</v>
      </c>
      <c r="F267">
        <v>14914</v>
      </c>
      <c r="G267">
        <v>14936</v>
      </c>
      <c r="H267">
        <v>0</v>
      </c>
      <c r="K267">
        <f>IF(Table2[[#This Row],[NeedsAttention]]=1,Table2[[#This Row],[Start]],Table2[[#This Row],[StartN]])</f>
        <v>14914</v>
      </c>
      <c r="L267">
        <f>IF(Table2[[#This Row],[NeedsAttention]]=1,Table2[[#This Row],[End]],Table2[[#This Row],[EndN]])</f>
        <v>14936</v>
      </c>
      <c r="M267" t="b">
        <f>Table2[[#This Row],[Merged.Start]]=L266+1</f>
        <v>1</v>
      </c>
      <c r="O267">
        <f>Table2[[#This Row],[Section]]</f>
        <v>266</v>
      </c>
      <c r="P267">
        <f>Table2[[#This Row],[Canon]]</f>
        <v>5</v>
      </c>
      <c r="Q267" s="1" t="str">
        <f>Table2[[#This Row],[Reference]]</f>
        <v>24.46-47</v>
      </c>
      <c r="R267" t="str">
        <f>Table2[[#This Row],[StartR]]</f>
        <v>MAT 24:46</v>
      </c>
      <c r="S267" t="str">
        <f>Table2[[#This Row],[EndR]]</f>
        <v>MAT 24:47</v>
      </c>
      <c r="T267">
        <f>Table2[[#This Row],[Merged.Start]]</f>
        <v>14914</v>
      </c>
      <c r="U267">
        <f>Table2[[#This Row],[Merged.End]]</f>
        <v>14936</v>
      </c>
    </row>
    <row r="268" spans="1:21" x14ac:dyDescent="0.25">
      <c r="A268">
        <v>267</v>
      </c>
      <c r="B268">
        <v>5</v>
      </c>
      <c r="C268" s="1" t="s">
        <v>619</v>
      </c>
      <c r="D268" t="s">
        <v>620</v>
      </c>
      <c r="E268" t="s">
        <v>621</v>
      </c>
      <c r="F268">
        <v>14937</v>
      </c>
      <c r="G268">
        <v>15001</v>
      </c>
      <c r="H268">
        <v>0</v>
      </c>
      <c r="K268">
        <f>IF(Table2[[#This Row],[NeedsAttention]]=1,Table2[[#This Row],[Start]],Table2[[#This Row],[StartN]])</f>
        <v>14937</v>
      </c>
      <c r="L268">
        <f>IF(Table2[[#This Row],[NeedsAttention]]=1,Table2[[#This Row],[End]],Table2[[#This Row],[EndN]])</f>
        <v>15001</v>
      </c>
      <c r="M268" t="b">
        <f>Table2[[#This Row],[Merged.Start]]=L267+1</f>
        <v>1</v>
      </c>
      <c r="O268">
        <f>Table2[[#This Row],[Section]]</f>
        <v>267</v>
      </c>
      <c r="P268">
        <f>Table2[[#This Row],[Canon]]</f>
        <v>5</v>
      </c>
      <c r="Q268" s="1" t="str">
        <f>Table2[[#This Row],[Reference]]</f>
        <v>24.48-51</v>
      </c>
      <c r="R268" t="str">
        <f>Table2[[#This Row],[StartR]]</f>
        <v>MAT 24:48</v>
      </c>
      <c r="S268" t="str">
        <f>Table2[[#This Row],[EndR]]</f>
        <v>MAT 24:51</v>
      </c>
      <c r="T268">
        <f>Table2[[#This Row],[Merged.Start]]</f>
        <v>14937</v>
      </c>
      <c r="U268">
        <f>Table2[[#This Row],[Merged.End]]</f>
        <v>15001</v>
      </c>
    </row>
    <row r="269" spans="1:21" x14ac:dyDescent="0.25">
      <c r="A269">
        <v>268</v>
      </c>
      <c r="B269">
        <v>10</v>
      </c>
      <c r="C269" s="1" t="s">
        <v>622</v>
      </c>
      <c r="D269" t="s">
        <v>623</v>
      </c>
      <c r="E269" t="s">
        <v>624</v>
      </c>
      <c r="F269">
        <v>15002</v>
      </c>
      <c r="G269">
        <v>15172</v>
      </c>
      <c r="H269">
        <v>0</v>
      </c>
      <c r="K269">
        <f>IF(Table2[[#This Row],[NeedsAttention]]=1,Table2[[#This Row],[Start]],Table2[[#This Row],[StartN]])</f>
        <v>15002</v>
      </c>
      <c r="L269">
        <f>IF(Table2[[#This Row],[NeedsAttention]]=1,Table2[[#This Row],[End]],Table2[[#This Row],[EndN]])</f>
        <v>15172</v>
      </c>
      <c r="M269" t="b">
        <f>Table2[[#This Row],[Merged.Start]]=L268+1</f>
        <v>1</v>
      </c>
      <c r="O269">
        <f>Table2[[#This Row],[Section]]</f>
        <v>268</v>
      </c>
      <c r="P269">
        <f>Table2[[#This Row],[Canon]]</f>
        <v>10</v>
      </c>
      <c r="Q269" s="1" t="str">
        <f>Table2[[#This Row],[Reference]]</f>
        <v>25.1-13</v>
      </c>
      <c r="R269" t="str">
        <f>Table2[[#This Row],[StartR]]</f>
        <v>MAT 25:1</v>
      </c>
      <c r="S269" t="str">
        <f>Table2[[#This Row],[EndR]]</f>
        <v>MAT 25:13</v>
      </c>
      <c r="T269">
        <f>Table2[[#This Row],[Merged.Start]]</f>
        <v>15002</v>
      </c>
      <c r="U269">
        <f>Table2[[#This Row],[Merged.End]]</f>
        <v>15172</v>
      </c>
    </row>
    <row r="270" spans="1:21" x14ac:dyDescent="0.25">
      <c r="A270">
        <v>269</v>
      </c>
      <c r="B270">
        <v>2</v>
      </c>
      <c r="C270" s="1">
        <v>25.14</v>
      </c>
      <c r="D270" t="s">
        <v>625</v>
      </c>
      <c r="E270" t="s">
        <v>625</v>
      </c>
      <c r="F270">
        <v>15173</v>
      </c>
      <c r="G270">
        <v>15186</v>
      </c>
      <c r="H270">
        <v>0</v>
      </c>
      <c r="K270">
        <f>IF(Table2[[#This Row],[NeedsAttention]]=1,Table2[[#This Row],[Start]],Table2[[#This Row],[StartN]])</f>
        <v>15173</v>
      </c>
      <c r="L270">
        <f>IF(Table2[[#This Row],[NeedsAttention]]=1,Table2[[#This Row],[End]],Table2[[#This Row],[EndN]])</f>
        <v>15186</v>
      </c>
      <c r="M270" t="b">
        <f>Table2[[#This Row],[Merged.Start]]=L269+1</f>
        <v>1</v>
      </c>
      <c r="O270">
        <f>Table2[[#This Row],[Section]]</f>
        <v>269</v>
      </c>
      <c r="P270">
        <f>Table2[[#This Row],[Canon]]</f>
        <v>2</v>
      </c>
      <c r="Q270" s="1">
        <f>Table2[[#This Row],[Reference]]</f>
        <v>25.14</v>
      </c>
      <c r="R270" t="str">
        <f>Table2[[#This Row],[StartR]]</f>
        <v>MAT 25:14</v>
      </c>
      <c r="S270" t="str">
        <f>Table2[[#This Row],[EndR]]</f>
        <v>MAT 25:14</v>
      </c>
      <c r="T270">
        <f>Table2[[#This Row],[Merged.Start]]</f>
        <v>15173</v>
      </c>
      <c r="U270">
        <f>Table2[[#This Row],[Merged.End]]</f>
        <v>15186</v>
      </c>
    </row>
    <row r="271" spans="1:21" x14ac:dyDescent="0.25">
      <c r="A271">
        <v>270</v>
      </c>
      <c r="B271">
        <v>5</v>
      </c>
      <c r="C271" s="1" t="s">
        <v>626</v>
      </c>
      <c r="D271" t="s">
        <v>627</v>
      </c>
      <c r="E271" t="s">
        <v>628</v>
      </c>
      <c r="F271">
        <v>15187</v>
      </c>
      <c r="G271">
        <v>15438</v>
      </c>
      <c r="H271">
        <v>0</v>
      </c>
      <c r="K271">
        <f>IF(Table2[[#This Row],[NeedsAttention]]=1,Table2[[#This Row],[Start]],Table2[[#This Row],[StartN]])</f>
        <v>15187</v>
      </c>
      <c r="L271">
        <f>IF(Table2[[#This Row],[NeedsAttention]]=1,Table2[[#This Row],[End]],Table2[[#This Row],[EndN]])</f>
        <v>15438</v>
      </c>
      <c r="M271" t="b">
        <f>Table2[[#This Row],[Merged.Start]]=L270+1</f>
        <v>1</v>
      </c>
      <c r="O271">
        <f>Table2[[#This Row],[Section]]</f>
        <v>270</v>
      </c>
      <c r="P271">
        <f>Table2[[#This Row],[Canon]]</f>
        <v>5</v>
      </c>
      <c r="Q271" s="1" t="str">
        <f>Table2[[#This Row],[Reference]]</f>
        <v>25.15-28</v>
      </c>
      <c r="R271" t="str">
        <f>Table2[[#This Row],[StartR]]</f>
        <v>MAT 25:15</v>
      </c>
      <c r="S271" t="str">
        <f>Table2[[#This Row],[EndR]]</f>
        <v>MAT 25:28</v>
      </c>
      <c r="T271">
        <f>Table2[[#This Row],[Merged.Start]]</f>
        <v>15187</v>
      </c>
      <c r="U271">
        <f>Table2[[#This Row],[Merged.End]]</f>
        <v>15438</v>
      </c>
    </row>
    <row r="272" spans="1:21" x14ac:dyDescent="0.25">
      <c r="A272">
        <v>271</v>
      </c>
      <c r="B272">
        <v>2</v>
      </c>
      <c r="C272" s="1">
        <v>25.29</v>
      </c>
      <c r="D272" t="s">
        <v>629</v>
      </c>
      <c r="E272" t="s">
        <v>629</v>
      </c>
      <c r="F272">
        <v>15439</v>
      </c>
      <c r="G272">
        <v>15455</v>
      </c>
      <c r="H272">
        <v>0</v>
      </c>
      <c r="K272">
        <f>IF(Table2[[#This Row],[NeedsAttention]]=1,Table2[[#This Row],[Start]],Table2[[#This Row],[StartN]])</f>
        <v>15439</v>
      </c>
      <c r="L272">
        <f>IF(Table2[[#This Row],[NeedsAttention]]=1,Table2[[#This Row],[End]],Table2[[#This Row],[EndN]])</f>
        <v>15455</v>
      </c>
      <c r="M272" t="b">
        <f>Table2[[#This Row],[Merged.Start]]=L271+1</f>
        <v>1</v>
      </c>
      <c r="O272">
        <f>Table2[[#This Row],[Section]]</f>
        <v>271</v>
      </c>
      <c r="P272">
        <f>Table2[[#This Row],[Canon]]</f>
        <v>2</v>
      </c>
      <c r="Q272" s="1">
        <f>Table2[[#This Row],[Reference]]</f>
        <v>25.29</v>
      </c>
      <c r="R272" t="str">
        <f>Table2[[#This Row],[StartR]]</f>
        <v>MAT 25:29</v>
      </c>
      <c r="S272" t="str">
        <f>Table2[[#This Row],[EndR]]</f>
        <v>MAT 25:29</v>
      </c>
      <c r="T272">
        <f>Table2[[#This Row],[Merged.Start]]</f>
        <v>15439</v>
      </c>
      <c r="U272">
        <f>Table2[[#This Row],[Merged.End]]</f>
        <v>15455</v>
      </c>
    </row>
    <row r="273" spans="1:21" x14ac:dyDescent="0.25">
      <c r="A273">
        <v>272</v>
      </c>
      <c r="B273">
        <v>5</v>
      </c>
      <c r="C273" s="1" t="s">
        <v>2509</v>
      </c>
      <c r="D273" t="s">
        <v>2510</v>
      </c>
      <c r="E273" t="s">
        <v>2510</v>
      </c>
      <c r="F273" s="2">
        <v>15456</v>
      </c>
      <c r="G273" s="2">
        <v>15474</v>
      </c>
      <c r="H273">
        <v>0</v>
      </c>
      <c r="K273">
        <f>IF(Table2[[#This Row],[NeedsAttention]]=1,Table2[[#This Row],[Start]],Table2[[#This Row],[StartN]])</f>
        <v>15456</v>
      </c>
      <c r="L273">
        <f>IF(Table2[[#This Row],[NeedsAttention]]=1,Table2[[#This Row],[End]],Table2[[#This Row],[EndN]])</f>
        <v>15474</v>
      </c>
      <c r="M273" t="b">
        <f>Table2[[#This Row],[Merged.Start]]=L272+1</f>
        <v>1</v>
      </c>
      <c r="O273">
        <f>Table2[[#This Row],[Section]]</f>
        <v>272</v>
      </c>
      <c r="P273">
        <f>Table2[[#This Row],[Canon]]</f>
        <v>5</v>
      </c>
      <c r="Q273" s="1" t="str">
        <f>Table2[[#This Row],[Reference]]</f>
        <v>25.3</v>
      </c>
      <c r="R273" t="str">
        <f>Table2[[#This Row],[StartR]]</f>
        <v>MAT 25:30</v>
      </c>
      <c r="S273" t="str">
        <f>Table2[[#This Row],[EndR]]</f>
        <v>MAT 25:30</v>
      </c>
      <c r="T273">
        <f>Table2[[#This Row],[Merged.Start]]</f>
        <v>15456</v>
      </c>
      <c r="U273">
        <f>Table2[[#This Row],[Merged.End]]</f>
        <v>15474</v>
      </c>
    </row>
    <row r="274" spans="1:21" x14ac:dyDescent="0.25">
      <c r="A274">
        <v>273</v>
      </c>
      <c r="B274">
        <v>10</v>
      </c>
      <c r="C274" s="1" t="s">
        <v>630</v>
      </c>
      <c r="D274" t="s">
        <v>631</v>
      </c>
      <c r="E274" t="s">
        <v>632</v>
      </c>
      <c r="F274">
        <v>15475</v>
      </c>
      <c r="G274">
        <v>15768</v>
      </c>
      <c r="H274">
        <v>0</v>
      </c>
      <c r="K274">
        <f>IF(Table2[[#This Row],[NeedsAttention]]=1,Table2[[#This Row],[Start]],Table2[[#This Row],[StartN]])</f>
        <v>15475</v>
      </c>
      <c r="L274">
        <f>IF(Table2[[#This Row],[NeedsAttention]]=1,Table2[[#This Row],[End]],Table2[[#This Row],[EndN]])</f>
        <v>15768</v>
      </c>
      <c r="M274" t="b">
        <f>Table2[[#This Row],[Merged.Start]]=L273+1</f>
        <v>1</v>
      </c>
      <c r="O274">
        <f>Table2[[#This Row],[Section]]</f>
        <v>273</v>
      </c>
      <c r="P274">
        <f>Table2[[#This Row],[Canon]]</f>
        <v>10</v>
      </c>
      <c r="Q274" s="1" t="str">
        <f>Table2[[#This Row],[Reference]]</f>
        <v>25.31-26.1</v>
      </c>
      <c r="R274" t="str">
        <f>Table2[[#This Row],[StartR]]</f>
        <v>MAT 25:31</v>
      </c>
      <c r="S274" t="str">
        <f>Table2[[#This Row],[EndR]]</f>
        <v>MAT 26:1</v>
      </c>
      <c r="T274">
        <f>Table2[[#This Row],[Merged.Start]]</f>
        <v>15475</v>
      </c>
      <c r="U274">
        <f>Table2[[#This Row],[Merged.End]]</f>
        <v>15768</v>
      </c>
    </row>
    <row r="275" spans="1:21" x14ac:dyDescent="0.25">
      <c r="A275">
        <v>274</v>
      </c>
      <c r="B275">
        <v>1</v>
      </c>
      <c r="C275" s="1">
        <v>26.2</v>
      </c>
      <c r="D275" t="s">
        <v>633</v>
      </c>
      <c r="E275" t="s">
        <v>633</v>
      </c>
      <c r="F275">
        <v>15769</v>
      </c>
      <c r="G275">
        <v>15785</v>
      </c>
      <c r="H275">
        <v>0</v>
      </c>
      <c r="K275">
        <f>IF(Table2[[#This Row],[NeedsAttention]]=1,Table2[[#This Row],[Start]],Table2[[#This Row],[StartN]])</f>
        <v>15769</v>
      </c>
      <c r="L275">
        <f>IF(Table2[[#This Row],[NeedsAttention]]=1,Table2[[#This Row],[End]],Table2[[#This Row],[EndN]])</f>
        <v>15785</v>
      </c>
      <c r="M275" t="b">
        <f>Table2[[#This Row],[Merged.Start]]=L274+1</f>
        <v>1</v>
      </c>
      <c r="O275">
        <f>Table2[[#This Row],[Section]]</f>
        <v>274</v>
      </c>
      <c r="P275">
        <f>Table2[[#This Row],[Canon]]</f>
        <v>1</v>
      </c>
      <c r="Q275" s="1">
        <f>Table2[[#This Row],[Reference]]</f>
        <v>26.2</v>
      </c>
      <c r="R275" t="str">
        <f>Table2[[#This Row],[StartR]]</f>
        <v>MAT 26:2</v>
      </c>
      <c r="S275" t="str">
        <f>Table2[[#This Row],[EndR]]</f>
        <v>MAT 26:2</v>
      </c>
      <c r="T275">
        <f>Table2[[#This Row],[Merged.Start]]</f>
        <v>15769</v>
      </c>
      <c r="U275">
        <f>Table2[[#This Row],[Merged.End]]</f>
        <v>15785</v>
      </c>
    </row>
    <row r="276" spans="1:21" x14ac:dyDescent="0.25">
      <c r="A276">
        <v>275</v>
      </c>
      <c r="B276">
        <v>6</v>
      </c>
      <c r="C276" s="1" t="s">
        <v>634</v>
      </c>
      <c r="D276" t="s">
        <v>635</v>
      </c>
      <c r="E276" t="s">
        <v>636</v>
      </c>
      <c r="F276">
        <v>15786</v>
      </c>
      <c r="G276">
        <v>15824</v>
      </c>
      <c r="H276">
        <v>0</v>
      </c>
      <c r="K276">
        <f>IF(Table2[[#This Row],[NeedsAttention]]=1,Table2[[#This Row],[Start]],Table2[[#This Row],[StartN]])</f>
        <v>15786</v>
      </c>
      <c r="L276">
        <f>IF(Table2[[#This Row],[NeedsAttention]]=1,Table2[[#This Row],[End]],Table2[[#This Row],[EndN]])</f>
        <v>15824</v>
      </c>
      <c r="M276" t="b">
        <f>Table2[[#This Row],[Merged.Start]]=L275+1</f>
        <v>1</v>
      </c>
      <c r="O276">
        <f>Table2[[#This Row],[Section]]</f>
        <v>275</v>
      </c>
      <c r="P276">
        <f>Table2[[#This Row],[Canon]]</f>
        <v>6</v>
      </c>
      <c r="Q276" s="1" t="str">
        <f>Table2[[#This Row],[Reference]]</f>
        <v>26.3-5</v>
      </c>
      <c r="R276" t="str">
        <f>Table2[[#This Row],[StartR]]</f>
        <v>MAT 26:3</v>
      </c>
      <c r="S276" t="str">
        <f>Table2[[#This Row],[EndR]]</f>
        <v>MAT 26:5</v>
      </c>
      <c r="T276">
        <f>Table2[[#This Row],[Merged.Start]]</f>
        <v>15786</v>
      </c>
      <c r="U276">
        <f>Table2[[#This Row],[Merged.End]]</f>
        <v>15824</v>
      </c>
    </row>
    <row r="277" spans="1:21" x14ac:dyDescent="0.25">
      <c r="A277">
        <v>276</v>
      </c>
      <c r="B277">
        <v>1</v>
      </c>
      <c r="C277" s="1" t="s">
        <v>637</v>
      </c>
      <c r="D277" t="s">
        <v>638</v>
      </c>
      <c r="E277" t="s">
        <v>639</v>
      </c>
      <c r="F277">
        <v>15825</v>
      </c>
      <c r="G277">
        <v>15897</v>
      </c>
      <c r="H277">
        <v>0</v>
      </c>
      <c r="K277">
        <f>IF(Table2[[#This Row],[NeedsAttention]]=1,Table2[[#This Row],[Start]],Table2[[#This Row],[StartN]])</f>
        <v>15825</v>
      </c>
      <c r="L277">
        <f>IF(Table2[[#This Row],[NeedsAttention]]=1,Table2[[#This Row],[End]],Table2[[#This Row],[EndN]])</f>
        <v>15897</v>
      </c>
      <c r="M277" t="b">
        <f>Table2[[#This Row],[Merged.Start]]=L276+1</f>
        <v>1</v>
      </c>
      <c r="O277">
        <f>Table2[[#This Row],[Section]]</f>
        <v>276</v>
      </c>
      <c r="P277">
        <f>Table2[[#This Row],[Canon]]</f>
        <v>1</v>
      </c>
      <c r="Q277" s="1" t="str">
        <f>Table2[[#This Row],[Reference]]</f>
        <v>26.6-11</v>
      </c>
      <c r="R277" t="str">
        <f>Table2[[#This Row],[StartR]]</f>
        <v>MAT 26:6</v>
      </c>
      <c r="S277" t="str">
        <f>Table2[[#This Row],[EndR]]</f>
        <v>MAT 26:11</v>
      </c>
      <c r="T277">
        <f>Table2[[#This Row],[Merged.Start]]</f>
        <v>15825</v>
      </c>
      <c r="U277">
        <f>Table2[[#This Row],[Merged.End]]</f>
        <v>15897</v>
      </c>
    </row>
    <row r="278" spans="1:21" x14ac:dyDescent="0.25">
      <c r="A278">
        <v>277</v>
      </c>
      <c r="B278">
        <v>4</v>
      </c>
      <c r="C278" s="1" t="s">
        <v>640</v>
      </c>
      <c r="D278" t="s">
        <v>641</v>
      </c>
      <c r="E278" t="s">
        <v>642</v>
      </c>
      <c r="F278">
        <v>15898</v>
      </c>
      <c r="G278">
        <v>15933</v>
      </c>
      <c r="H278">
        <v>0</v>
      </c>
      <c r="K278">
        <f>IF(Table2[[#This Row],[NeedsAttention]]=1,Table2[[#This Row],[Start]],Table2[[#This Row],[StartN]])</f>
        <v>15898</v>
      </c>
      <c r="L278">
        <f>IF(Table2[[#This Row],[NeedsAttention]]=1,Table2[[#This Row],[End]],Table2[[#This Row],[EndN]])</f>
        <v>15933</v>
      </c>
      <c r="M278" t="b">
        <f>Table2[[#This Row],[Merged.Start]]=L277+1</f>
        <v>1</v>
      </c>
      <c r="O278">
        <f>Table2[[#This Row],[Section]]</f>
        <v>277</v>
      </c>
      <c r="P278">
        <f>Table2[[#This Row],[Canon]]</f>
        <v>4</v>
      </c>
      <c r="Q278" s="1" t="str">
        <f>Table2[[#This Row],[Reference]]</f>
        <v>26.12-13</v>
      </c>
      <c r="R278" t="str">
        <f>Table2[[#This Row],[StartR]]</f>
        <v>MAT 26:12</v>
      </c>
      <c r="S278" t="str">
        <f>Table2[[#This Row],[EndR]]</f>
        <v>MAT 26:13</v>
      </c>
      <c r="T278">
        <f>Table2[[#This Row],[Merged.Start]]</f>
        <v>15898</v>
      </c>
      <c r="U278">
        <f>Table2[[#This Row],[Merged.End]]</f>
        <v>15933</v>
      </c>
    </row>
    <row r="279" spans="1:21" x14ac:dyDescent="0.25">
      <c r="A279">
        <v>278</v>
      </c>
      <c r="B279">
        <v>2</v>
      </c>
      <c r="C279" s="1" t="s">
        <v>643</v>
      </c>
      <c r="D279" t="s">
        <v>644</v>
      </c>
      <c r="E279" t="s">
        <v>645</v>
      </c>
      <c r="F279">
        <v>15934</v>
      </c>
      <c r="G279">
        <v>16029</v>
      </c>
      <c r="H279">
        <v>0</v>
      </c>
      <c r="K279">
        <f>IF(Table2[[#This Row],[NeedsAttention]]=1,Table2[[#This Row],[Start]],Table2[[#This Row],[StartN]])</f>
        <v>15934</v>
      </c>
      <c r="L279">
        <f>IF(Table2[[#This Row],[NeedsAttention]]=1,Table2[[#This Row],[End]],Table2[[#This Row],[EndN]])</f>
        <v>16029</v>
      </c>
      <c r="M279" t="b">
        <f>Table2[[#This Row],[Merged.Start]]=L278+1</f>
        <v>1</v>
      </c>
      <c r="O279">
        <f>Table2[[#This Row],[Section]]</f>
        <v>278</v>
      </c>
      <c r="P279">
        <f>Table2[[#This Row],[Canon]]</f>
        <v>2</v>
      </c>
      <c r="Q279" s="1" t="str">
        <f>Table2[[#This Row],[Reference]]</f>
        <v>26.14-19</v>
      </c>
      <c r="R279" t="str">
        <f>Table2[[#This Row],[StartR]]</f>
        <v>MAT 26:14</v>
      </c>
      <c r="S279" t="str">
        <f>Table2[[#This Row],[EndR]]</f>
        <v>MAT 26:19</v>
      </c>
      <c r="T279">
        <f>Table2[[#This Row],[Merged.Start]]</f>
        <v>15934</v>
      </c>
      <c r="U279">
        <f>Table2[[#This Row],[Merged.End]]</f>
        <v>16029</v>
      </c>
    </row>
    <row r="280" spans="1:21" x14ac:dyDescent="0.25">
      <c r="A280">
        <v>279</v>
      </c>
      <c r="B280">
        <v>4</v>
      </c>
      <c r="C280" s="1" t="s">
        <v>646</v>
      </c>
      <c r="D280" t="s">
        <v>647</v>
      </c>
      <c r="E280" t="s">
        <v>648</v>
      </c>
      <c r="F280">
        <v>16030</v>
      </c>
      <c r="G280">
        <v>16050</v>
      </c>
      <c r="H280">
        <v>0</v>
      </c>
      <c r="K280">
        <f>IF(Table2[[#This Row],[NeedsAttention]]=1,Table2[[#This Row],[Start]],Table2[[#This Row],[StartN]])</f>
        <v>16030</v>
      </c>
      <c r="L280">
        <f>IF(Table2[[#This Row],[NeedsAttention]]=1,Table2[[#This Row],[End]],Table2[[#This Row],[EndN]])</f>
        <v>16050</v>
      </c>
      <c r="M280" t="b">
        <f>Table2[[#This Row],[Merged.Start]]=L279+1</f>
        <v>1</v>
      </c>
      <c r="O280">
        <f>Table2[[#This Row],[Section]]</f>
        <v>279</v>
      </c>
      <c r="P280">
        <f>Table2[[#This Row],[Canon]]</f>
        <v>4</v>
      </c>
      <c r="Q280" s="1" t="str">
        <f>Table2[[#This Row],[Reference]]</f>
        <v>26.20-21</v>
      </c>
      <c r="R280" t="str">
        <f>Table2[[#This Row],[StartR]]</f>
        <v>MAT 26:20</v>
      </c>
      <c r="S280" t="str">
        <f>Table2[[#This Row],[EndR]]</f>
        <v>MAT 26:21</v>
      </c>
      <c r="T280">
        <f>Table2[[#This Row],[Merged.Start]]</f>
        <v>16030</v>
      </c>
      <c r="U280">
        <f>Table2[[#This Row],[Merged.End]]</f>
        <v>16050</v>
      </c>
    </row>
    <row r="281" spans="1:21" x14ac:dyDescent="0.25">
      <c r="A281">
        <v>280</v>
      </c>
      <c r="B281">
        <v>1</v>
      </c>
      <c r="C281" s="1">
        <v>26.22</v>
      </c>
      <c r="D281" t="s">
        <v>649</v>
      </c>
      <c r="E281" t="s">
        <v>649</v>
      </c>
      <c r="F281">
        <v>16051</v>
      </c>
      <c r="G281">
        <v>16062</v>
      </c>
      <c r="H281">
        <v>0</v>
      </c>
      <c r="K281">
        <f>IF(Table2[[#This Row],[NeedsAttention]]=1,Table2[[#This Row],[Start]],Table2[[#This Row],[StartN]])</f>
        <v>16051</v>
      </c>
      <c r="L281">
        <f>IF(Table2[[#This Row],[NeedsAttention]]=1,Table2[[#This Row],[End]],Table2[[#This Row],[EndN]])</f>
        <v>16062</v>
      </c>
      <c r="M281" t="b">
        <f>Table2[[#This Row],[Merged.Start]]=L280+1</f>
        <v>1</v>
      </c>
      <c r="O281">
        <f>Table2[[#This Row],[Section]]</f>
        <v>280</v>
      </c>
      <c r="P281">
        <f>Table2[[#This Row],[Canon]]</f>
        <v>1</v>
      </c>
      <c r="Q281" s="1">
        <f>Table2[[#This Row],[Reference]]</f>
        <v>26.22</v>
      </c>
      <c r="R281" t="str">
        <f>Table2[[#This Row],[StartR]]</f>
        <v>MAT 26:22</v>
      </c>
      <c r="S281" t="str">
        <f>Table2[[#This Row],[EndR]]</f>
        <v>MAT 26:22</v>
      </c>
      <c r="T281">
        <f>Table2[[#This Row],[Merged.Start]]</f>
        <v>16051</v>
      </c>
      <c r="U281">
        <f>Table2[[#This Row],[Merged.End]]</f>
        <v>16062</v>
      </c>
    </row>
    <row r="282" spans="1:21" x14ac:dyDescent="0.25">
      <c r="A282">
        <v>281</v>
      </c>
      <c r="B282">
        <v>2</v>
      </c>
      <c r="C282" s="1" t="s">
        <v>650</v>
      </c>
      <c r="D282" t="s">
        <v>651</v>
      </c>
      <c r="E282" t="s">
        <v>652</v>
      </c>
      <c r="F282">
        <v>16063</v>
      </c>
      <c r="G282">
        <v>16109</v>
      </c>
      <c r="H282">
        <v>1</v>
      </c>
      <c r="I282">
        <v>16063</v>
      </c>
      <c r="J282">
        <v>16100</v>
      </c>
      <c r="K282">
        <f>IF(Table2[[#This Row],[NeedsAttention]]=1,Table2[[#This Row],[Start]],Table2[[#This Row],[StartN]])</f>
        <v>16063</v>
      </c>
      <c r="L282">
        <f>IF(Table2[[#This Row],[NeedsAttention]]=1,Table2[[#This Row],[End]],Table2[[#This Row],[EndN]])</f>
        <v>16100</v>
      </c>
      <c r="M282" t="b">
        <f>Table2[[#This Row],[Merged.Start]]=L281+1</f>
        <v>1</v>
      </c>
      <c r="O282">
        <f>Table2[[#This Row],[Section]]</f>
        <v>281</v>
      </c>
      <c r="P282">
        <f>Table2[[#This Row],[Canon]]</f>
        <v>2</v>
      </c>
      <c r="Q282" s="1" t="str">
        <f>Table2[[#This Row],[Reference]]</f>
        <v>26.23-24A</v>
      </c>
      <c r="R282" t="str">
        <f>Table2[[#This Row],[StartR]]</f>
        <v>MAT 26:23</v>
      </c>
      <c r="S282" t="str">
        <f>Table2[[#This Row],[EndR]]</f>
        <v>MAT 26:24</v>
      </c>
      <c r="T282">
        <f>Table2[[#This Row],[Merged.Start]]</f>
        <v>16063</v>
      </c>
      <c r="U282">
        <f>Table2[[#This Row],[Merged.End]]</f>
        <v>16100</v>
      </c>
    </row>
    <row r="283" spans="1:21" x14ac:dyDescent="0.25">
      <c r="A283">
        <v>282</v>
      </c>
      <c r="B283">
        <v>6</v>
      </c>
      <c r="C283" s="1" t="s">
        <v>653</v>
      </c>
      <c r="D283" t="s">
        <v>652</v>
      </c>
      <c r="E283" t="s">
        <v>652</v>
      </c>
      <c r="F283">
        <v>16079</v>
      </c>
      <c r="G283">
        <v>16109</v>
      </c>
      <c r="H283">
        <v>1</v>
      </c>
      <c r="I283">
        <v>16101</v>
      </c>
      <c r="J283">
        <v>16109</v>
      </c>
      <c r="K283">
        <f>IF(Table2[[#This Row],[NeedsAttention]]=1,Table2[[#This Row],[Start]],Table2[[#This Row],[StartN]])</f>
        <v>16101</v>
      </c>
      <c r="L283">
        <f>IF(Table2[[#This Row],[NeedsAttention]]=1,Table2[[#This Row],[End]],Table2[[#This Row],[EndN]])</f>
        <v>16109</v>
      </c>
      <c r="M283" t="b">
        <f>Table2[[#This Row],[Merged.Start]]=L282+1</f>
        <v>1</v>
      </c>
      <c r="O283">
        <f>Table2[[#This Row],[Section]]</f>
        <v>282</v>
      </c>
      <c r="P283">
        <f>Table2[[#This Row],[Canon]]</f>
        <v>6</v>
      </c>
      <c r="Q283" s="1" t="str">
        <f>Table2[[#This Row],[Reference]]</f>
        <v>26.24B</v>
      </c>
      <c r="R283" t="str">
        <f>Table2[[#This Row],[StartR]]</f>
        <v>MAT 26:24</v>
      </c>
      <c r="S283" t="str">
        <f>Table2[[#This Row],[EndR]]</f>
        <v>MAT 26:24</v>
      </c>
      <c r="T283">
        <f>Table2[[#This Row],[Merged.Start]]</f>
        <v>16101</v>
      </c>
      <c r="U283">
        <f>Table2[[#This Row],[Merged.End]]</f>
        <v>16109</v>
      </c>
    </row>
    <row r="284" spans="1:21" x14ac:dyDescent="0.25">
      <c r="A284">
        <v>283</v>
      </c>
      <c r="B284">
        <v>10</v>
      </c>
      <c r="C284" s="1">
        <v>26.25</v>
      </c>
      <c r="D284" t="s">
        <v>654</v>
      </c>
      <c r="E284" t="s">
        <v>654</v>
      </c>
      <c r="F284">
        <v>16110</v>
      </c>
      <c r="G284">
        <v>16124</v>
      </c>
      <c r="H284">
        <v>0</v>
      </c>
      <c r="K284">
        <f>IF(Table2[[#This Row],[NeedsAttention]]=1,Table2[[#This Row],[Start]],Table2[[#This Row],[StartN]])</f>
        <v>16110</v>
      </c>
      <c r="L284">
        <f>IF(Table2[[#This Row],[NeedsAttention]]=1,Table2[[#This Row],[End]],Table2[[#This Row],[EndN]])</f>
        <v>16124</v>
      </c>
      <c r="M284" t="b">
        <f>Table2[[#This Row],[Merged.Start]]=L283+1</f>
        <v>1</v>
      </c>
      <c r="O284">
        <f>Table2[[#This Row],[Section]]</f>
        <v>283</v>
      </c>
      <c r="P284">
        <f>Table2[[#This Row],[Canon]]</f>
        <v>10</v>
      </c>
      <c r="Q284" s="1">
        <f>Table2[[#This Row],[Reference]]</f>
        <v>26.25</v>
      </c>
      <c r="R284" t="str">
        <f>Table2[[#This Row],[StartR]]</f>
        <v>MAT 26:25</v>
      </c>
      <c r="S284" t="str">
        <f>Table2[[#This Row],[EndR]]</f>
        <v>MAT 26:25</v>
      </c>
      <c r="T284">
        <f>Table2[[#This Row],[Merged.Start]]</f>
        <v>16110</v>
      </c>
      <c r="U284">
        <f>Table2[[#This Row],[Merged.End]]</f>
        <v>16124</v>
      </c>
    </row>
    <row r="285" spans="1:21" x14ac:dyDescent="0.25">
      <c r="A285">
        <v>284</v>
      </c>
      <c r="B285">
        <v>1</v>
      </c>
      <c r="C285" s="1">
        <v>26.26</v>
      </c>
      <c r="D285" t="s">
        <v>655</v>
      </c>
      <c r="E285" t="s">
        <v>655</v>
      </c>
      <c r="F285">
        <v>16125</v>
      </c>
      <c r="G285">
        <v>16146</v>
      </c>
      <c r="H285">
        <v>0</v>
      </c>
      <c r="K285">
        <f>IF(Table2[[#This Row],[NeedsAttention]]=1,Table2[[#This Row],[Start]],Table2[[#This Row],[StartN]])</f>
        <v>16125</v>
      </c>
      <c r="L285">
        <f>IF(Table2[[#This Row],[NeedsAttention]]=1,Table2[[#This Row],[End]],Table2[[#This Row],[EndN]])</f>
        <v>16146</v>
      </c>
      <c r="M285" t="b">
        <f>Table2[[#This Row],[Merged.Start]]=L284+1</f>
        <v>1</v>
      </c>
      <c r="O285">
        <f>Table2[[#This Row],[Section]]</f>
        <v>284</v>
      </c>
      <c r="P285">
        <f>Table2[[#This Row],[Canon]]</f>
        <v>1</v>
      </c>
      <c r="Q285" s="1">
        <f>Table2[[#This Row],[Reference]]</f>
        <v>26.26</v>
      </c>
      <c r="R285" t="str">
        <f>Table2[[#This Row],[StartR]]</f>
        <v>MAT 26:26</v>
      </c>
      <c r="S285" t="str">
        <f>Table2[[#This Row],[EndR]]</f>
        <v>MAT 26:26</v>
      </c>
      <c r="T285">
        <f>Table2[[#This Row],[Merged.Start]]</f>
        <v>16125</v>
      </c>
      <c r="U285">
        <f>Table2[[#This Row],[Merged.End]]</f>
        <v>16146</v>
      </c>
    </row>
    <row r="286" spans="1:21" x14ac:dyDescent="0.25">
      <c r="A286">
        <v>285</v>
      </c>
      <c r="B286">
        <v>2</v>
      </c>
      <c r="C286" s="1" t="s">
        <v>656</v>
      </c>
      <c r="D286" t="s">
        <v>657</v>
      </c>
      <c r="E286" t="s">
        <v>658</v>
      </c>
      <c r="F286">
        <v>16147</v>
      </c>
      <c r="G286">
        <v>16203</v>
      </c>
      <c r="H286">
        <v>0</v>
      </c>
      <c r="K286">
        <f>IF(Table2[[#This Row],[NeedsAttention]]=1,Table2[[#This Row],[Start]],Table2[[#This Row],[StartN]])</f>
        <v>16147</v>
      </c>
      <c r="L286">
        <f>IF(Table2[[#This Row],[NeedsAttention]]=1,Table2[[#This Row],[End]],Table2[[#This Row],[EndN]])</f>
        <v>16203</v>
      </c>
      <c r="M286" t="b">
        <f>Table2[[#This Row],[Merged.Start]]=L285+1</f>
        <v>1</v>
      </c>
      <c r="O286">
        <f>Table2[[#This Row],[Section]]</f>
        <v>285</v>
      </c>
      <c r="P286">
        <f>Table2[[#This Row],[Canon]]</f>
        <v>2</v>
      </c>
      <c r="Q286" s="1" t="str">
        <f>Table2[[#This Row],[Reference]]</f>
        <v>26.27-29</v>
      </c>
      <c r="R286" t="str">
        <f>Table2[[#This Row],[StartR]]</f>
        <v>MAT 26:27</v>
      </c>
      <c r="S286" t="str">
        <f>Table2[[#This Row],[EndR]]</f>
        <v>MAT 26:29</v>
      </c>
      <c r="T286">
        <f>Table2[[#This Row],[Merged.Start]]</f>
        <v>16147</v>
      </c>
      <c r="U286">
        <f>Table2[[#This Row],[Merged.End]]</f>
        <v>16203</v>
      </c>
    </row>
    <row r="287" spans="1:21" x14ac:dyDescent="0.25">
      <c r="A287">
        <v>286</v>
      </c>
      <c r="B287">
        <v>6</v>
      </c>
      <c r="C287" s="1">
        <v>26.3</v>
      </c>
      <c r="D287" t="s">
        <v>2511</v>
      </c>
      <c r="E287" t="s">
        <v>2511</v>
      </c>
      <c r="F287" s="2">
        <v>16204</v>
      </c>
      <c r="G287" s="2">
        <v>16211</v>
      </c>
      <c r="H287">
        <v>0</v>
      </c>
      <c r="K287">
        <f>IF(Table2[[#This Row],[NeedsAttention]]=1,Table2[[#This Row],[Start]],Table2[[#This Row],[StartN]])</f>
        <v>16204</v>
      </c>
      <c r="L287">
        <f>IF(Table2[[#This Row],[NeedsAttention]]=1,Table2[[#This Row],[End]],Table2[[#This Row],[EndN]])</f>
        <v>16211</v>
      </c>
      <c r="M287" t="b">
        <f>Table2[[#This Row],[Merged.Start]]=L286+1</f>
        <v>1</v>
      </c>
      <c r="O287">
        <f>Table2[[#This Row],[Section]]</f>
        <v>286</v>
      </c>
      <c r="P287">
        <f>Table2[[#This Row],[Canon]]</f>
        <v>6</v>
      </c>
      <c r="Q287" s="1">
        <f>Table2[[#This Row],[Reference]]</f>
        <v>26.3</v>
      </c>
      <c r="R287" t="str">
        <f>Table2[[#This Row],[StartR]]</f>
        <v>MAT 26:30</v>
      </c>
      <c r="S287" t="str">
        <f>Table2[[#This Row],[EndR]]</f>
        <v>MAT 26:30</v>
      </c>
      <c r="T287">
        <f>Table2[[#This Row],[Merged.Start]]</f>
        <v>16204</v>
      </c>
      <c r="U287">
        <f>Table2[[#This Row],[Merged.End]]</f>
        <v>16211</v>
      </c>
    </row>
    <row r="288" spans="1:21" x14ac:dyDescent="0.25">
      <c r="A288">
        <v>287</v>
      </c>
      <c r="B288">
        <v>4</v>
      </c>
      <c r="C288" s="1" t="s">
        <v>659</v>
      </c>
      <c r="D288" t="s">
        <v>660</v>
      </c>
      <c r="E288" t="s">
        <v>660</v>
      </c>
      <c r="F288">
        <v>16212</v>
      </c>
      <c r="G288">
        <v>16236</v>
      </c>
      <c r="H288">
        <v>1</v>
      </c>
      <c r="I288">
        <v>16212</v>
      </c>
      <c r="J288">
        <v>16225</v>
      </c>
      <c r="K288">
        <f>IF(Table2[[#This Row],[NeedsAttention]]=1,Table2[[#This Row],[Start]],Table2[[#This Row],[StartN]])</f>
        <v>16212</v>
      </c>
      <c r="L288">
        <f>IF(Table2[[#This Row],[NeedsAttention]]=1,Table2[[#This Row],[End]],Table2[[#This Row],[EndN]])</f>
        <v>16225</v>
      </c>
      <c r="M288" t="b">
        <f>Table2[[#This Row],[Merged.Start]]=L287+1</f>
        <v>1</v>
      </c>
      <c r="O288">
        <f>Table2[[#This Row],[Section]]</f>
        <v>287</v>
      </c>
      <c r="P288">
        <f>Table2[[#This Row],[Canon]]</f>
        <v>4</v>
      </c>
      <c r="Q288" s="1" t="str">
        <f>Table2[[#This Row],[Reference]]</f>
        <v>26.31A</v>
      </c>
      <c r="R288" t="str">
        <f>Table2[[#This Row],[StartR]]</f>
        <v>MAT 26:31</v>
      </c>
      <c r="S288" t="str">
        <f>Table2[[#This Row],[EndR]]</f>
        <v>MAT 26:31</v>
      </c>
      <c r="T288">
        <f>Table2[[#This Row],[Merged.Start]]</f>
        <v>16212</v>
      </c>
      <c r="U288">
        <f>Table2[[#This Row],[Merged.End]]</f>
        <v>16225</v>
      </c>
    </row>
    <row r="289" spans="1:21" x14ac:dyDescent="0.25">
      <c r="A289">
        <v>288</v>
      </c>
      <c r="B289">
        <v>6</v>
      </c>
      <c r="C289" s="1" t="s">
        <v>661</v>
      </c>
      <c r="D289" t="s">
        <v>660</v>
      </c>
      <c r="E289" t="s">
        <v>662</v>
      </c>
      <c r="F289">
        <v>16212</v>
      </c>
      <c r="G289">
        <v>16246</v>
      </c>
      <c r="H289">
        <v>1</v>
      </c>
      <c r="I289">
        <v>16226</v>
      </c>
      <c r="J289">
        <v>16246</v>
      </c>
      <c r="K289">
        <f>IF(Table2[[#This Row],[NeedsAttention]]=1,Table2[[#This Row],[Start]],Table2[[#This Row],[StartN]])</f>
        <v>16226</v>
      </c>
      <c r="L289">
        <f>IF(Table2[[#This Row],[NeedsAttention]]=1,Table2[[#This Row],[End]],Table2[[#This Row],[EndN]])</f>
        <v>16246</v>
      </c>
      <c r="M289" t="b">
        <f>Table2[[#This Row],[Merged.Start]]=L288+1</f>
        <v>1</v>
      </c>
      <c r="O289">
        <f>Table2[[#This Row],[Section]]</f>
        <v>288</v>
      </c>
      <c r="P289">
        <f>Table2[[#This Row],[Canon]]</f>
        <v>6</v>
      </c>
      <c r="Q289" s="1" t="str">
        <f>Table2[[#This Row],[Reference]]</f>
        <v>26.31B-32</v>
      </c>
      <c r="R289" t="str">
        <f>Table2[[#This Row],[StartR]]</f>
        <v>MAT 26:31</v>
      </c>
      <c r="S289" t="str">
        <f>Table2[[#This Row],[EndR]]</f>
        <v>MAT 26:32</v>
      </c>
      <c r="T289">
        <f>Table2[[#This Row],[Merged.Start]]</f>
        <v>16226</v>
      </c>
      <c r="U289">
        <f>Table2[[#This Row],[Merged.End]]</f>
        <v>16246</v>
      </c>
    </row>
    <row r="290" spans="1:21" x14ac:dyDescent="0.25">
      <c r="A290">
        <v>289</v>
      </c>
      <c r="B290">
        <v>1</v>
      </c>
      <c r="C290" s="1" t="s">
        <v>663</v>
      </c>
      <c r="D290" t="s">
        <v>664</v>
      </c>
      <c r="E290" t="s">
        <v>665</v>
      </c>
      <c r="F290">
        <v>16247</v>
      </c>
      <c r="G290">
        <v>16278</v>
      </c>
      <c r="H290">
        <v>0</v>
      </c>
      <c r="K290">
        <f>IF(Table2[[#This Row],[NeedsAttention]]=1,Table2[[#This Row],[Start]],Table2[[#This Row],[StartN]])</f>
        <v>16247</v>
      </c>
      <c r="L290">
        <f>IF(Table2[[#This Row],[NeedsAttention]]=1,Table2[[#This Row],[End]],Table2[[#This Row],[EndN]])</f>
        <v>16278</v>
      </c>
      <c r="M290" t="b">
        <f>Table2[[#This Row],[Merged.Start]]=L289+1</f>
        <v>1</v>
      </c>
      <c r="O290">
        <f>Table2[[#This Row],[Section]]</f>
        <v>289</v>
      </c>
      <c r="P290">
        <f>Table2[[#This Row],[Canon]]</f>
        <v>1</v>
      </c>
      <c r="Q290" s="1" t="str">
        <f>Table2[[#This Row],[Reference]]</f>
        <v>26.33-34</v>
      </c>
      <c r="R290" t="str">
        <f>Table2[[#This Row],[StartR]]</f>
        <v>MAT 26:33</v>
      </c>
      <c r="S290" t="str">
        <f>Table2[[#This Row],[EndR]]</f>
        <v>MAT 26:34</v>
      </c>
      <c r="T290">
        <f>Table2[[#This Row],[Merged.Start]]</f>
        <v>16247</v>
      </c>
      <c r="U290">
        <f>Table2[[#This Row],[Merged.End]]</f>
        <v>16278</v>
      </c>
    </row>
    <row r="291" spans="1:21" x14ac:dyDescent="0.25">
      <c r="A291">
        <v>290</v>
      </c>
      <c r="B291">
        <v>6</v>
      </c>
      <c r="C291" s="1">
        <v>26.35</v>
      </c>
      <c r="D291" t="s">
        <v>666</v>
      </c>
      <c r="E291" t="s">
        <v>666</v>
      </c>
      <c r="F291">
        <v>16279</v>
      </c>
      <c r="G291">
        <v>16298</v>
      </c>
      <c r="H291">
        <v>0</v>
      </c>
      <c r="K291">
        <f>IF(Table2[[#This Row],[NeedsAttention]]=1,Table2[[#This Row],[Start]],Table2[[#This Row],[StartN]])</f>
        <v>16279</v>
      </c>
      <c r="L291">
        <f>IF(Table2[[#This Row],[NeedsAttention]]=1,Table2[[#This Row],[End]],Table2[[#This Row],[EndN]])</f>
        <v>16298</v>
      </c>
      <c r="M291" t="b">
        <f>Table2[[#This Row],[Merged.Start]]=L290+1</f>
        <v>1</v>
      </c>
      <c r="O291">
        <f>Table2[[#This Row],[Section]]</f>
        <v>290</v>
      </c>
      <c r="P291">
        <f>Table2[[#This Row],[Canon]]</f>
        <v>6</v>
      </c>
      <c r="Q291" s="1">
        <f>Table2[[#This Row],[Reference]]</f>
        <v>26.35</v>
      </c>
      <c r="R291" t="str">
        <f>Table2[[#This Row],[StartR]]</f>
        <v>MAT 26:35</v>
      </c>
      <c r="S291" t="str">
        <f>Table2[[#This Row],[EndR]]</f>
        <v>MAT 26:35</v>
      </c>
      <c r="T291">
        <f>Table2[[#This Row],[Merged.Start]]</f>
        <v>16279</v>
      </c>
      <c r="U291">
        <f>Table2[[#This Row],[Merged.End]]</f>
        <v>16298</v>
      </c>
    </row>
    <row r="292" spans="1:21" x14ac:dyDescent="0.25">
      <c r="A292">
        <v>291</v>
      </c>
      <c r="B292">
        <v>1</v>
      </c>
      <c r="C292" s="1" t="s">
        <v>667</v>
      </c>
      <c r="D292" t="s">
        <v>668</v>
      </c>
      <c r="E292" t="s">
        <v>668</v>
      </c>
      <c r="F292">
        <v>16299</v>
      </c>
      <c r="G292">
        <v>16319</v>
      </c>
      <c r="H292">
        <v>1</v>
      </c>
      <c r="I292">
        <v>16299</v>
      </c>
      <c r="J292">
        <v>16308</v>
      </c>
      <c r="K292">
        <f>IF(Table2[[#This Row],[NeedsAttention]]=1,Table2[[#This Row],[Start]],Table2[[#This Row],[StartN]])</f>
        <v>16299</v>
      </c>
      <c r="L292">
        <f>IF(Table2[[#This Row],[NeedsAttention]]=1,Table2[[#This Row],[End]],Table2[[#This Row],[EndN]])</f>
        <v>16308</v>
      </c>
      <c r="M292" t="b">
        <f>Table2[[#This Row],[Merged.Start]]=L291+1</f>
        <v>1</v>
      </c>
      <c r="O292">
        <f>Table2[[#This Row],[Section]]</f>
        <v>291</v>
      </c>
      <c r="P292">
        <f>Table2[[#This Row],[Canon]]</f>
        <v>1</v>
      </c>
      <c r="Q292" s="1" t="str">
        <f>Table2[[#This Row],[Reference]]</f>
        <v>26.36A</v>
      </c>
      <c r="R292" t="str">
        <f>Table2[[#This Row],[StartR]]</f>
        <v>MAT 26:36</v>
      </c>
      <c r="S292" t="str">
        <f>Table2[[#This Row],[EndR]]</f>
        <v>MAT 26:36</v>
      </c>
      <c r="T292">
        <f>Table2[[#This Row],[Merged.Start]]</f>
        <v>16299</v>
      </c>
      <c r="U292">
        <f>Table2[[#This Row],[Merged.End]]</f>
        <v>16308</v>
      </c>
    </row>
    <row r="293" spans="1:21" x14ac:dyDescent="0.25">
      <c r="A293">
        <v>292</v>
      </c>
      <c r="B293">
        <v>6</v>
      </c>
      <c r="C293" s="1" t="s">
        <v>669</v>
      </c>
      <c r="D293" t="s">
        <v>668</v>
      </c>
      <c r="E293" t="s">
        <v>670</v>
      </c>
      <c r="F293">
        <v>16299</v>
      </c>
      <c r="G293">
        <v>16332</v>
      </c>
      <c r="H293">
        <v>1</v>
      </c>
      <c r="I293">
        <v>16309</v>
      </c>
      <c r="J293">
        <v>16332</v>
      </c>
      <c r="K293">
        <f>IF(Table2[[#This Row],[NeedsAttention]]=1,Table2[[#This Row],[Start]],Table2[[#This Row],[StartN]])</f>
        <v>16309</v>
      </c>
      <c r="L293">
        <f>IF(Table2[[#This Row],[NeedsAttention]]=1,Table2[[#This Row],[End]],Table2[[#This Row],[EndN]])</f>
        <v>16332</v>
      </c>
      <c r="M293" t="b">
        <f>Table2[[#This Row],[Merged.Start]]=L292+1</f>
        <v>1</v>
      </c>
      <c r="O293">
        <f>Table2[[#This Row],[Section]]</f>
        <v>292</v>
      </c>
      <c r="P293">
        <f>Table2[[#This Row],[Canon]]</f>
        <v>6</v>
      </c>
      <c r="Q293" s="1" t="str">
        <f>Table2[[#This Row],[Reference]]</f>
        <v>26.36B-37</v>
      </c>
      <c r="R293" t="str">
        <f>Table2[[#This Row],[StartR]]</f>
        <v>MAT 26:36</v>
      </c>
      <c r="S293" t="str">
        <f>Table2[[#This Row],[EndR]]</f>
        <v>MAT 26:37</v>
      </c>
      <c r="T293">
        <f>Table2[[#This Row],[Merged.Start]]</f>
        <v>16309</v>
      </c>
      <c r="U293">
        <f>Table2[[#This Row],[Merged.End]]</f>
        <v>16332</v>
      </c>
    </row>
    <row r="294" spans="1:21" x14ac:dyDescent="0.25">
      <c r="A294">
        <v>293</v>
      </c>
      <c r="B294">
        <v>4</v>
      </c>
      <c r="C294" s="1">
        <v>26.38</v>
      </c>
      <c r="D294" t="s">
        <v>671</v>
      </c>
      <c r="E294" t="s">
        <v>671</v>
      </c>
      <c r="F294">
        <v>16333</v>
      </c>
      <c r="G294">
        <v>16348</v>
      </c>
      <c r="H294">
        <v>0</v>
      </c>
      <c r="K294">
        <f>IF(Table2[[#This Row],[NeedsAttention]]=1,Table2[[#This Row],[Start]],Table2[[#This Row],[StartN]])</f>
        <v>16333</v>
      </c>
      <c r="L294">
        <f>IF(Table2[[#This Row],[NeedsAttention]]=1,Table2[[#This Row],[End]],Table2[[#This Row],[EndN]])</f>
        <v>16348</v>
      </c>
      <c r="M294" t="b">
        <f>Table2[[#This Row],[Merged.Start]]=L293+1</f>
        <v>1</v>
      </c>
      <c r="O294">
        <f>Table2[[#This Row],[Section]]</f>
        <v>293</v>
      </c>
      <c r="P294">
        <f>Table2[[#This Row],[Canon]]</f>
        <v>4</v>
      </c>
      <c r="Q294" s="1">
        <f>Table2[[#This Row],[Reference]]</f>
        <v>26.38</v>
      </c>
      <c r="R294" t="str">
        <f>Table2[[#This Row],[StartR]]</f>
        <v>MAT 26:38</v>
      </c>
      <c r="S294" t="str">
        <f>Table2[[#This Row],[EndR]]</f>
        <v>MAT 26:38</v>
      </c>
      <c r="T294">
        <f>Table2[[#This Row],[Merged.Start]]</f>
        <v>16333</v>
      </c>
      <c r="U294">
        <f>Table2[[#This Row],[Merged.End]]</f>
        <v>16348</v>
      </c>
    </row>
    <row r="295" spans="1:21" x14ac:dyDescent="0.25">
      <c r="A295">
        <v>294</v>
      </c>
      <c r="B295">
        <v>1</v>
      </c>
      <c r="C295" s="1" t="s">
        <v>672</v>
      </c>
      <c r="D295" t="s">
        <v>673</v>
      </c>
      <c r="E295" t="s">
        <v>673</v>
      </c>
      <c r="F295">
        <v>16349</v>
      </c>
      <c r="G295">
        <v>16377</v>
      </c>
      <c r="H295">
        <v>1</v>
      </c>
      <c r="I295">
        <v>16349</v>
      </c>
      <c r="J295">
        <v>16369</v>
      </c>
      <c r="K295">
        <f>IF(Table2[[#This Row],[NeedsAttention]]=1,Table2[[#This Row],[Start]],Table2[[#This Row],[StartN]])</f>
        <v>16349</v>
      </c>
      <c r="L295">
        <f>IF(Table2[[#This Row],[NeedsAttention]]=1,Table2[[#This Row],[End]],Table2[[#This Row],[EndN]])</f>
        <v>16369</v>
      </c>
      <c r="M295" t="b">
        <f>Table2[[#This Row],[Merged.Start]]=L294+1</f>
        <v>1</v>
      </c>
      <c r="O295">
        <f>Table2[[#This Row],[Section]]</f>
        <v>294</v>
      </c>
      <c r="P295">
        <f>Table2[[#This Row],[Canon]]</f>
        <v>1</v>
      </c>
      <c r="Q295" s="1" t="str">
        <f>Table2[[#This Row],[Reference]]</f>
        <v>26.39AB</v>
      </c>
      <c r="R295" t="str">
        <f>Table2[[#This Row],[StartR]]</f>
        <v>MAT 26:39</v>
      </c>
      <c r="S295" t="str">
        <f>Table2[[#This Row],[EndR]]</f>
        <v>MAT 26:39</v>
      </c>
      <c r="T295">
        <f>Table2[[#This Row],[Merged.Start]]</f>
        <v>16349</v>
      </c>
      <c r="U295">
        <f>Table2[[#This Row],[Merged.End]]</f>
        <v>16369</v>
      </c>
    </row>
    <row r="296" spans="1:21" x14ac:dyDescent="0.25">
      <c r="A296">
        <v>295</v>
      </c>
      <c r="B296">
        <v>1</v>
      </c>
      <c r="C296" s="1" t="s">
        <v>674</v>
      </c>
      <c r="D296" t="s">
        <v>673</v>
      </c>
      <c r="E296" t="s">
        <v>673</v>
      </c>
      <c r="F296">
        <v>16349</v>
      </c>
      <c r="G296">
        <v>16377</v>
      </c>
      <c r="H296">
        <v>1</v>
      </c>
      <c r="I296">
        <v>16370</v>
      </c>
      <c r="J296">
        <v>16377</v>
      </c>
      <c r="K296">
        <f>IF(Table2[[#This Row],[NeedsAttention]]=1,Table2[[#This Row],[Start]],Table2[[#This Row],[StartN]])</f>
        <v>16370</v>
      </c>
      <c r="L296">
        <f>IF(Table2[[#This Row],[NeedsAttention]]=1,Table2[[#This Row],[End]],Table2[[#This Row],[EndN]])</f>
        <v>16377</v>
      </c>
      <c r="M296" t="b">
        <f>Table2[[#This Row],[Merged.Start]]=L295+1</f>
        <v>1</v>
      </c>
      <c r="O296">
        <f>Table2[[#This Row],[Section]]</f>
        <v>295</v>
      </c>
      <c r="P296">
        <f>Table2[[#This Row],[Canon]]</f>
        <v>1</v>
      </c>
      <c r="Q296" s="1" t="str">
        <f>Table2[[#This Row],[Reference]]</f>
        <v>26.39C</v>
      </c>
      <c r="R296" t="str">
        <f>Table2[[#This Row],[StartR]]</f>
        <v>MAT 26:39</v>
      </c>
      <c r="S296" t="str">
        <f>Table2[[#This Row],[EndR]]</f>
        <v>MAT 26:39</v>
      </c>
      <c r="T296">
        <f>Table2[[#This Row],[Merged.Start]]</f>
        <v>16370</v>
      </c>
      <c r="U296">
        <f>Table2[[#This Row],[Merged.End]]</f>
        <v>16377</v>
      </c>
    </row>
    <row r="297" spans="1:21" x14ac:dyDescent="0.25">
      <c r="A297">
        <v>296</v>
      </c>
      <c r="B297">
        <v>2</v>
      </c>
      <c r="C297" s="1" t="s">
        <v>675</v>
      </c>
      <c r="D297" t="s">
        <v>676</v>
      </c>
      <c r="E297" t="s">
        <v>677</v>
      </c>
      <c r="F297">
        <v>16378</v>
      </c>
      <c r="G297">
        <v>16414</v>
      </c>
      <c r="H297">
        <v>1</v>
      </c>
      <c r="I297">
        <v>16378</v>
      </c>
      <c r="J297">
        <v>16406</v>
      </c>
      <c r="K297">
        <f>IF(Table2[[#This Row],[NeedsAttention]]=1,Table2[[#This Row],[Start]],Table2[[#This Row],[StartN]])</f>
        <v>16378</v>
      </c>
      <c r="L297">
        <f>IF(Table2[[#This Row],[NeedsAttention]]=1,Table2[[#This Row],[End]],Table2[[#This Row],[EndN]])</f>
        <v>16406</v>
      </c>
      <c r="M297" t="b">
        <f>Table2[[#This Row],[Merged.Start]]=L296+1</f>
        <v>1</v>
      </c>
      <c r="O297">
        <f>Table2[[#This Row],[Section]]</f>
        <v>296</v>
      </c>
      <c r="P297">
        <f>Table2[[#This Row],[Canon]]</f>
        <v>2</v>
      </c>
      <c r="Q297" s="1" t="str">
        <f>Table2[[#This Row],[Reference]]</f>
        <v>26.40-41A</v>
      </c>
      <c r="R297" t="str">
        <f>Table2[[#This Row],[StartR]]</f>
        <v>MAT 26:40</v>
      </c>
      <c r="S297" t="str">
        <f>Table2[[#This Row],[EndR]]</f>
        <v>MAT 26:41</v>
      </c>
      <c r="T297">
        <f>Table2[[#This Row],[Merged.Start]]</f>
        <v>16378</v>
      </c>
      <c r="U297">
        <f>Table2[[#This Row],[Merged.End]]</f>
        <v>16406</v>
      </c>
    </row>
    <row r="298" spans="1:21" x14ac:dyDescent="0.25">
      <c r="A298">
        <v>297</v>
      </c>
      <c r="B298">
        <v>4</v>
      </c>
      <c r="C298" s="1" t="s">
        <v>678</v>
      </c>
      <c r="D298" t="s">
        <v>677</v>
      </c>
      <c r="E298" t="s">
        <v>677</v>
      </c>
      <c r="F298">
        <v>16399</v>
      </c>
      <c r="G298">
        <v>16414</v>
      </c>
      <c r="H298">
        <v>1</v>
      </c>
      <c r="I298">
        <v>16407</v>
      </c>
      <c r="J298">
        <v>16414</v>
      </c>
      <c r="K298">
        <f>IF(Table2[[#This Row],[NeedsAttention]]=1,Table2[[#This Row],[Start]],Table2[[#This Row],[StartN]])</f>
        <v>16407</v>
      </c>
      <c r="L298">
        <f>IF(Table2[[#This Row],[NeedsAttention]]=1,Table2[[#This Row],[End]],Table2[[#This Row],[EndN]])</f>
        <v>16414</v>
      </c>
      <c r="M298" t="b">
        <f>Table2[[#This Row],[Merged.Start]]=L297+1</f>
        <v>1</v>
      </c>
      <c r="O298">
        <f>Table2[[#This Row],[Section]]</f>
        <v>297</v>
      </c>
      <c r="P298">
        <f>Table2[[#This Row],[Canon]]</f>
        <v>4</v>
      </c>
      <c r="Q298" s="1" t="str">
        <f>Table2[[#This Row],[Reference]]</f>
        <v>26.41B</v>
      </c>
      <c r="R298" t="str">
        <f>Table2[[#This Row],[StartR]]</f>
        <v>MAT 26:41</v>
      </c>
      <c r="S298" t="str">
        <f>Table2[[#This Row],[EndR]]</f>
        <v>MAT 26:41</v>
      </c>
      <c r="T298">
        <f>Table2[[#This Row],[Merged.Start]]</f>
        <v>16407</v>
      </c>
      <c r="U298">
        <f>Table2[[#This Row],[Merged.End]]</f>
        <v>16414</v>
      </c>
    </row>
    <row r="299" spans="1:21" x14ac:dyDescent="0.25">
      <c r="A299">
        <v>298</v>
      </c>
      <c r="B299">
        <v>6</v>
      </c>
      <c r="C299" s="1" t="s">
        <v>679</v>
      </c>
      <c r="D299" t="s">
        <v>680</v>
      </c>
      <c r="E299" t="s">
        <v>681</v>
      </c>
      <c r="F299">
        <v>16415</v>
      </c>
      <c r="G299">
        <v>16460</v>
      </c>
      <c r="H299">
        <v>0</v>
      </c>
      <c r="K299">
        <f>IF(Table2[[#This Row],[NeedsAttention]]=1,Table2[[#This Row],[Start]],Table2[[#This Row],[StartN]])</f>
        <v>16415</v>
      </c>
      <c r="L299">
        <f>IF(Table2[[#This Row],[NeedsAttention]]=1,Table2[[#This Row],[End]],Table2[[#This Row],[EndN]])</f>
        <v>16460</v>
      </c>
      <c r="M299" t="b">
        <f>Table2[[#This Row],[Merged.Start]]=L298+1</f>
        <v>1</v>
      </c>
      <c r="O299">
        <f>Table2[[#This Row],[Section]]</f>
        <v>298</v>
      </c>
      <c r="P299">
        <f>Table2[[#This Row],[Canon]]</f>
        <v>6</v>
      </c>
      <c r="Q299" s="1" t="str">
        <f>Table2[[#This Row],[Reference]]</f>
        <v>26.42-44</v>
      </c>
      <c r="R299" t="str">
        <f>Table2[[#This Row],[StartR]]</f>
        <v>MAT 26:42</v>
      </c>
      <c r="S299" t="str">
        <f>Table2[[#This Row],[EndR]]</f>
        <v>MAT 26:44</v>
      </c>
      <c r="T299">
        <f>Table2[[#This Row],[Merged.Start]]</f>
        <v>16415</v>
      </c>
      <c r="U299">
        <f>Table2[[#This Row],[Merged.End]]</f>
        <v>16460</v>
      </c>
    </row>
    <row r="300" spans="1:21" x14ac:dyDescent="0.25">
      <c r="A300">
        <v>299</v>
      </c>
      <c r="B300">
        <v>4</v>
      </c>
      <c r="C300" s="1" t="s">
        <v>682</v>
      </c>
      <c r="D300" t="s">
        <v>683</v>
      </c>
      <c r="E300" t="s">
        <v>684</v>
      </c>
      <c r="F300">
        <v>16461</v>
      </c>
      <c r="G300">
        <v>16493</v>
      </c>
      <c r="H300">
        <v>0</v>
      </c>
      <c r="K300">
        <f>IF(Table2[[#This Row],[NeedsAttention]]=1,Table2[[#This Row],[Start]],Table2[[#This Row],[StartN]])</f>
        <v>16461</v>
      </c>
      <c r="L300">
        <f>IF(Table2[[#This Row],[NeedsAttention]]=1,Table2[[#This Row],[End]],Table2[[#This Row],[EndN]])</f>
        <v>16493</v>
      </c>
      <c r="M300" t="b">
        <f>Table2[[#This Row],[Merged.Start]]=L299+1</f>
        <v>1</v>
      </c>
      <c r="O300">
        <f>Table2[[#This Row],[Section]]</f>
        <v>299</v>
      </c>
      <c r="P300">
        <f>Table2[[#This Row],[Canon]]</f>
        <v>4</v>
      </c>
      <c r="Q300" s="1" t="str">
        <f>Table2[[#This Row],[Reference]]</f>
        <v>26.45-46</v>
      </c>
      <c r="R300" t="str">
        <f>Table2[[#This Row],[StartR]]</f>
        <v>MAT 26:45</v>
      </c>
      <c r="S300" t="str">
        <f>Table2[[#This Row],[EndR]]</f>
        <v>MAT 26:46</v>
      </c>
      <c r="T300">
        <f>Table2[[#This Row],[Merged.Start]]</f>
        <v>16461</v>
      </c>
      <c r="U300">
        <f>Table2[[#This Row],[Merged.End]]</f>
        <v>16493</v>
      </c>
    </row>
    <row r="301" spans="1:21" x14ac:dyDescent="0.25">
      <c r="A301">
        <v>300</v>
      </c>
      <c r="B301">
        <v>1</v>
      </c>
      <c r="C301" s="1">
        <v>26.47</v>
      </c>
      <c r="D301" t="s">
        <v>685</v>
      </c>
      <c r="E301" t="s">
        <v>685</v>
      </c>
      <c r="F301">
        <v>16494</v>
      </c>
      <c r="G301">
        <v>16519</v>
      </c>
      <c r="H301">
        <v>0</v>
      </c>
      <c r="K301">
        <f>IF(Table2[[#This Row],[NeedsAttention]]=1,Table2[[#This Row],[Start]],Table2[[#This Row],[StartN]])</f>
        <v>16494</v>
      </c>
      <c r="L301">
        <f>IF(Table2[[#This Row],[NeedsAttention]]=1,Table2[[#This Row],[End]],Table2[[#This Row],[EndN]])</f>
        <v>16519</v>
      </c>
      <c r="M301" t="b">
        <f>Table2[[#This Row],[Merged.Start]]=L300+1</f>
        <v>1</v>
      </c>
      <c r="O301">
        <f>Table2[[#This Row],[Section]]</f>
        <v>300</v>
      </c>
      <c r="P301">
        <f>Table2[[#This Row],[Canon]]</f>
        <v>1</v>
      </c>
      <c r="Q301" s="1">
        <f>Table2[[#This Row],[Reference]]</f>
        <v>26.47</v>
      </c>
      <c r="R301" t="str">
        <f>Table2[[#This Row],[StartR]]</f>
        <v>MAT 26:47</v>
      </c>
      <c r="S301" t="str">
        <f>Table2[[#This Row],[EndR]]</f>
        <v>MAT 26:47</v>
      </c>
      <c r="T301">
        <f>Table2[[#This Row],[Merged.Start]]</f>
        <v>16494</v>
      </c>
      <c r="U301">
        <f>Table2[[#This Row],[Merged.End]]</f>
        <v>16519</v>
      </c>
    </row>
    <row r="302" spans="1:21" x14ac:dyDescent="0.25">
      <c r="A302">
        <v>301</v>
      </c>
      <c r="B302">
        <v>2</v>
      </c>
      <c r="C302" s="1" t="s">
        <v>686</v>
      </c>
      <c r="D302" t="s">
        <v>687</v>
      </c>
      <c r="E302" t="s">
        <v>688</v>
      </c>
      <c r="F302">
        <v>16520</v>
      </c>
      <c r="G302">
        <v>16565</v>
      </c>
      <c r="H302">
        <v>0</v>
      </c>
      <c r="K302">
        <f>IF(Table2[[#This Row],[NeedsAttention]]=1,Table2[[#This Row],[Start]],Table2[[#This Row],[StartN]])</f>
        <v>16520</v>
      </c>
      <c r="L302">
        <f>IF(Table2[[#This Row],[NeedsAttention]]=1,Table2[[#This Row],[End]],Table2[[#This Row],[EndN]])</f>
        <v>16565</v>
      </c>
      <c r="M302" t="b">
        <f>Table2[[#This Row],[Merged.Start]]=L301+1</f>
        <v>1</v>
      </c>
      <c r="O302">
        <f>Table2[[#This Row],[Section]]</f>
        <v>301</v>
      </c>
      <c r="P302">
        <f>Table2[[#This Row],[Canon]]</f>
        <v>2</v>
      </c>
      <c r="Q302" s="1" t="str">
        <f>Table2[[#This Row],[Reference]]</f>
        <v>26.48-50</v>
      </c>
      <c r="R302" t="str">
        <f>Table2[[#This Row],[StartR]]</f>
        <v>MAT 26:48</v>
      </c>
      <c r="S302" t="str">
        <f>Table2[[#This Row],[EndR]]</f>
        <v>MAT 26:50</v>
      </c>
      <c r="T302">
        <f>Table2[[#This Row],[Merged.Start]]</f>
        <v>16520</v>
      </c>
      <c r="U302">
        <f>Table2[[#This Row],[Merged.End]]</f>
        <v>16565</v>
      </c>
    </row>
    <row r="303" spans="1:21" x14ac:dyDescent="0.25">
      <c r="A303">
        <v>302</v>
      </c>
      <c r="B303">
        <v>1</v>
      </c>
      <c r="C303" s="1" t="s">
        <v>689</v>
      </c>
      <c r="D303" t="s">
        <v>690</v>
      </c>
      <c r="E303" t="s">
        <v>691</v>
      </c>
      <c r="F303">
        <v>16566</v>
      </c>
      <c r="G303">
        <v>16609</v>
      </c>
      <c r="H303">
        <v>1</v>
      </c>
      <c r="I303">
        <v>16566</v>
      </c>
      <c r="J303">
        <v>16601</v>
      </c>
      <c r="K303">
        <f>IF(Table2[[#This Row],[NeedsAttention]]=1,Table2[[#This Row],[Start]],Table2[[#This Row],[StartN]])</f>
        <v>16566</v>
      </c>
      <c r="L303">
        <f>IF(Table2[[#This Row],[NeedsAttention]]=1,Table2[[#This Row],[End]],Table2[[#This Row],[EndN]])</f>
        <v>16601</v>
      </c>
      <c r="M303" t="b">
        <f>Table2[[#This Row],[Merged.Start]]=L302+1</f>
        <v>1</v>
      </c>
      <c r="O303">
        <f>Table2[[#This Row],[Section]]</f>
        <v>302</v>
      </c>
      <c r="P303">
        <f>Table2[[#This Row],[Canon]]</f>
        <v>1</v>
      </c>
      <c r="Q303" s="1" t="str">
        <f>Table2[[#This Row],[Reference]]</f>
        <v>26.51-52A</v>
      </c>
      <c r="R303" t="str">
        <f>Table2[[#This Row],[StartR]]</f>
        <v>MAT 26:51</v>
      </c>
      <c r="S303" t="str">
        <f>Table2[[#This Row],[EndR]]</f>
        <v>MAT 26:52</v>
      </c>
      <c r="T303">
        <f>Table2[[#This Row],[Merged.Start]]</f>
        <v>16566</v>
      </c>
      <c r="U303">
        <f>Table2[[#This Row],[Merged.End]]</f>
        <v>16601</v>
      </c>
    </row>
    <row r="304" spans="1:21" x14ac:dyDescent="0.25">
      <c r="A304">
        <v>303</v>
      </c>
      <c r="B304">
        <v>10</v>
      </c>
      <c r="C304" s="1" t="s">
        <v>692</v>
      </c>
      <c r="D304" t="s">
        <v>691</v>
      </c>
      <c r="E304" t="s">
        <v>693</v>
      </c>
      <c r="F304">
        <v>16589</v>
      </c>
      <c r="G304">
        <v>16635</v>
      </c>
      <c r="H304">
        <v>1</v>
      </c>
      <c r="I304">
        <v>16602</v>
      </c>
      <c r="J304">
        <v>16635</v>
      </c>
      <c r="K304">
        <f>IF(Table2[[#This Row],[NeedsAttention]]=1,Table2[[#This Row],[Start]],Table2[[#This Row],[StartN]])</f>
        <v>16602</v>
      </c>
      <c r="L304">
        <f>IF(Table2[[#This Row],[NeedsAttention]]=1,Table2[[#This Row],[End]],Table2[[#This Row],[EndN]])</f>
        <v>16635</v>
      </c>
      <c r="M304" t="b">
        <f>Table2[[#This Row],[Merged.Start]]=L303+1</f>
        <v>1</v>
      </c>
      <c r="O304">
        <f>Table2[[#This Row],[Section]]</f>
        <v>303</v>
      </c>
      <c r="P304">
        <f>Table2[[#This Row],[Canon]]</f>
        <v>10</v>
      </c>
      <c r="Q304" s="1" t="str">
        <f>Table2[[#This Row],[Reference]]</f>
        <v>26.52B-54</v>
      </c>
      <c r="R304" t="str">
        <f>Table2[[#This Row],[StartR]]</f>
        <v>MAT 26:52</v>
      </c>
      <c r="S304" t="str">
        <f>Table2[[#This Row],[EndR]]</f>
        <v>MAT 26:54</v>
      </c>
      <c r="T304">
        <f>Table2[[#This Row],[Merged.Start]]</f>
        <v>16602</v>
      </c>
      <c r="U304">
        <f>Table2[[#This Row],[Merged.End]]</f>
        <v>16635</v>
      </c>
    </row>
    <row r="305" spans="1:21" x14ac:dyDescent="0.25">
      <c r="A305">
        <v>304</v>
      </c>
      <c r="B305">
        <v>1</v>
      </c>
      <c r="C305" s="1">
        <v>26.55</v>
      </c>
      <c r="D305" t="s">
        <v>694</v>
      </c>
      <c r="E305" t="s">
        <v>694</v>
      </c>
      <c r="F305">
        <v>16636</v>
      </c>
      <c r="G305">
        <v>16665</v>
      </c>
      <c r="H305">
        <v>0</v>
      </c>
      <c r="K305">
        <f>IF(Table2[[#This Row],[NeedsAttention]]=1,Table2[[#This Row],[Start]],Table2[[#This Row],[StartN]])</f>
        <v>16636</v>
      </c>
      <c r="L305">
        <f>IF(Table2[[#This Row],[NeedsAttention]]=1,Table2[[#This Row],[End]],Table2[[#This Row],[EndN]])</f>
        <v>16665</v>
      </c>
      <c r="M305" t="b">
        <f>Table2[[#This Row],[Merged.Start]]=L304+1</f>
        <v>1</v>
      </c>
      <c r="O305">
        <f>Table2[[#This Row],[Section]]</f>
        <v>304</v>
      </c>
      <c r="P305">
        <f>Table2[[#This Row],[Canon]]</f>
        <v>1</v>
      </c>
      <c r="Q305" s="1">
        <f>Table2[[#This Row],[Reference]]</f>
        <v>26.55</v>
      </c>
      <c r="R305" t="str">
        <f>Table2[[#This Row],[StartR]]</f>
        <v>MAT 26:55</v>
      </c>
      <c r="S305" t="str">
        <f>Table2[[#This Row],[EndR]]</f>
        <v>MAT 26:55</v>
      </c>
      <c r="T305">
        <f>Table2[[#This Row],[Merged.Start]]</f>
        <v>16636</v>
      </c>
      <c r="U305">
        <f>Table2[[#This Row],[Merged.End]]</f>
        <v>16665</v>
      </c>
    </row>
    <row r="306" spans="1:21" x14ac:dyDescent="0.25">
      <c r="A306">
        <v>305</v>
      </c>
      <c r="B306">
        <v>6</v>
      </c>
      <c r="C306" s="1">
        <v>26.56</v>
      </c>
      <c r="D306" t="s">
        <v>695</v>
      </c>
      <c r="E306" t="s">
        <v>695</v>
      </c>
      <c r="F306">
        <v>16666</v>
      </c>
      <c r="G306">
        <v>16682</v>
      </c>
      <c r="H306">
        <v>0</v>
      </c>
      <c r="K306">
        <f>IF(Table2[[#This Row],[NeedsAttention]]=1,Table2[[#This Row],[Start]],Table2[[#This Row],[StartN]])</f>
        <v>16666</v>
      </c>
      <c r="L306">
        <f>IF(Table2[[#This Row],[NeedsAttention]]=1,Table2[[#This Row],[End]],Table2[[#This Row],[EndN]])</f>
        <v>16682</v>
      </c>
      <c r="M306" t="b">
        <f>Table2[[#This Row],[Merged.Start]]=L305+1</f>
        <v>1</v>
      </c>
      <c r="O306">
        <f>Table2[[#This Row],[Section]]</f>
        <v>305</v>
      </c>
      <c r="P306">
        <f>Table2[[#This Row],[Canon]]</f>
        <v>6</v>
      </c>
      <c r="Q306" s="1">
        <f>Table2[[#This Row],[Reference]]</f>
        <v>26.56</v>
      </c>
      <c r="R306" t="str">
        <f>Table2[[#This Row],[StartR]]</f>
        <v>MAT 26:56</v>
      </c>
      <c r="S306" t="str">
        <f>Table2[[#This Row],[EndR]]</f>
        <v>MAT 26:56</v>
      </c>
      <c r="T306">
        <f>Table2[[#This Row],[Merged.Start]]</f>
        <v>16666</v>
      </c>
      <c r="U306">
        <f>Table2[[#This Row],[Merged.End]]</f>
        <v>16682</v>
      </c>
    </row>
    <row r="307" spans="1:21" x14ac:dyDescent="0.25">
      <c r="A307">
        <v>306</v>
      </c>
      <c r="B307">
        <v>1</v>
      </c>
      <c r="C307" s="1">
        <v>26.57</v>
      </c>
      <c r="D307" t="s">
        <v>696</v>
      </c>
      <c r="E307" t="s">
        <v>696</v>
      </c>
      <c r="F307">
        <v>16683</v>
      </c>
      <c r="G307">
        <v>16699</v>
      </c>
      <c r="H307">
        <v>0</v>
      </c>
      <c r="K307">
        <f>IF(Table2[[#This Row],[NeedsAttention]]=1,Table2[[#This Row],[Start]],Table2[[#This Row],[StartN]])</f>
        <v>16683</v>
      </c>
      <c r="L307">
        <f>IF(Table2[[#This Row],[NeedsAttention]]=1,Table2[[#This Row],[End]],Table2[[#This Row],[EndN]])</f>
        <v>16699</v>
      </c>
      <c r="M307" t="b">
        <f>Table2[[#This Row],[Merged.Start]]=L306+1</f>
        <v>1</v>
      </c>
      <c r="O307">
        <f>Table2[[#This Row],[Section]]</f>
        <v>306</v>
      </c>
      <c r="P307">
        <f>Table2[[#This Row],[Canon]]</f>
        <v>1</v>
      </c>
      <c r="Q307" s="1">
        <f>Table2[[#This Row],[Reference]]</f>
        <v>26.57</v>
      </c>
      <c r="R307" t="str">
        <f>Table2[[#This Row],[StartR]]</f>
        <v>MAT 26:57</v>
      </c>
      <c r="S307" t="str">
        <f>Table2[[#This Row],[EndR]]</f>
        <v>MAT 26:57</v>
      </c>
      <c r="T307">
        <f>Table2[[#This Row],[Merged.Start]]</f>
        <v>16683</v>
      </c>
      <c r="U307">
        <f>Table2[[#This Row],[Merged.End]]</f>
        <v>16699</v>
      </c>
    </row>
    <row r="308" spans="1:21" x14ac:dyDescent="0.25">
      <c r="A308">
        <v>307</v>
      </c>
      <c r="B308">
        <v>4</v>
      </c>
      <c r="C308" s="1">
        <v>26.58</v>
      </c>
      <c r="D308" t="s">
        <v>697</v>
      </c>
      <c r="E308" t="s">
        <v>697</v>
      </c>
      <c r="F308">
        <v>16700</v>
      </c>
      <c r="G308">
        <v>16721</v>
      </c>
      <c r="H308">
        <v>0</v>
      </c>
      <c r="K308">
        <f>IF(Table2[[#This Row],[NeedsAttention]]=1,Table2[[#This Row],[Start]],Table2[[#This Row],[StartN]])</f>
        <v>16700</v>
      </c>
      <c r="L308">
        <f>IF(Table2[[#This Row],[NeedsAttention]]=1,Table2[[#This Row],[End]],Table2[[#This Row],[EndN]])</f>
        <v>16721</v>
      </c>
      <c r="M308" t="b">
        <f>Table2[[#This Row],[Merged.Start]]=L307+1</f>
        <v>1</v>
      </c>
      <c r="O308">
        <f>Table2[[#This Row],[Section]]</f>
        <v>307</v>
      </c>
      <c r="P308">
        <f>Table2[[#This Row],[Canon]]</f>
        <v>4</v>
      </c>
      <c r="Q308" s="1">
        <f>Table2[[#This Row],[Reference]]</f>
        <v>26.58</v>
      </c>
      <c r="R308" t="str">
        <f>Table2[[#This Row],[StartR]]</f>
        <v>MAT 26:58</v>
      </c>
      <c r="S308" t="str">
        <f>Table2[[#This Row],[EndR]]</f>
        <v>MAT 26:58</v>
      </c>
      <c r="T308">
        <f>Table2[[#This Row],[Merged.Start]]</f>
        <v>16700</v>
      </c>
      <c r="U308">
        <f>Table2[[#This Row],[Merged.End]]</f>
        <v>16721</v>
      </c>
    </row>
    <row r="309" spans="1:21" x14ac:dyDescent="0.25">
      <c r="A309">
        <v>308</v>
      </c>
      <c r="B309">
        <v>2</v>
      </c>
      <c r="C309" s="1" t="s">
        <v>698</v>
      </c>
      <c r="D309" t="s">
        <v>699</v>
      </c>
      <c r="E309" t="s">
        <v>700</v>
      </c>
      <c r="F309">
        <v>16722</v>
      </c>
      <c r="G309">
        <v>16746</v>
      </c>
      <c r="H309">
        <v>1</v>
      </c>
      <c r="I309">
        <v>16722</v>
      </c>
      <c r="J309">
        <v>16742</v>
      </c>
      <c r="K309">
        <f>IF(Table2[[#This Row],[NeedsAttention]]=1,Table2[[#This Row],[Start]],Table2[[#This Row],[StartN]])</f>
        <v>16722</v>
      </c>
      <c r="L309">
        <f>IF(Table2[[#This Row],[NeedsAttention]]=1,Table2[[#This Row],[End]],Table2[[#This Row],[EndN]])</f>
        <v>16742</v>
      </c>
      <c r="M309" t="b">
        <f>Table2[[#This Row],[Merged.Start]]=L308+1</f>
        <v>1</v>
      </c>
      <c r="O309">
        <f>Table2[[#This Row],[Section]]</f>
        <v>308</v>
      </c>
      <c r="P309">
        <f>Table2[[#This Row],[Canon]]</f>
        <v>2</v>
      </c>
      <c r="Q309" s="1" t="str">
        <f>Table2[[#This Row],[Reference]]</f>
        <v>26.59-60A</v>
      </c>
      <c r="R309" t="str">
        <f>Table2[[#This Row],[StartR]]</f>
        <v>MAT 26:59</v>
      </c>
      <c r="S309" t="str">
        <f>Table2[[#This Row],[EndR]]</f>
        <v>MAT 26:60</v>
      </c>
      <c r="T309">
        <f>Table2[[#This Row],[Merged.Start]]</f>
        <v>16722</v>
      </c>
      <c r="U309">
        <f>Table2[[#This Row],[Merged.End]]</f>
        <v>16742</v>
      </c>
    </row>
    <row r="310" spans="1:21" x14ac:dyDescent="0.25">
      <c r="A310">
        <v>309</v>
      </c>
      <c r="B310">
        <v>6</v>
      </c>
      <c r="C310" s="1" t="s">
        <v>701</v>
      </c>
      <c r="D310" t="s">
        <v>700</v>
      </c>
      <c r="E310" t="s">
        <v>702</v>
      </c>
      <c r="F310">
        <v>16737</v>
      </c>
      <c r="G310">
        <v>16828</v>
      </c>
      <c r="H310">
        <v>1</v>
      </c>
      <c r="I310">
        <v>16743</v>
      </c>
      <c r="J310">
        <v>16806</v>
      </c>
      <c r="K310">
        <f>IF(Table2[[#This Row],[NeedsAttention]]=1,Table2[[#This Row],[Start]],Table2[[#This Row],[StartN]])</f>
        <v>16743</v>
      </c>
      <c r="L310">
        <f>IF(Table2[[#This Row],[NeedsAttention]]=1,Table2[[#This Row],[End]],Table2[[#This Row],[EndN]])</f>
        <v>16806</v>
      </c>
      <c r="M310" t="b">
        <f>Table2[[#This Row],[Merged.Start]]=L309+1</f>
        <v>1</v>
      </c>
      <c r="O310">
        <f>Table2[[#This Row],[Section]]</f>
        <v>309</v>
      </c>
      <c r="P310">
        <f>Table2[[#This Row],[Canon]]</f>
        <v>6</v>
      </c>
      <c r="Q310" s="1" t="str">
        <f>Table2[[#This Row],[Reference]]</f>
        <v>26.60B-64A</v>
      </c>
      <c r="R310" t="str">
        <f>Table2[[#This Row],[StartR]]</f>
        <v>MAT 26:60</v>
      </c>
      <c r="S310" t="str">
        <f>Table2[[#This Row],[EndR]]</f>
        <v>MAT 26:64</v>
      </c>
      <c r="T310">
        <f>Table2[[#This Row],[Merged.Start]]</f>
        <v>16743</v>
      </c>
      <c r="U310">
        <f>Table2[[#This Row],[Merged.End]]</f>
        <v>16806</v>
      </c>
    </row>
    <row r="311" spans="1:21" x14ac:dyDescent="0.25">
      <c r="A311">
        <v>310</v>
      </c>
      <c r="B311">
        <v>1</v>
      </c>
      <c r="C311" s="1" t="s">
        <v>703</v>
      </c>
      <c r="D311" t="s">
        <v>702</v>
      </c>
      <c r="E311" t="s">
        <v>702</v>
      </c>
      <c r="F311">
        <v>16801</v>
      </c>
      <c r="G311">
        <v>16828</v>
      </c>
      <c r="H311">
        <v>1</v>
      </c>
      <c r="I311">
        <v>16807</v>
      </c>
      <c r="J311">
        <v>16828</v>
      </c>
      <c r="K311">
        <f>IF(Table2[[#This Row],[NeedsAttention]]=1,Table2[[#This Row],[Start]],Table2[[#This Row],[StartN]])</f>
        <v>16807</v>
      </c>
      <c r="L311">
        <f>IF(Table2[[#This Row],[NeedsAttention]]=1,Table2[[#This Row],[End]],Table2[[#This Row],[EndN]])</f>
        <v>16828</v>
      </c>
      <c r="M311" t="b">
        <f>Table2[[#This Row],[Merged.Start]]=L310+1</f>
        <v>1</v>
      </c>
      <c r="O311">
        <f>Table2[[#This Row],[Section]]</f>
        <v>310</v>
      </c>
      <c r="P311">
        <f>Table2[[#This Row],[Canon]]</f>
        <v>1</v>
      </c>
      <c r="Q311" s="1" t="str">
        <f>Table2[[#This Row],[Reference]]</f>
        <v>26.64B</v>
      </c>
      <c r="R311" t="str">
        <f>Table2[[#This Row],[StartR]]</f>
        <v>MAT 26:64</v>
      </c>
      <c r="S311" t="str">
        <f>Table2[[#This Row],[EndR]]</f>
        <v>MAT 26:64</v>
      </c>
      <c r="T311">
        <f>Table2[[#This Row],[Merged.Start]]</f>
        <v>16807</v>
      </c>
      <c r="U311">
        <f>Table2[[#This Row],[Merged.End]]</f>
        <v>16828</v>
      </c>
    </row>
    <row r="312" spans="1:21" x14ac:dyDescent="0.25">
      <c r="A312">
        <v>311</v>
      </c>
      <c r="B312">
        <v>6</v>
      </c>
      <c r="C312" s="1" t="s">
        <v>704</v>
      </c>
      <c r="D312" t="s">
        <v>705</v>
      </c>
      <c r="E312" t="s">
        <v>705</v>
      </c>
      <c r="F312">
        <v>16829</v>
      </c>
      <c r="G312">
        <v>16847</v>
      </c>
      <c r="H312">
        <v>1</v>
      </c>
      <c r="I312">
        <v>16829</v>
      </c>
      <c r="J312">
        <v>16837</v>
      </c>
      <c r="K312">
        <f>IF(Table2[[#This Row],[NeedsAttention]]=1,Table2[[#This Row],[Start]],Table2[[#This Row],[StartN]])</f>
        <v>16829</v>
      </c>
      <c r="L312">
        <f>IF(Table2[[#This Row],[NeedsAttention]]=1,Table2[[#This Row],[End]],Table2[[#This Row],[EndN]])</f>
        <v>16837</v>
      </c>
      <c r="M312" t="b">
        <f>Table2[[#This Row],[Merged.Start]]=L311+1</f>
        <v>1</v>
      </c>
      <c r="O312">
        <f>Table2[[#This Row],[Section]]</f>
        <v>311</v>
      </c>
      <c r="P312">
        <f>Table2[[#This Row],[Canon]]</f>
        <v>6</v>
      </c>
      <c r="Q312" s="1" t="str">
        <f>Table2[[#This Row],[Reference]]</f>
        <v>26.65A</v>
      </c>
      <c r="R312" t="str">
        <f>Table2[[#This Row],[StartR]]</f>
        <v>MAT 26:65</v>
      </c>
      <c r="S312" t="str">
        <f>Table2[[#This Row],[EndR]]</f>
        <v>MAT 26:65</v>
      </c>
      <c r="T312">
        <f>Table2[[#This Row],[Merged.Start]]</f>
        <v>16829</v>
      </c>
      <c r="U312">
        <f>Table2[[#This Row],[Merged.End]]</f>
        <v>16837</v>
      </c>
    </row>
    <row r="313" spans="1:21" x14ac:dyDescent="0.25">
      <c r="A313">
        <v>312</v>
      </c>
      <c r="B313">
        <v>2</v>
      </c>
      <c r="C313" s="1" t="s">
        <v>706</v>
      </c>
      <c r="D313" t="s">
        <v>705</v>
      </c>
      <c r="E313" t="s">
        <v>707</v>
      </c>
      <c r="F313">
        <v>16829</v>
      </c>
      <c r="G313">
        <v>16857</v>
      </c>
      <c r="H313">
        <v>1</v>
      </c>
      <c r="I313">
        <v>16838</v>
      </c>
      <c r="J313">
        <v>16857</v>
      </c>
      <c r="K313">
        <f>IF(Table2[[#This Row],[NeedsAttention]]=1,Table2[[#This Row],[Start]],Table2[[#This Row],[StartN]])</f>
        <v>16838</v>
      </c>
      <c r="L313">
        <f>IF(Table2[[#This Row],[NeedsAttention]]=1,Table2[[#This Row],[End]],Table2[[#This Row],[EndN]])</f>
        <v>16857</v>
      </c>
      <c r="M313" t="b">
        <f>Table2[[#This Row],[Merged.Start]]=L312+1</f>
        <v>1</v>
      </c>
      <c r="O313">
        <f>Table2[[#This Row],[Section]]</f>
        <v>312</v>
      </c>
      <c r="P313">
        <f>Table2[[#This Row],[Canon]]</f>
        <v>2</v>
      </c>
      <c r="Q313" s="1" t="str">
        <f>Table2[[#This Row],[Reference]]</f>
        <v>26.65B-66</v>
      </c>
      <c r="R313" t="str">
        <f>Table2[[#This Row],[StartR]]</f>
        <v>MAT 26:65</v>
      </c>
      <c r="S313" t="str">
        <f>Table2[[#This Row],[EndR]]</f>
        <v>MAT 26:66</v>
      </c>
      <c r="T313">
        <f>Table2[[#This Row],[Merged.Start]]</f>
        <v>16838</v>
      </c>
      <c r="U313">
        <f>Table2[[#This Row],[Merged.End]]</f>
        <v>16857</v>
      </c>
    </row>
    <row r="314" spans="1:21" x14ac:dyDescent="0.25">
      <c r="A314">
        <v>313</v>
      </c>
      <c r="B314">
        <v>1</v>
      </c>
      <c r="C314" s="1" t="s">
        <v>708</v>
      </c>
      <c r="D314" t="s">
        <v>709</v>
      </c>
      <c r="E314" t="s">
        <v>710</v>
      </c>
      <c r="F314">
        <v>16858</v>
      </c>
      <c r="G314">
        <v>16878</v>
      </c>
      <c r="H314">
        <v>0</v>
      </c>
      <c r="K314">
        <f>IF(Table2[[#This Row],[NeedsAttention]]=1,Table2[[#This Row],[Start]],Table2[[#This Row],[StartN]])</f>
        <v>16858</v>
      </c>
      <c r="L314">
        <f>IF(Table2[[#This Row],[NeedsAttention]]=1,Table2[[#This Row],[End]],Table2[[#This Row],[EndN]])</f>
        <v>16878</v>
      </c>
      <c r="M314" t="b">
        <f>Table2[[#This Row],[Merged.Start]]=L313+1</f>
        <v>1</v>
      </c>
      <c r="O314">
        <f>Table2[[#This Row],[Section]]</f>
        <v>313</v>
      </c>
      <c r="P314">
        <f>Table2[[#This Row],[Canon]]</f>
        <v>1</v>
      </c>
      <c r="Q314" s="1" t="str">
        <f>Table2[[#This Row],[Reference]]</f>
        <v>26.67-68</v>
      </c>
      <c r="R314" t="str">
        <f>Table2[[#This Row],[StartR]]</f>
        <v>MAT 26:67</v>
      </c>
      <c r="S314" t="str">
        <f>Table2[[#This Row],[EndR]]</f>
        <v>MAT 26:68</v>
      </c>
      <c r="T314">
        <f>Table2[[#This Row],[Merged.Start]]</f>
        <v>16858</v>
      </c>
      <c r="U314">
        <f>Table2[[#This Row],[Merged.End]]</f>
        <v>16878</v>
      </c>
    </row>
    <row r="315" spans="1:21" x14ac:dyDescent="0.25">
      <c r="A315">
        <v>314</v>
      </c>
      <c r="B315">
        <v>1</v>
      </c>
      <c r="C315" s="1" t="s">
        <v>711</v>
      </c>
      <c r="D315" t="s">
        <v>712</v>
      </c>
      <c r="E315" t="s">
        <v>713</v>
      </c>
      <c r="F315">
        <v>16879</v>
      </c>
      <c r="G315">
        <v>16909</v>
      </c>
      <c r="H315">
        <v>0</v>
      </c>
      <c r="K315">
        <f>IF(Table2[[#This Row],[NeedsAttention]]=1,Table2[[#This Row],[Start]],Table2[[#This Row],[StartN]])</f>
        <v>16879</v>
      </c>
      <c r="L315">
        <f>IF(Table2[[#This Row],[NeedsAttention]]=1,Table2[[#This Row],[End]],Table2[[#This Row],[EndN]])</f>
        <v>16909</v>
      </c>
      <c r="M315" t="b">
        <f>Table2[[#This Row],[Merged.Start]]=L314+1</f>
        <v>1</v>
      </c>
      <c r="O315">
        <f>Table2[[#This Row],[Section]]</f>
        <v>314</v>
      </c>
      <c r="P315">
        <f>Table2[[#This Row],[Canon]]</f>
        <v>1</v>
      </c>
      <c r="Q315" s="1" t="str">
        <f>Table2[[#This Row],[Reference]]</f>
        <v>26.69-70</v>
      </c>
      <c r="R315" t="str">
        <f>Table2[[#This Row],[StartR]]</f>
        <v>MAT 26:69</v>
      </c>
      <c r="S315" t="str">
        <f>Table2[[#This Row],[EndR]]</f>
        <v>MAT 26:70</v>
      </c>
      <c r="T315">
        <f>Table2[[#This Row],[Merged.Start]]</f>
        <v>16879</v>
      </c>
      <c r="U315">
        <f>Table2[[#This Row],[Merged.End]]</f>
        <v>16909</v>
      </c>
    </row>
    <row r="316" spans="1:21" x14ac:dyDescent="0.25">
      <c r="A316">
        <v>315</v>
      </c>
      <c r="B316">
        <v>1</v>
      </c>
      <c r="C316" s="1" t="s">
        <v>714</v>
      </c>
      <c r="D316" t="s">
        <v>715</v>
      </c>
      <c r="E316" t="s">
        <v>716</v>
      </c>
      <c r="F316">
        <v>16910</v>
      </c>
      <c r="G316">
        <v>16974</v>
      </c>
      <c r="H316">
        <v>0</v>
      </c>
      <c r="K316">
        <f>IF(Table2[[#This Row],[NeedsAttention]]=1,Table2[[#This Row],[Start]],Table2[[#This Row],[StartN]])</f>
        <v>16910</v>
      </c>
      <c r="L316">
        <f>IF(Table2[[#This Row],[NeedsAttention]]=1,Table2[[#This Row],[End]],Table2[[#This Row],[EndN]])</f>
        <v>16974</v>
      </c>
      <c r="M316" t="b">
        <f>Table2[[#This Row],[Merged.Start]]=L315+1</f>
        <v>1</v>
      </c>
      <c r="O316">
        <f>Table2[[#This Row],[Section]]</f>
        <v>315</v>
      </c>
      <c r="P316">
        <f>Table2[[#This Row],[Canon]]</f>
        <v>1</v>
      </c>
      <c r="Q316" s="1" t="str">
        <f>Table2[[#This Row],[Reference]]</f>
        <v>26.71-74</v>
      </c>
      <c r="R316" t="str">
        <f>Table2[[#This Row],[StartR]]</f>
        <v>MAT 26:71</v>
      </c>
      <c r="S316" t="str">
        <f>Table2[[#This Row],[EndR]]</f>
        <v>MAT 26:74</v>
      </c>
      <c r="T316">
        <f>Table2[[#This Row],[Merged.Start]]</f>
        <v>16910</v>
      </c>
      <c r="U316">
        <f>Table2[[#This Row],[Merged.End]]</f>
        <v>16974</v>
      </c>
    </row>
    <row r="317" spans="1:21" x14ac:dyDescent="0.25">
      <c r="A317">
        <v>316</v>
      </c>
      <c r="B317">
        <v>2</v>
      </c>
      <c r="C317" s="1">
        <v>26.75</v>
      </c>
      <c r="D317" t="s">
        <v>717</v>
      </c>
      <c r="E317" t="s">
        <v>717</v>
      </c>
      <c r="F317">
        <v>16975</v>
      </c>
      <c r="G317">
        <v>16994</v>
      </c>
      <c r="H317">
        <v>0</v>
      </c>
      <c r="K317">
        <f>IF(Table2[[#This Row],[NeedsAttention]]=1,Table2[[#This Row],[Start]],Table2[[#This Row],[StartN]])</f>
        <v>16975</v>
      </c>
      <c r="L317">
        <f>IF(Table2[[#This Row],[NeedsAttention]]=1,Table2[[#This Row],[End]],Table2[[#This Row],[EndN]])</f>
        <v>16994</v>
      </c>
      <c r="M317" t="b">
        <f>Table2[[#This Row],[Merged.Start]]=L316+1</f>
        <v>1</v>
      </c>
      <c r="O317">
        <f>Table2[[#This Row],[Section]]</f>
        <v>316</v>
      </c>
      <c r="P317">
        <f>Table2[[#This Row],[Canon]]</f>
        <v>2</v>
      </c>
      <c r="Q317" s="1">
        <f>Table2[[#This Row],[Reference]]</f>
        <v>26.75</v>
      </c>
      <c r="R317" t="str">
        <f>Table2[[#This Row],[StartR]]</f>
        <v>MAT 26:75</v>
      </c>
      <c r="S317" t="str">
        <f>Table2[[#This Row],[EndR]]</f>
        <v>MAT 26:75</v>
      </c>
      <c r="T317">
        <f>Table2[[#This Row],[Merged.Start]]</f>
        <v>16975</v>
      </c>
      <c r="U317">
        <f>Table2[[#This Row],[Merged.End]]</f>
        <v>16994</v>
      </c>
    </row>
    <row r="318" spans="1:21" x14ac:dyDescent="0.25">
      <c r="A318">
        <v>317</v>
      </c>
      <c r="B318">
        <v>2</v>
      </c>
      <c r="C318" s="1">
        <v>27.1</v>
      </c>
      <c r="D318" t="s">
        <v>718</v>
      </c>
      <c r="E318" t="s">
        <v>718</v>
      </c>
      <c r="F318">
        <v>16995</v>
      </c>
      <c r="G318">
        <v>17013</v>
      </c>
      <c r="H318">
        <v>0</v>
      </c>
      <c r="K318">
        <f>IF(Table2[[#This Row],[NeedsAttention]]=1,Table2[[#This Row],[Start]],Table2[[#This Row],[StartN]])</f>
        <v>16995</v>
      </c>
      <c r="L318">
        <f>IF(Table2[[#This Row],[NeedsAttention]]=1,Table2[[#This Row],[End]],Table2[[#This Row],[EndN]])</f>
        <v>17013</v>
      </c>
      <c r="M318" t="b">
        <f>Table2[[#This Row],[Merged.Start]]=L317+1</f>
        <v>1</v>
      </c>
      <c r="O318">
        <f>Table2[[#This Row],[Section]]</f>
        <v>317</v>
      </c>
      <c r="P318">
        <f>Table2[[#This Row],[Canon]]</f>
        <v>2</v>
      </c>
      <c r="Q318" s="1">
        <f>Table2[[#This Row],[Reference]]</f>
        <v>27.1</v>
      </c>
      <c r="R318" t="str">
        <f>Table2[[#This Row],[StartR]]</f>
        <v>MAT 27:1</v>
      </c>
      <c r="S318" t="str">
        <f>Table2[[#This Row],[EndR]]</f>
        <v>MAT 27:1</v>
      </c>
      <c r="T318">
        <f>Table2[[#This Row],[Merged.Start]]</f>
        <v>16995</v>
      </c>
      <c r="U318">
        <f>Table2[[#This Row],[Merged.End]]</f>
        <v>17013</v>
      </c>
    </row>
    <row r="319" spans="1:21" x14ac:dyDescent="0.25">
      <c r="A319">
        <v>318</v>
      </c>
      <c r="B319">
        <v>1</v>
      </c>
      <c r="C319" s="1">
        <v>27.2</v>
      </c>
      <c r="D319" t="s">
        <v>719</v>
      </c>
      <c r="E319" t="s">
        <v>719</v>
      </c>
      <c r="F319">
        <v>17014</v>
      </c>
      <c r="G319">
        <v>17022</v>
      </c>
      <c r="H319">
        <v>0</v>
      </c>
      <c r="K319">
        <f>IF(Table2[[#This Row],[NeedsAttention]]=1,Table2[[#This Row],[Start]],Table2[[#This Row],[StartN]])</f>
        <v>17014</v>
      </c>
      <c r="L319">
        <f>IF(Table2[[#This Row],[NeedsAttention]]=1,Table2[[#This Row],[End]],Table2[[#This Row],[EndN]])</f>
        <v>17022</v>
      </c>
      <c r="M319" t="b">
        <f>Table2[[#This Row],[Merged.Start]]=L318+1</f>
        <v>1</v>
      </c>
      <c r="O319">
        <f>Table2[[#This Row],[Section]]</f>
        <v>318</v>
      </c>
      <c r="P319">
        <f>Table2[[#This Row],[Canon]]</f>
        <v>1</v>
      </c>
      <c r="Q319" s="1">
        <f>Table2[[#This Row],[Reference]]</f>
        <v>27.2</v>
      </c>
      <c r="R319" t="str">
        <f>Table2[[#This Row],[StartR]]</f>
        <v>MAT 27:2</v>
      </c>
      <c r="S319" t="str">
        <f>Table2[[#This Row],[EndR]]</f>
        <v>MAT 27:2</v>
      </c>
      <c r="T319">
        <f>Table2[[#This Row],[Merged.Start]]</f>
        <v>17014</v>
      </c>
      <c r="U319">
        <f>Table2[[#This Row],[Merged.End]]</f>
        <v>17022</v>
      </c>
    </row>
    <row r="320" spans="1:21" x14ac:dyDescent="0.25">
      <c r="A320">
        <v>319</v>
      </c>
      <c r="B320">
        <v>10</v>
      </c>
      <c r="C320" s="1" t="s">
        <v>720</v>
      </c>
      <c r="D320" t="s">
        <v>721</v>
      </c>
      <c r="E320" t="s">
        <v>722</v>
      </c>
      <c r="F320">
        <v>17023</v>
      </c>
      <c r="G320">
        <v>17140</v>
      </c>
      <c r="H320">
        <v>0</v>
      </c>
      <c r="K320">
        <f>IF(Table2[[#This Row],[NeedsAttention]]=1,Table2[[#This Row],[Start]],Table2[[#This Row],[StartN]])</f>
        <v>17023</v>
      </c>
      <c r="L320">
        <f>IF(Table2[[#This Row],[NeedsAttention]]=1,Table2[[#This Row],[End]],Table2[[#This Row],[EndN]])</f>
        <v>17140</v>
      </c>
      <c r="M320" t="b">
        <f>Table2[[#This Row],[Merged.Start]]=L319+1</f>
        <v>1</v>
      </c>
      <c r="O320">
        <f>Table2[[#This Row],[Section]]</f>
        <v>319</v>
      </c>
      <c r="P320">
        <f>Table2[[#This Row],[Canon]]</f>
        <v>10</v>
      </c>
      <c r="Q320" s="1" t="str">
        <f>Table2[[#This Row],[Reference]]</f>
        <v>27.3-10</v>
      </c>
      <c r="R320" t="str">
        <f>Table2[[#This Row],[StartR]]</f>
        <v>MAT 27:3</v>
      </c>
      <c r="S320" t="str">
        <f>Table2[[#This Row],[EndR]]</f>
        <v>MAT 27:10</v>
      </c>
      <c r="T320">
        <f>Table2[[#This Row],[Merged.Start]]</f>
        <v>17023</v>
      </c>
      <c r="U320">
        <f>Table2[[#This Row],[Merged.End]]</f>
        <v>17140</v>
      </c>
    </row>
    <row r="321" spans="1:21" x14ac:dyDescent="0.25">
      <c r="A321">
        <v>320</v>
      </c>
      <c r="B321">
        <v>1</v>
      </c>
      <c r="C321" s="1">
        <v>27.11</v>
      </c>
      <c r="D321" t="s">
        <v>723</v>
      </c>
      <c r="E321" t="s">
        <v>723</v>
      </c>
      <c r="F321">
        <v>17141</v>
      </c>
      <c r="G321">
        <v>17165</v>
      </c>
      <c r="H321">
        <v>0</v>
      </c>
      <c r="K321">
        <f>IF(Table2[[#This Row],[NeedsAttention]]=1,Table2[[#This Row],[Start]],Table2[[#This Row],[StartN]])</f>
        <v>17141</v>
      </c>
      <c r="L321">
        <f>IF(Table2[[#This Row],[NeedsAttention]]=1,Table2[[#This Row],[End]],Table2[[#This Row],[EndN]])</f>
        <v>17165</v>
      </c>
      <c r="M321" t="b">
        <f>Table2[[#This Row],[Merged.Start]]=L320+1</f>
        <v>1</v>
      </c>
      <c r="O321">
        <f>Table2[[#This Row],[Section]]</f>
        <v>320</v>
      </c>
      <c r="P321">
        <f>Table2[[#This Row],[Canon]]</f>
        <v>1</v>
      </c>
      <c r="Q321" s="1">
        <f>Table2[[#This Row],[Reference]]</f>
        <v>27.11</v>
      </c>
      <c r="R321" t="str">
        <f>Table2[[#This Row],[StartR]]</f>
        <v>MAT 27:11</v>
      </c>
      <c r="S321" t="str">
        <f>Table2[[#This Row],[EndR]]</f>
        <v>MAT 27:11</v>
      </c>
      <c r="T321">
        <f>Table2[[#This Row],[Merged.Start]]</f>
        <v>17141</v>
      </c>
      <c r="U321">
        <f>Table2[[#This Row],[Merged.End]]</f>
        <v>17165</v>
      </c>
    </row>
    <row r="322" spans="1:21" x14ac:dyDescent="0.25">
      <c r="A322">
        <v>321</v>
      </c>
      <c r="B322">
        <v>4</v>
      </c>
      <c r="C322" s="1" t="s">
        <v>724</v>
      </c>
      <c r="D322" t="s">
        <v>725</v>
      </c>
      <c r="E322" t="s">
        <v>726</v>
      </c>
      <c r="F322">
        <v>17166</v>
      </c>
      <c r="G322">
        <v>17200</v>
      </c>
      <c r="H322">
        <v>0</v>
      </c>
      <c r="K322">
        <f>IF(Table2[[#This Row],[NeedsAttention]]=1,Table2[[#This Row],[Start]],Table2[[#This Row],[StartN]])</f>
        <v>17166</v>
      </c>
      <c r="L322">
        <f>IF(Table2[[#This Row],[NeedsAttention]]=1,Table2[[#This Row],[End]],Table2[[#This Row],[EndN]])</f>
        <v>17200</v>
      </c>
      <c r="M322" t="b">
        <f>Table2[[#This Row],[Merged.Start]]=L321+1</f>
        <v>1</v>
      </c>
      <c r="O322">
        <f>Table2[[#This Row],[Section]]</f>
        <v>321</v>
      </c>
      <c r="P322">
        <f>Table2[[#This Row],[Canon]]</f>
        <v>4</v>
      </c>
      <c r="Q322" s="1" t="str">
        <f>Table2[[#This Row],[Reference]]</f>
        <v>27.12-14</v>
      </c>
      <c r="R322" t="str">
        <f>Table2[[#This Row],[StartR]]</f>
        <v>MAT 27:12</v>
      </c>
      <c r="S322" t="str">
        <f>Table2[[#This Row],[EndR]]</f>
        <v>MAT 27:14</v>
      </c>
      <c r="T322">
        <f>Table2[[#This Row],[Merged.Start]]</f>
        <v>17166</v>
      </c>
      <c r="U322">
        <f>Table2[[#This Row],[Merged.End]]</f>
        <v>17200</v>
      </c>
    </row>
    <row r="323" spans="1:21" x14ac:dyDescent="0.25">
      <c r="A323">
        <v>322</v>
      </c>
      <c r="B323">
        <v>2</v>
      </c>
      <c r="C323" s="1">
        <v>27.15</v>
      </c>
      <c r="D323" t="s">
        <v>727</v>
      </c>
      <c r="E323" t="s">
        <v>727</v>
      </c>
      <c r="F323">
        <v>17201</v>
      </c>
      <c r="G323">
        <v>17213</v>
      </c>
      <c r="H323">
        <v>0</v>
      </c>
      <c r="K323">
        <f>IF(Table2[[#This Row],[NeedsAttention]]=1,Table2[[#This Row],[Start]],Table2[[#This Row],[StartN]])</f>
        <v>17201</v>
      </c>
      <c r="L323">
        <f>IF(Table2[[#This Row],[NeedsAttention]]=1,Table2[[#This Row],[End]],Table2[[#This Row],[EndN]])</f>
        <v>17213</v>
      </c>
      <c r="M323" t="b">
        <f>Table2[[#This Row],[Merged.Start]]=L322+1</f>
        <v>1</v>
      </c>
      <c r="O323">
        <f>Table2[[#This Row],[Section]]</f>
        <v>322</v>
      </c>
      <c r="P323">
        <f>Table2[[#This Row],[Canon]]</f>
        <v>2</v>
      </c>
      <c r="Q323" s="1">
        <f>Table2[[#This Row],[Reference]]</f>
        <v>27.15</v>
      </c>
      <c r="R323" t="str">
        <f>Table2[[#This Row],[StartR]]</f>
        <v>MAT 27:15</v>
      </c>
      <c r="S323" t="str">
        <f>Table2[[#This Row],[EndR]]</f>
        <v>MAT 27:15</v>
      </c>
      <c r="T323">
        <f>Table2[[#This Row],[Merged.Start]]</f>
        <v>17201</v>
      </c>
      <c r="U323">
        <f>Table2[[#This Row],[Merged.End]]</f>
        <v>17213</v>
      </c>
    </row>
    <row r="324" spans="1:21" x14ac:dyDescent="0.25">
      <c r="A324">
        <v>323</v>
      </c>
      <c r="B324">
        <v>4</v>
      </c>
      <c r="C324" s="1" t="s">
        <v>728</v>
      </c>
      <c r="D324" t="s">
        <v>729</v>
      </c>
      <c r="E324" t="s">
        <v>730</v>
      </c>
      <c r="F324">
        <v>17214</v>
      </c>
      <c r="G324">
        <v>17247</v>
      </c>
      <c r="H324">
        <v>0</v>
      </c>
      <c r="K324">
        <f>IF(Table2[[#This Row],[NeedsAttention]]=1,Table2[[#This Row],[Start]],Table2[[#This Row],[StartN]])</f>
        <v>17214</v>
      </c>
      <c r="L324">
        <f>IF(Table2[[#This Row],[NeedsAttention]]=1,Table2[[#This Row],[End]],Table2[[#This Row],[EndN]])</f>
        <v>17247</v>
      </c>
      <c r="M324" t="b">
        <f>Table2[[#This Row],[Merged.Start]]=L323+1</f>
        <v>1</v>
      </c>
      <c r="O324">
        <f>Table2[[#This Row],[Section]]</f>
        <v>323</v>
      </c>
      <c r="P324">
        <f>Table2[[#This Row],[Canon]]</f>
        <v>4</v>
      </c>
      <c r="Q324" s="1" t="str">
        <f>Table2[[#This Row],[Reference]]</f>
        <v>27.16-18</v>
      </c>
      <c r="R324" t="str">
        <f>Table2[[#This Row],[StartR]]</f>
        <v>MAT 27:16</v>
      </c>
      <c r="S324" t="str">
        <f>Table2[[#This Row],[EndR]]</f>
        <v>MAT 27:18</v>
      </c>
      <c r="T324">
        <f>Table2[[#This Row],[Merged.Start]]</f>
        <v>17214</v>
      </c>
      <c r="U324">
        <f>Table2[[#This Row],[Merged.End]]</f>
        <v>17247</v>
      </c>
    </row>
    <row r="325" spans="1:21" x14ac:dyDescent="0.25">
      <c r="A325">
        <v>324</v>
      </c>
      <c r="B325">
        <v>10</v>
      </c>
      <c r="C325" s="1">
        <v>27.19</v>
      </c>
      <c r="D325" t="s">
        <v>731</v>
      </c>
      <c r="E325" t="s">
        <v>731</v>
      </c>
      <c r="F325">
        <v>17248</v>
      </c>
      <c r="G325">
        <v>17274</v>
      </c>
      <c r="H325">
        <v>0</v>
      </c>
      <c r="K325">
        <f>IF(Table2[[#This Row],[NeedsAttention]]=1,Table2[[#This Row],[Start]],Table2[[#This Row],[StartN]])</f>
        <v>17248</v>
      </c>
      <c r="L325">
        <f>IF(Table2[[#This Row],[NeedsAttention]]=1,Table2[[#This Row],[End]],Table2[[#This Row],[EndN]])</f>
        <v>17274</v>
      </c>
      <c r="M325" t="b">
        <f>Table2[[#This Row],[Merged.Start]]=L324+1</f>
        <v>1</v>
      </c>
      <c r="O325">
        <f>Table2[[#This Row],[Section]]</f>
        <v>324</v>
      </c>
      <c r="P325">
        <f>Table2[[#This Row],[Canon]]</f>
        <v>10</v>
      </c>
      <c r="Q325" s="1">
        <f>Table2[[#This Row],[Reference]]</f>
        <v>27.19</v>
      </c>
      <c r="R325" t="str">
        <f>Table2[[#This Row],[StartR]]</f>
        <v>MAT 27:19</v>
      </c>
      <c r="S325" t="str">
        <f>Table2[[#This Row],[EndR]]</f>
        <v>MAT 27:19</v>
      </c>
      <c r="T325">
        <f>Table2[[#This Row],[Merged.Start]]</f>
        <v>17248</v>
      </c>
      <c r="U325">
        <f>Table2[[#This Row],[Merged.End]]</f>
        <v>17274</v>
      </c>
    </row>
    <row r="326" spans="1:21" x14ac:dyDescent="0.25">
      <c r="A326">
        <v>325</v>
      </c>
      <c r="B326">
        <v>1</v>
      </c>
      <c r="C326" s="1" t="s">
        <v>732</v>
      </c>
      <c r="D326" t="s">
        <v>733</v>
      </c>
      <c r="E326" t="s">
        <v>734</v>
      </c>
      <c r="F326">
        <v>17275</v>
      </c>
      <c r="G326">
        <v>17309</v>
      </c>
      <c r="H326">
        <v>0</v>
      </c>
      <c r="K326">
        <f>IF(Table2[[#This Row],[NeedsAttention]]=1,Table2[[#This Row],[Start]],Table2[[#This Row],[StartN]])</f>
        <v>17275</v>
      </c>
      <c r="L326">
        <f>IF(Table2[[#This Row],[NeedsAttention]]=1,Table2[[#This Row],[End]],Table2[[#This Row],[EndN]])</f>
        <v>17309</v>
      </c>
      <c r="M326" t="b">
        <f>Table2[[#This Row],[Merged.Start]]=L325+1</f>
        <v>1</v>
      </c>
      <c r="O326">
        <f>Table2[[#This Row],[Section]]</f>
        <v>325</v>
      </c>
      <c r="P326">
        <f>Table2[[#This Row],[Canon]]</f>
        <v>1</v>
      </c>
      <c r="Q326" s="1" t="str">
        <f>Table2[[#This Row],[Reference]]</f>
        <v>27.20-21</v>
      </c>
      <c r="R326" t="str">
        <f>Table2[[#This Row],[StartR]]</f>
        <v>MAT 27:20</v>
      </c>
      <c r="S326" t="str">
        <f>Table2[[#This Row],[EndR]]</f>
        <v>MAT 27:21</v>
      </c>
      <c r="T326">
        <f>Table2[[#This Row],[Merged.Start]]</f>
        <v>17275</v>
      </c>
      <c r="U326">
        <f>Table2[[#This Row],[Merged.End]]</f>
        <v>17309</v>
      </c>
    </row>
    <row r="327" spans="1:21" x14ac:dyDescent="0.25">
      <c r="A327">
        <v>326</v>
      </c>
      <c r="B327">
        <v>1</v>
      </c>
      <c r="C327" s="1" t="s">
        <v>735</v>
      </c>
      <c r="D327" t="s">
        <v>736</v>
      </c>
      <c r="E327" t="s">
        <v>737</v>
      </c>
      <c r="F327">
        <v>17310</v>
      </c>
      <c r="G327">
        <v>17336</v>
      </c>
      <c r="H327">
        <v>0</v>
      </c>
      <c r="K327">
        <f>IF(Table2[[#This Row],[NeedsAttention]]=1,Table2[[#This Row],[Start]],Table2[[#This Row],[StartN]])</f>
        <v>17310</v>
      </c>
      <c r="L327">
        <f>IF(Table2[[#This Row],[NeedsAttention]]=1,Table2[[#This Row],[End]],Table2[[#This Row],[EndN]])</f>
        <v>17336</v>
      </c>
      <c r="M327" t="b">
        <f>Table2[[#This Row],[Merged.Start]]=L326+1</f>
        <v>1</v>
      </c>
      <c r="O327">
        <f>Table2[[#This Row],[Section]]</f>
        <v>326</v>
      </c>
      <c r="P327">
        <f>Table2[[#This Row],[Canon]]</f>
        <v>1</v>
      </c>
      <c r="Q327" s="1" t="str">
        <f>Table2[[#This Row],[Reference]]</f>
        <v>27.22-23</v>
      </c>
      <c r="R327" t="str">
        <f>Table2[[#This Row],[StartR]]</f>
        <v>MAT 27:22</v>
      </c>
      <c r="S327" t="str">
        <f>Table2[[#This Row],[EndR]]</f>
        <v>MAT 27:23</v>
      </c>
      <c r="T327">
        <f>Table2[[#This Row],[Merged.Start]]</f>
        <v>17310</v>
      </c>
      <c r="U327">
        <f>Table2[[#This Row],[Merged.End]]</f>
        <v>17336</v>
      </c>
    </row>
    <row r="328" spans="1:21" x14ac:dyDescent="0.25">
      <c r="A328">
        <v>327</v>
      </c>
      <c r="B328">
        <v>10</v>
      </c>
      <c r="C328" s="1" t="s">
        <v>738</v>
      </c>
      <c r="D328" t="s">
        <v>739</v>
      </c>
      <c r="E328" t="s">
        <v>740</v>
      </c>
      <c r="F328">
        <v>17337</v>
      </c>
      <c r="G328">
        <v>17380</v>
      </c>
      <c r="H328">
        <v>0</v>
      </c>
      <c r="K328">
        <f>IF(Table2[[#This Row],[NeedsAttention]]=1,Table2[[#This Row],[Start]],Table2[[#This Row],[StartN]])</f>
        <v>17337</v>
      </c>
      <c r="L328">
        <f>IF(Table2[[#This Row],[NeedsAttention]]=1,Table2[[#This Row],[End]],Table2[[#This Row],[EndN]])</f>
        <v>17380</v>
      </c>
      <c r="M328" t="b">
        <f>Table2[[#This Row],[Merged.Start]]=L327+1</f>
        <v>1</v>
      </c>
      <c r="O328">
        <f>Table2[[#This Row],[Section]]</f>
        <v>327</v>
      </c>
      <c r="P328">
        <f>Table2[[#This Row],[Canon]]</f>
        <v>10</v>
      </c>
      <c r="Q328" s="1" t="str">
        <f>Table2[[#This Row],[Reference]]</f>
        <v>27.24-25</v>
      </c>
      <c r="R328" t="str">
        <f>Table2[[#This Row],[StartR]]</f>
        <v>MAT 27:24</v>
      </c>
      <c r="S328" t="str">
        <f>Table2[[#This Row],[EndR]]</f>
        <v>MAT 27:25</v>
      </c>
      <c r="T328">
        <f>Table2[[#This Row],[Merged.Start]]</f>
        <v>17337</v>
      </c>
      <c r="U328">
        <f>Table2[[#This Row],[Merged.End]]</f>
        <v>17380</v>
      </c>
    </row>
    <row r="329" spans="1:21" x14ac:dyDescent="0.25">
      <c r="A329">
        <v>328</v>
      </c>
      <c r="B329">
        <v>1</v>
      </c>
      <c r="C329" s="1">
        <v>27.26</v>
      </c>
      <c r="D329" t="s">
        <v>741</v>
      </c>
      <c r="E329" t="s">
        <v>741</v>
      </c>
      <c r="F329">
        <v>17381</v>
      </c>
      <c r="G329">
        <v>17392</v>
      </c>
      <c r="H329">
        <v>0</v>
      </c>
      <c r="K329">
        <f>IF(Table2[[#This Row],[NeedsAttention]]=1,Table2[[#This Row],[Start]],Table2[[#This Row],[StartN]])</f>
        <v>17381</v>
      </c>
      <c r="L329">
        <f>IF(Table2[[#This Row],[NeedsAttention]]=1,Table2[[#This Row],[End]],Table2[[#This Row],[EndN]])</f>
        <v>17392</v>
      </c>
      <c r="M329" t="b">
        <f>Table2[[#This Row],[Merged.Start]]=L328+1</f>
        <v>1</v>
      </c>
      <c r="O329">
        <f>Table2[[#This Row],[Section]]</f>
        <v>328</v>
      </c>
      <c r="P329">
        <f>Table2[[#This Row],[Canon]]</f>
        <v>1</v>
      </c>
      <c r="Q329" s="1">
        <f>Table2[[#This Row],[Reference]]</f>
        <v>27.26</v>
      </c>
      <c r="R329" t="str">
        <f>Table2[[#This Row],[StartR]]</f>
        <v>MAT 27:26</v>
      </c>
      <c r="S329" t="str">
        <f>Table2[[#This Row],[EndR]]</f>
        <v>MAT 27:26</v>
      </c>
      <c r="T329">
        <f>Table2[[#This Row],[Merged.Start]]</f>
        <v>17381</v>
      </c>
      <c r="U329">
        <f>Table2[[#This Row],[Merged.End]]</f>
        <v>17392</v>
      </c>
    </row>
    <row r="330" spans="1:21" x14ac:dyDescent="0.25">
      <c r="A330">
        <v>329</v>
      </c>
      <c r="B330">
        <v>4</v>
      </c>
      <c r="C330" s="1" t="s">
        <v>742</v>
      </c>
      <c r="D330" t="s">
        <v>743</v>
      </c>
      <c r="E330" t="s">
        <v>744</v>
      </c>
      <c r="F330">
        <v>17393</v>
      </c>
      <c r="G330">
        <v>17443</v>
      </c>
      <c r="H330">
        <v>0</v>
      </c>
      <c r="K330">
        <f>IF(Table2[[#This Row],[NeedsAttention]]=1,Table2[[#This Row],[Start]],Table2[[#This Row],[StartN]])</f>
        <v>17393</v>
      </c>
      <c r="L330">
        <f>IF(Table2[[#This Row],[NeedsAttention]]=1,Table2[[#This Row],[End]],Table2[[#This Row],[EndN]])</f>
        <v>17443</v>
      </c>
      <c r="M330" t="b">
        <f>Table2[[#This Row],[Merged.Start]]=L329+1</f>
        <v>1</v>
      </c>
      <c r="O330">
        <f>Table2[[#This Row],[Section]]</f>
        <v>329</v>
      </c>
      <c r="P330">
        <f>Table2[[#This Row],[Canon]]</f>
        <v>4</v>
      </c>
      <c r="Q330" s="1" t="str">
        <f>Table2[[#This Row],[Reference]]</f>
        <v>27.27-29</v>
      </c>
      <c r="R330" t="str">
        <f>Table2[[#This Row],[StartR]]</f>
        <v>MAT 27:27</v>
      </c>
      <c r="S330" t="str">
        <f>Table2[[#This Row],[EndR]]</f>
        <v>MAT 27:29</v>
      </c>
      <c r="T330">
        <f>Table2[[#This Row],[Merged.Start]]</f>
        <v>17393</v>
      </c>
      <c r="U330">
        <f>Table2[[#This Row],[Merged.End]]</f>
        <v>17443</v>
      </c>
    </row>
    <row r="331" spans="1:21" x14ac:dyDescent="0.25">
      <c r="A331">
        <v>330</v>
      </c>
      <c r="B331">
        <v>6</v>
      </c>
      <c r="C331" s="1" t="s">
        <v>745</v>
      </c>
      <c r="D331" t="s">
        <v>746</v>
      </c>
      <c r="E331" t="s">
        <v>747</v>
      </c>
      <c r="F331">
        <v>17444</v>
      </c>
      <c r="G331">
        <v>17476</v>
      </c>
      <c r="H331">
        <v>0</v>
      </c>
      <c r="K331">
        <f>IF(Table2[[#This Row],[NeedsAttention]]=1,Table2[[#This Row],[Start]],Table2[[#This Row],[StartN]])</f>
        <v>17444</v>
      </c>
      <c r="L331">
        <f>IF(Table2[[#This Row],[NeedsAttention]]=1,Table2[[#This Row],[End]],Table2[[#This Row],[EndN]])</f>
        <v>17476</v>
      </c>
      <c r="M331" t="b">
        <f>Table2[[#This Row],[Merged.Start]]=L330+1</f>
        <v>1</v>
      </c>
      <c r="O331">
        <f>Table2[[#This Row],[Section]]</f>
        <v>330</v>
      </c>
      <c r="P331">
        <f>Table2[[#This Row],[Canon]]</f>
        <v>6</v>
      </c>
      <c r="Q331" s="1" t="str">
        <f>Table2[[#This Row],[Reference]]</f>
        <v>27.30-31</v>
      </c>
      <c r="R331" t="str">
        <f>Table2[[#This Row],[StartR]]</f>
        <v>MAT 27:30</v>
      </c>
      <c r="S331" t="str">
        <f>Table2[[#This Row],[EndR]]</f>
        <v>MAT 27:31</v>
      </c>
      <c r="T331">
        <f>Table2[[#This Row],[Merged.Start]]</f>
        <v>17444</v>
      </c>
      <c r="U331">
        <f>Table2[[#This Row],[Merged.End]]</f>
        <v>17476</v>
      </c>
    </row>
    <row r="332" spans="1:21" x14ac:dyDescent="0.25">
      <c r="A332">
        <v>331</v>
      </c>
      <c r="B332">
        <v>1</v>
      </c>
      <c r="C332" s="1">
        <v>27.32</v>
      </c>
      <c r="D332" t="s">
        <v>748</v>
      </c>
      <c r="E332" t="s">
        <v>748</v>
      </c>
      <c r="F332">
        <v>17477</v>
      </c>
      <c r="G332">
        <v>17490</v>
      </c>
      <c r="H332">
        <v>0</v>
      </c>
      <c r="K332">
        <f>IF(Table2[[#This Row],[NeedsAttention]]=1,Table2[[#This Row],[Start]],Table2[[#This Row],[StartN]])</f>
        <v>17477</v>
      </c>
      <c r="L332">
        <f>IF(Table2[[#This Row],[NeedsAttention]]=1,Table2[[#This Row],[End]],Table2[[#This Row],[EndN]])</f>
        <v>17490</v>
      </c>
      <c r="M332" t="b">
        <f>Table2[[#This Row],[Merged.Start]]=L331+1</f>
        <v>1</v>
      </c>
      <c r="O332">
        <f>Table2[[#This Row],[Section]]</f>
        <v>331</v>
      </c>
      <c r="P332">
        <f>Table2[[#This Row],[Canon]]</f>
        <v>1</v>
      </c>
      <c r="Q332" s="1">
        <f>Table2[[#This Row],[Reference]]</f>
        <v>27.32</v>
      </c>
      <c r="R332" t="str">
        <f>Table2[[#This Row],[StartR]]</f>
        <v>MAT 27:32</v>
      </c>
      <c r="S332" t="str">
        <f>Table2[[#This Row],[EndR]]</f>
        <v>MAT 27:32</v>
      </c>
      <c r="T332">
        <f>Table2[[#This Row],[Merged.Start]]</f>
        <v>17477</v>
      </c>
      <c r="U332">
        <f>Table2[[#This Row],[Merged.End]]</f>
        <v>17490</v>
      </c>
    </row>
    <row r="333" spans="1:21" x14ac:dyDescent="0.25">
      <c r="A333">
        <v>332</v>
      </c>
      <c r="B333">
        <v>1</v>
      </c>
      <c r="C333" s="1">
        <v>27.33</v>
      </c>
      <c r="D333" t="s">
        <v>749</v>
      </c>
      <c r="E333" t="s">
        <v>749</v>
      </c>
      <c r="F333">
        <v>17491</v>
      </c>
      <c r="G333">
        <v>17501</v>
      </c>
      <c r="H333">
        <v>0</v>
      </c>
      <c r="K333">
        <f>IF(Table2[[#This Row],[NeedsAttention]]=1,Table2[[#This Row],[Start]],Table2[[#This Row],[StartN]])</f>
        <v>17491</v>
      </c>
      <c r="L333">
        <f>IF(Table2[[#This Row],[NeedsAttention]]=1,Table2[[#This Row],[End]],Table2[[#This Row],[EndN]])</f>
        <v>17501</v>
      </c>
      <c r="M333" t="b">
        <f>Table2[[#This Row],[Merged.Start]]=L332+1</f>
        <v>1</v>
      </c>
      <c r="O333">
        <f>Table2[[#This Row],[Section]]</f>
        <v>332</v>
      </c>
      <c r="P333">
        <f>Table2[[#This Row],[Canon]]</f>
        <v>1</v>
      </c>
      <c r="Q333" s="1">
        <f>Table2[[#This Row],[Reference]]</f>
        <v>27.33</v>
      </c>
      <c r="R333" t="str">
        <f>Table2[[#This Row],[StartR]]</f>
        <v>MAT 27:33</v>
      </c>
      <c r="S333" t="str">
        <f>Table2[[#This Row],[EndR]]</f>
        <v>MAT 27:33</v>
      </c>
      <c r="T333">
        <f>Table2[[#This Row],[Merged.Start]]</f>
        <v>17491</v>
      </c>
      <c r="U333">
        <f>Table2[[#This Row],[Merged.End]]</f>
        <v>17501</v>
      </c>
    </row>
    <row r="334" spans="1:21" x14ac:dyDescent="0.25">
      <c r="A334">
        <v>333</v>
      </c>
      <c r="B334">
        <v>4</v>
      </c>
      <c r="C334" s="1">
        <v>27.34</v>
      </c>
      <c r="D334" t="s">
        <v>750</v>
      </c>
      <c r="E334" t="s">
        <v>750</v>
      </c>
      <c r="F334">
        <v>17502</v>
      </c>
      <c r="G334">
        <v>17513</v>
      </c>
      <c r="H334">
        <v>0</v>
      </c>
      <c r="K334">
        <f>IF(Table2[[#This Row],[NeedsAttention]]=1,Table2[[#This Row],[Start]],Table2[[#This Row],[StartN]])</f>
        <v>17502</v>
      </c>
      <c r="L334">
        <f>IF(Table2[[#This Row],[NeedsAttention]]=1,Table2[[#This Row],[End]],Table2[[#This Row],[EndN]])</f>
        <v>17513</v>
      </c>
      <c r="M334" t="b">
        <f>Table2[[#This Row],[Merged.Start]]=L333+1</f>
        <v>1</v>
      </c>
      <c r="O334">
        <f>Table2[[#This Row],[Section]]</f>
        <v>333</v>
      </c>
      <c r="P334">
        <f>Table2[[#This Row],[Canon]]</f>
        <v>4</v>
      </c>
      <c r="Q334" s="1">
        <f>Table2[[#This Row],[Reference]]</f>
        <v>27.34</v>
      </c>
      <c r="R334" t="str">
        <f>Table2[[#This Row],[StartR]]</f>
        <v>MAT 27:34</v>
      </c>
      <c r="S334" t="str">
        <f>Table2[[#This Row],[EndR]]</f>
        <v>MAT 27:34</v>
      </c>
      <c r="T334">
        <f>Table2[[#This Row],[Merged.Start]]</f>
        <v>17502</v>
      </c>
      <c r="U334">
        <f>Table2[[#This Row],[Merged.End]]</f>
        <v>17513</v>
      </c>
    </row>
    <row r="335" spans="1:21" x14ac:dyDescent="0.25">
      <c r="A335">
        <v>334</v>
      </c>
      <c r="B335">
        <v>1</v>
      </c>
      <c r="C335" s="1" t="s">
        <v>751</v>
      </c>
      <c r="D335" t="s">
        <v>752</v>
      </c>
      <c r="E335" t="s">
        <v>753</v>
      </c>
      <c r="F335">
        <v>17514</v>
      </c>
      <c r="G335">
        <v>17527</v>
      </c>
      <c r="H335">
        <v>0</v>
      </c>
      <c r="K335">
        <f>IF(Table2[[#This Row],[NeedsAttention]]=1,Table2[[#This Row],[Start]],Table2[[#This Row],[StartN]])</f>
        <v>17514</v>
      </c>
      <c r="L335">
        <f>IF(Table2[[#This Row],[NeedsAttention]]=1,Table2[[#This Row],[End]],Table2[[#This Row],[EndN]])</f>
        <v>17527</v>
      </c>
      <c r="M335" t="b">
        <f>Table2[[#This Row],[Merged.Start]]=L334+1</f>
        <v>1</v>
      </c>
      <c r="O335">
        <f>Table2[[#This Row],[Section]]</f>
        <v>334</v>
      </c>
      <c r="P335">
        <f>Table2[[#This Row],[Canon]]</f>
        <v>1</v>
      </c>
      <c r="Q335" s="1" t="str">
        <f>Table2[[#This Row],[Reference]]</f>
        <v>27.35-36</v>
      </c>
      <c r="R335" t="str">
        <f>Table2[[#This Row],[StartR]]</f>
        <v>MAT 27:35</v>
      </c>
      <c r="S335" t="str">
        <f>Table2[[#This Row],[EndR]]</f>
        <v>MAT 27:36</v>
      </c>
      <c r="T335">
        <f>Table2[[#This Row],[Merged.Start]]</f>
        <v>17514</v>
      </c>
      <c r="U335">
        <f>Table2[[#This Row],[Merged.End]]</f>
        <v>17527</v>
      </c>
    </row>
    <row r="336" spans="1:21" x14ac:dyDescent="0.25">
      <c r="A336">
        <v>335</v>
      </c>
      <c r="B336">
        <v>1</v>
      </c>
      <c r="C336" s="1">
        <v>27.37</v>
      </c>
      <c r="D336" t="s">
        <v>754</v>
      </c>
      <c r="E336" t="s">
        <v>754</v>
      </c>
      <c r="F336">
        <v>17528</v>
      </c>
      <c r="G336">
        <v>17544</v>
      </c>
      <c r="H336">
        <v>0</v>
      </c>
      <c r="K336">
        <f>IF(Table2[[#This Row],[NeedsAttention]]=1,Table2[[#This Row],[Start]],Table2[[#This Row],[StartN]])</f>
        <v>17528</v>
      </c>
      <c r="L336">
        <f>IF(Table2[[#This Row],[NeedsAttention]]=1,Table2[[#This Row],[End]],Table2[[#This Row],[EndN]])</f>
        <v>17544</v>
      </c>
      <c r="M336" t="b">
        <f>Table2[[#This Row],[Merged.Start]]=L335+1</f>
        <v>1</v>
      </c>
      <c r="O336">
        <f>Table2[[#This Row],[Section]]</f>
        <v>335</v>
      </c>
      <c r="P336">
        <f>Table2[[#This Row],[Canon]]</f>
        <v>1</v>
      </c>
      <c r="Q336" s="1">
        <f>Table2[[#This Row],[Reference]]</f>
        <v>27.37</v>
      </c>
      <c r="R336" t="str">
        <f>Table2[[#This Row],[StartR]]</f>
        <v>MAT 27:37</v>
      </c>
      <c r="S336" t="str">
        <f>Table2[[#This Row],[EndR]]</f>
        <v>MAT 27:37</v>
      </c>
      <c r="T336">
        <f>Table2[[#This Row],[Merged.Start]]</f>
        <v>17528</v>
      </c>
      <c r="U336">
        <f>Table2[[#This Row],[Merged.End]]</f>
        <v>17544</v>
      </c>
    </row>
    <row r="337" spans="1:21" x14ac:dyDescent="0.25">
      <c r="A337">
        <v>336</v>
      </c>
      <c r="B337">
        <v>1</v>
      </c>
      <c r="C337" s="1">
        <v>27.38</v>
      </c>
      <c r="D337" t="s">
        <v>755</v>
      </c>
      <c r="E337" t="s">
        <v>755</v>
      </c>
      <c r="F337">
        <v>17545</v>
      </c>
      <c r="G337">
        <v>17557</v>
      </c>
      <c r="H337">
        <v>0</v>
      </c>
      <c r="K337">
        <f>IF(Table2[[#This Row],[NeedsAttention]]=1,Table2[[#This Row],[Start]],Table2[[#This Row],[StartN]])</f>
        <v>17545</v>
      </c>
      <c r="L337">
        <f>IF(Table2[[#This Row],[NeedsAttention]]=1,Table2[[#This Row],[End]],Table2[[#This Row],[EndN]])</f>
        <v>17557</v>
      </c>
      <c r="M337" t="b">
        <f>Table2[[#This Row],[Merged.Start]]=L336+1</f>
        <v>1</v>
      </c>
      <c r="O337">
        <f>Table2[[#This Row],[Section]]</f>
        <v>336</v>
      </c>
      <c r="P337">
        <f>Table2[[#This Row],[Canon]]</f>
        <v>1</v>
      </c>
      <c r="Q337" s="1">
        <f>Table2[[#This Row],[Reference]]</f>
        <v>27.38</v>
      </c>
      <c r="R337" t="str">
        <f>Table2[[#This Row],[StartR]]</f>
        <v>MAT 27:38</v>
      </c>
      <c r="S337" t="str">
        <f>Table2[[#This Row],[EndR]]</f>
        <v>MAT 27:38</v>
      </c>
      <c r="T337">
        <f>Table2[[#This Row],[Merged.Start]]</f>
        <v>17545</v>
      </c>
      <c r="U337">
        <f>Table2[[#This Row],[Merged.End]]</f>
        <v>17557</v>
      </c>
    </row>
    <row r="338" spans="1:21" x14ac:dyDescent="0.25">
      <c r="A338">
        <v>337</v>
      </c>
      <c r="B338">
        <v>6</v>
      </c>
      <c r="C338" s="1" t="s">
        <v>756</v>
      </c>
      <c r="D338" t="s">
        <v>757</v>
      </c>
      <c r="E338" t="s">
        <v>758</v>
      </c>
      <c r="F338">
        <v>17558</v>
      </c>
      <c r="G338">
        <v>17588</v>
      </c>
      <c r="H338">
        <v>0</v>
      </c>
      <c r="K338">
        <f>IF(Table2[[#This Row],[NeedsAttention]]=1,Table2[[#This Row],[Start]],Table2[[#This Row],[StartN]])</f>
        <v>17558</v>
      </c>
      <c r="L338">
        <f>IF(Table2[[#This Row],[NeedsAttention]]=1,Table2[[#This Row],[End]],Table2[[#This Row],[EndN]])</f>
        <v>17588</v>
      </c>
      <c r="M338" t="b">
        <f>Table2[[#This Row],[Merged.Start]]=L337+1</f>
        <v>1</v>
      </c>
      <c r="O338">
        <f>Table2[[#This Row],[Section]]</f>
        <v>337</v>
      </c>
      <c r="P338">
        <f>Table2[[#This Row],[Canon]]</f>
        <v>6</v>
      </c>
      <c r="Q338" s="1" t="str">
        <f>Table2[[#This Row],[Reference]]</f>
        <v>27.39-40</v>
      </c>
      <c r="R338" t="str">
        <f>Table2[[#This Row],[StartR]]</f>
        <v>MAT 27:39</v>
      </c>
      <c r="S338" t="str">
        <f>Table2[[#This Row],[EndR]]</f>
        <v>MAT 27:40</v>
      </c>
      <c r="T338">
        <f>Table2[[#This Row],[Merged.Start]]</f>
        <v>17558</v>
      </c>
      <c r="U338">
        <f>Table2[[#This Row],[Merged.End]]</f>
        <v>17588</v>
      </c>
    </row>
    <row r="339" spans="1:21" x14ac:dyDescent="0.25">
      <c r="A339">
        <v>338</v>
      </c>
      <c r="B339">
        <v>2</v>
      </c>
      <c r="C339" s="1" t="s">
        <v>759</v>
      </c>
      <c r="D339" t="s">
        <v>760</v>
      </c>
      <c r="E339" t="s">
        <v>761</v>
      </c>
      <c r="F339">
        <v>17589</v>
      </c>
      <c r="G339">
        <v>17632</v>
      </c>
      <c r="H339">
        <v>0</v>
      </c>
      <c r="K339">
        <f>IF(Table2[[#This Row],[NeedsAttention]]=1,Table2[[#This Row],[Start]],Table2[[#This Row],[StartN]])</f>
        <v>17589</v>
      </c>
      <c r="L339">
        <f>IF(Table2[[#This Row],[NeedsAttention]]=1,Table2[[#This Row],[End]],Table2[[#This Row],[EndN]])</f>
        <v>17632</v>
      </c>
      <c r="M339" t="b">
        <f>Table2[[#This Row],[Merged.Start]]=L338+1</f>
        <v>1</v>
      </c>
      <c r="O339">
        <f>Table2[[#This Row],[Section]]</f>
        <v>338</v>
      </c>
      <c r="P339">
        <f>Table2[[#This Row],[Canon]]</f>
        <v>2</v>
      </c>
      <c r="Q339" s="1" t="str">
        <f>Table2[[#This Row],[Reference]]</f>
        <v>27.41-43</v>
      </c>
      <c r="R339" t="str">
        <f>Table2[[#This Row],[StartR]]</f>
        <v>MAT 27:41</v>
      </c>
      <c r="S339" t="str">
        <f>Table2[[#This Row],[EndR]]</f>
        <v>MAT 27:43</v>
      </c>
      <c r="T339">
        <f>Table2[[#This Row],[Merged.Start]]</f>
        <v>17589</v>
      </c>
      <c r="U339">
        <f>Table2[[#This Row],[Merged.End]]</f>
        <v>17632</v>
      </c>
    </row>
    <row r="340" spans="1:21" x14ac:dyDescent="0.25">
      <c r="A340">
        <v>339</v>
      </c>
      <c r="B340">
        <v>2</v>
      </c>
      <c r="C340" s="1">
        <v>27.44</v>
      </c>
      <c r="D340" t="s">
        <v>762</v>
      </c>
      <c r="E340" t="s">
        <v>762</v>
      </c>
      <c r="F340">
        <v>17633</v>
      </c>
      <c r="G340">
        <v>17644</v>
      </c>
      <c r="H340">
        <v>0</v>
      </c>
      <c r="K340">
        <f>IF(Table2[[#This Row],[NeedsAttention]]=1,Table2[[#This Row],[Start]],Table2[[#This Row],[StartN]])</f>
        <v>17633</v>
      </c>
      <c r="L340">
        <f>IF(Table2[[#This Row],[NeedsAttention]]=1,Table2[[#This Row],[End]],Table2[[#This Row],[EndN]])</f>
        <v>17644</v>
      </c>
      <c r="M340" t="b">
        <f>Table2[[#This Row],[Merged.Start]]=L339+1</f>
        <v>1</v>
      </c>
      <c r="O340">
        <f>Table2[[#This Row],[Section]]</f>
        <v>339</v>
      </c>
      <c r="P340">
        <f>Table2[[#This Row],[Canon]]</f>
        <v>2</v>
      </c>
      <c r="Q340" s="1">
        <f>Table2[[#This Row],[Reference]]</f>
        <v>27.44</v>
      </c>
      <c r="R340" t="str">
        <f>Table2[[#This Row],[StartR]]</f>
        <v>MAT 27:44</v>
      </c>
      <c r="S340" t="str">
        <f>Table2[[#This Row],[EndR]]</f>
        <v>MAT 27:44</v>
      </c>
      <c r="T340">
        <f>Table2[[#This Row],[Merged.Start]]</f>
        <v>17633</v>
      </c>
      <c r="U340">
        <f>Table2[[#This Row],[Merged.End]]</f>
        <v>17644</v>
      </c>
    </row>
    <row r="341" spans="1:21" x14ac:dyDescent="0.25">
      <c r="A341">
        <v>340</v>
      </c>
      <c r="B341">
        <v>2</v>
      </c>
      <c r="C341" s="1">
        <v>27.45</v>
      </c>
      <c r="D341" t="s">
        <v>763</v>
      </c>
      <c r="E341" t="s">
        <v>763</v>
      </c>
      <c r="F341">
        <v>17645</v>
      </c>
      <c r="G341">
        <v>17657</v>
      </c>
      <c r="H341">
        <v>0</v>
      </c>
      <c r="K341">
        <f>IF(Table2[[#This Row],[NeedsAttention]]=1,Table2[[#This Row],[Start]],Table2[[#This Row],[StartN]])</f>
        <v>17645</v>
      </c>
      <c r="L341">
        <f>IF(Table2[[#This Row],[NeedsAttention]]=1,Table2[[#This Row],[End]],Table2[[#This Row],[EndN]])</f>
        <v>17657</v>
      </c>
      <c r="M341" t="b">
        <f>Table2[[#This Row],[Merged.Start]]=L340+1</f>
        <v>1</v>
      </c>
      <c r="O341">
        <f>Table2[[#This Row],[Section]]</f>
        <v>340</v>
      </c>
      <c r="P341">
        <f>Table2[[#This Row],[Canon]]</f>
        <v>2</v>
      </c>
      <c r="Q341" s="1">
        <f>Table2[[#This Row],[Reference]]</f>
        <v>27.45</v>
      </c>
      <c r="R341" t="str">
        <f>Table2[[#This Row],[StartR]]</f>
        <v>MAT 27:45</v>
      </c>
      <c r="S341" t="str">
        <f>Table2[[#This Row],[EndR]]</f>
        <v>MAT 27:45</v>
      </c>
      <c r="T341">
        <f>Table2[[#This Row],[Merged.Start]]</f>
        <v>17645</v>
      </c>
      <c r="U341">
        <f>Table2[[#This Row],[Merged.End]]</f>
        <v>17657</v>
      </c>
    </row>
    <row r="342" spans="1:21" x14ac:dyDescent="0.25">
      <c r="A342">
        <v>341</v>
      </c>
      <c r="B342">
        <v>6</v>
      </c>
      <c r="C342" s="1" t="s">
        <v>764</v>
      </c>
      <c r="D342" t="s">
        <v>765</v>
      </c>
      <c r="E342" t="s">
        <v>766</v>
      </c>
      <c r="F342">
        <v>17658</v>
      </c>
      <c r="G342">
        <v>17692</v>
      </c>
      <c r="H342">
        <v>0</v>
      </c>
      <c r="K342">
        <f>IF(Table2[[#This Row],[NeedsAttention]]=1,Table2[[#This Row],[Start]],Table2[[#This Row],[StartN]])</f>
        <v>17658</v>
      </c>
      <c r="L342">
        <f>IF(Table2[[#This Row],[NeedsAttention]]=1,Table2[[#This Row],[End]],Table2[[#This Row],[EndN]])</f>
        <v>17692</v>
      </c>
      <c r="M342" t="b">
        <f>Table2[[#This Row],[Merged.Start]]=L341+1</f>
        <v>1</v>
      </c>
      <c r="O342">
        <f>Table2[[#This Row],[Section]]</f>
        <v>341</v>
      </c>
      <c r="P342">
        <f>Table2[[#This Row],[Canon]]</f>
        <v>6</v>
      </c>
      <c r="Q342" s="1" t="str">
        <f>Table2[[#This Row],[Reference]]</f>
        <v>27.46-47</v>
      </c>
      <c r="R342" t="str">
        <f>Table2[[#This Row],[StartR]]</f>
        <v>MAT 27:46</v>
      </c>
      <c r="S342" t="str">
        <f>Table2[[#This Row],[EndR]]</f>
        <v>MAT 27:47</v>
      </c>
      <c r="T342">
        <f>Table2[[#This Row],[Merged.Start]]</f>
        <v>17658</v>
      </c>
      <c r="U342">
        <f>Table2[[#This Row],[Merged.End]]</f>
        <v>17692</v>
      </c>
    </row>
    <row r="343" spans="1:21" x14ac:dyDescent="0.25">
      <c r="A343">
        <v>342</v>
      </c>
      <c r="B343">
        <v>2</v>
      </c>
      <c r="C343" s="1" t="s">
        <v>767</v>
      </c>
      <c r="D343" t="s">
        <v>768</v>
      </c>
      <c r="E343" t="s">
        <v>769</v>
      </c>
      <c r="F343">
        <v>17693</v>
      </c>
      <c r="G343">
        <v>17720</v>
      </c>
      <c r="H343">
        <v>0</v>
      </c>
      <c r="K343">
        <f>IF(Table2[[#This Row],[NeedsAttention]]=1,Table2[[#This Row],[Start]],Table2[[#This Row],[StartN]])</f>
        <v>17693</v>
      </c>
      <c r="L343">
        <f>IF(Table2[[#This Row],[NeedsAttention]]=1,Table2[[#This Row],[End]],Table2[[#This Row],[EndN]])</f>
        <v>17720</v>
      </c>
      <c r="M343" t="b">
        <f>Table2[[#This Row],[Merged.Start]]=L342+1</f>
        <v>1</v>
      </c>
      <c r="O343">
        <f>Table2[[#This Row],[Section]]</f>
        <v>342</v>
      </c>
      <c r="P343">
        <f>Table2[[#This Row],[Canon]]</f>
        <v>2</v>
      </c>
      <c r="Q343" s="1" t="str">
        <f>Table2[[#This Row],[Reference]]</f>
        <v>27.48-49</v>
      </c>
      <c r="R343" t="str">
        <f>Table2[[#This Row],[StartR]]</f>
        <v>MAT 27:48</v>
      </c>
      <c r="S343" t="str">
        <f>Table2[[#This Row],[EndR]]</f>
        <v>MAT 27:49</v>
      </c>
      <c r="T343">
        <f>Table2[[#This Row],[Merged.Start]]</f>
        <v>17693</v>
      </c>
      <c r="U343">
        <f>Table2[[#This Row],[Merged.End]]</f>
        <v>17720</v>
      </c>
    </row>
    <row r="344" spans="1:21" x14ac:dyDescent="0.25">
      <c r="A344">
        <v>343</v>
      </c>
      <c r="B344">
        <v>1</v>
      </c>
      <c r="C344" s="1">
        <v>27.5</v>
      </c>
      <c r="D344" t="s">
        <v>2512</v>
      </c>
      <c r="E344" t="s">
        <v>770</v>
      </c>
      <c r="F344" s="2">
        <v>17721</v>
      </c>
      <c r="G344" s="2">
        <v>17730</v>
      </c>
      <c r="H344">
        <v>0</v>
      </c>
      <c r="K344">
        <f>IF(Table2[[#This Row],[NeedsAttention]]=1,Table2[[#This Row],[Start]],Table2[[#This Row],[StartN]])</f>
        <v>17721</v>
      </c>
      <c r="L344">
        <f>IF(Table2[[#This Row],[NeedsAttention]]=1,Table2[[#This Row],[End]],Table2[[#This Row],[EndN]])</f>
        <v>17730</v>
      </c>
      <c r="M344" t="b">
        <f>Table2[[#This Row],[Merged.Start]]=L343+1</f>
        <v>1</v>
      </c>
      <c r="O344">
        <f>Table2[[#This Row],[Section]]</f>
        <v>343</v>
      </c>
      <c r="P344">
        <f>Table2[[#This Row],[Canon]]</f>
        <v>1</v>
      </c>
      <c r="Q344" s="1">
        <f>Table2[[#This Row],[Reference]]</f>
        <v>27.5</v>
      </c>
      <c r="R344" t="str">
        <f>Table2[[#This Row],[StartR]]</f>
        <v>MAT 27:50</v>
      </c>
      <c r="S344" t="str">
        <f>Table2[[#This Row],[EndR]]</f>
        <v>MAT 27:5</v>
      </c>
      <c r="T344">
        <f>Table2[[#This Row],[Merged.Start]]</f>
        <v>17721</v>
      </c>
      <c r="U344">
        <f>Table2[[#This Row],[Merged.End]]</f>
        <v>17730</v>
      </c>
    </row>
    <row r="345" spans="1:21" x14ac:dyDescent="0.25">
      <c r="A345">
        <v>344</v>
      </c>
      <c r="B345">
        <v>2</v>
      </c>
      <c r="C345" s="1" t="s">
        <v>771</v>
      </c>
      <c r="D345" t="s">
        <v>772</v>
      </c>
      <c r="E345" t="s">
        <v>772</v>
      </c>
      <c r="F345">
        <v>17731</v>
      </c>
      <c r="G345">
        <v>17751</v>
      </c>
      <c r="H345">
        <v>1</v>
      </c>
      <c r="I345">
        <v>17731</v>
      </c>
      <c r="J345">
        <v>17743</v>
      </c>
      <c r="K345">
        <f>IF(Table2[[#This Row],[NeedsAttention]]=1,Table2[[#This Row],[Start]],Table2[[#This Row],[StartN]])</f>
        <v>17731</v>
      </c>
      <c r="L345">
        <f>IF(Table2[[#This Row],[NeedsAttention]]=1,Table2[[#This Row],[End]],Table2[[#This Row],[EndN]])</f>
        <v>17743</v>
      </c>
      <c r="M345" t="b">
        <f>Table2[[#This Row],[Merged.Start]]=L344+1</f>
        <v>1</v>
      </c>
      <c r="O345">
        <f>Table2[[#This Row],[Section]]</f>
        <v>344</v>
      </c>
      <c r="P345">
        <f>Table2[[#This Row],[Canon]]</f>
        <v>2</v>
      </c>
      <c r="Q345" s="1" t="str">
        <f>Table2[[#This Row],[Reference]]</f>
        <v>27.51A</v>
      </c>
      <c r="R345" t="str">
        <f>Table2[[#This Row],[StartR]]</f>
        <v>MAT 27:51</v>
      </c>
      <c r="S345" t="str">
        <f>Table2[[#This Row],[EndR]]</f>
        <v>MAT 27:51</v>
      </c>
      <c r="T345">
        <f>Table2[[#This Row],[Merged.Start]]</f>
        <v>17731</v>
      </c>
      <c r="U345">
        <f>Table2[[#This Row],[Merged.End]]</f>
        <v>17743</v>
      </c>
    </row>
    <row r="346" spans="1:21" x14ac:dyDescent="0.25">
      <c r="A346">
        <v>345</v>
      </c>
      <c r="B346">
        <v>10</v>
      </c>
      <c r="C346" s="1" t="s">
        <v>773</v>
      </c>
      <c r="D346" t="s">
        <v>772</v>
      </c>
      <c r="E346" t="s">
        <v>774</v>
      </c>
      <c r="F346">
        <v>17731</v>
      </c>
      <c r="G346">
        <v>17779</v>
      </c>
      <c r="H346">
        <v>1</v>
      </c>
      <c r="I346">
        <v>17744</v>
      </c>
      <c r="J346">
        <v>17779</v>
      </c>
      <c r="K346">
        <f>IF(Table2[[#This Row],[NeedsAttention]]=1,Table2[[#This Row],[Start]],Table2[[#This Row],[StartN]])</f>
        <v>17744</v>
      </c>
      <c r="L346">
        <f>IF(Table2[[#This Row],[NeedsAttention]]=1,Table2[[#This Row],[End]],Table2[[#This Row],[EndN]])</f>
        <v>17779</v>
      </c>
      <c r="M346" t="b">
        <f>Table2[[#This Row],[Merged.Start]]=L345+1</f>
        <v>1</v>
      </c>
      <c r="O346">
        <f>Table2[[#This Row],[Section]]</f>
        <v>345</v>
      </c>
      <c r="P346">
        <f>Table2[[#This Row],[Canon]]</f>
        <v>10</v>
      </c>
      <c r="Q346" s="1" t="str">
        <f>Table2[[#This Row],[Reference]]</f>
        <v>27.51B-53</v>
      </c>
      <c r="R346" t="str">
        <f>Table2[[#This Row],[StartR]]</f>
        <v>MAT 27:51</v>
      </c>
      <c r="S346" t="str">
        <f>Table2[[#This Row],[EndR]]</f>
        <v>MAT 27:53</v>
      </c>
      <c r="T346">
        <f>Table2[[#This Row],[Merged.Start]]</f>
        <v>17744</v>
      </c>
      <c r="U346">
        <f>Table2[[#This Row],[Merged.End]]</f>
        <v>17779</v>
      </c>
    </row>
    <row r="347" spans="1:21" x14ac:dyDescent="0.25">
      <c r="A347">
        <v>346</v>
      </c>
      <c r="B347">
        <v>2</v>
      </c>
      <c r="C347" s="1">
        <v>27.54</v>
      </c>
      <c r="D347" t="s">
        <v>775</v>
      </c>
      <c r="E347" t="s">
        <v>775</v>
      </c>
      <c r="F347">
        <v>17780</v>
      </c>
      <c r="G347">
        <v>17803</v>
      </c>
      <c r="H347">
        <v>0</v>
      </c>
      <c r="K347">
        <f>IF(Table2[[#This Row],[NeedsAttention]]=1,Table2[[#This Row],[Start]],Table2[[#This Row],[StartN]])</f>
        <v>17780</v>
      </c>
      <c r="L347">
        <f>IF(Table2[[#This Row],[NeedsAttention]]=1,Table2[[#This Row],[End]],Table2[[#This Row],[EndN]])</f>
        <v>17803</v>
      </c>
      <c r="M347" t="b">
        <f>Table2[[#This Row],[Merged.Start]]=L346+1</f>
        <v>1</v>
      </c>
      <c r="O347">
        <f>Table2[[#This Row],[Section]]</f>
        <v>346</v>
      </c>
      <c r="P347">
        <f>Table2[[#This Row],[Canon]]</f>
        <v>2</v>
      </c>
      <c r="Q347" s="1">
        <f>Table2[[#This Row],[Reference]]</f>
        <v>27.54</v>
      </c>
      <c r="R347" t="str">
        <f>Table2[[#This Row],[StartR]]</f>
        <v>MAT 27:54</v>
      </c>
      <c r="S347" t="str">
        <f>Table2[[#This Row],[EndR]]</f>
        <v>MAT 27:54</v>
      </c>
      <c r="T347">
        <f>Table2[[#This Row],[Merged.Start]]</f>
        <v>17780</v>
      </c>
      <c r="U347">
        <f>Table2[[#This Row],[Merged.End]]</f>
        <v>17803</v>
      </c>
    </row>
    <row r="348" spans="1:21" x14ac:dyDescent="0.25">
      <c r="A348">
        <v>347</v>
      </c>
      <c r="B348">
        <v>6</v>
      </c>
      <c r="C348" s="1" t="s">
        <v>776</v>
      </c>
      <c r="D348" t="s">
        <v>777</v>
      </c>
      <c r="E348" t="s">
        <v>778</v>
      </c>
      <c r="F348">
        <v>17804</v>
      </c>
      <c r="G348">
        <v>17840</v>
      </c>
      <c r="H348">
        <v>0</v>
      </c>
      <c r="K348">
        <f>IF(Table2[[#This Row],[NeedsAttention]]=1,Table2[[#This Row],[Start]],Table2[[#This Row],[StartN]])</f>
        <v>17804</v>
      </c>
      <c r="L348">
        <f>IF(Table2[[#This Row],[NeedsAttention]]=1,Table2[[#This Row],[End]],Table2[[#This Row],[EndN]])</f>
        <v>17840</v>
      </c>
      <c r="M348" t="b">
        <f>Table2[[#This Row],[Merged.Start]]=L347+1</f>
        <v>1</v>
      </c>
      <c r="O348">
        <f>Table2[[#This Row],[Section]]</f>
        <v>347</v>
      </c>
      <c r="P348">
        <f>Table2[[#This Row],[Canon]]</f>
        <v>6</v>
      </c>
      <c r="Q348" s="1" t="str">
        <f>Table2[[#This Row],[Reference]]</f>
        <v>27.55-56</v>
      </c>
      <c r="R348" t="str">
        <f>Table2[[#This Row],[StartR]]</f>
        <v>MAT 27:55</v>
      </c>
      <c r="S348" t="str">
        <f>Table2[[#This Row],[EndR]]</f>
        <v>MAT 27:56</v>
      </c>
      <c r="T348">
        <f>Table2[[#This Row],[Merged.Start]]</f>
        <v>17804</v>
      </c>
      <c r="U348">
        <f>Table2[[#This Row],[Merged.End]]</f>
        <v>17840</v>
      </c>
    </row>
    <row r="349" spans="1:21" x14ac:dyDescent="0.25">
      <c r="A349">
        <v>348</v>
      </c>
      <c r="B349">
        <v>1</v>
      </c>
      <c r="C349" s="1" t="s">
        <v>779</v>
      </c>
      <c r="D349" t="s">
        <v>780</v>
      </c>
      <c r="E349" t="s">
        <v>781</v>
      </c>
      <c r="F349">
        <v>17841</v>
      </c>
      <c r="G349">
        <v>17870</v>
      </c>
      <c r="H349">
        <v>0</v>
      </c>
      <c r="K349">
        <f>IF(Table2[[#This Row],[NeedsAttention]]=1,Table2[[#This Row],[Start]],Table2[[#This Row],[StartN]])</f>
        <v>17841</v>
      </c>
      <c r="L349">
        <f>IF(Table2[[#This Row],[NeedsAttention]]=1,Table2[[#This Row],[End]],Table2[[#This Row],[EndN]])</f>
        <v>17870</v>
      </c>
      <c r="M349" t="b">
        <f>Table2[[#This Row],[Merged.Start]]=L348+1</f>
        <v>1</v>
      </c>
      <c r="O349">
        <f>Table2[[#This Row],[Section]]</f>
        <v>348</v>
      </c>
      <c r="P349">
        <f>Table2[[#This Row],[Canon]]</f>
        <v>1</v>
      </c>
      <c r="Q349" s="1" t="str">
        <f>Table2[[#This Row],[Reference]]</f>
        <v>27.57-58</v>
      </c>
      <c r="R349" t="str">
        <f>Table2[[#This Row],[StartR]]</f>
        <v>MAT 27:57</v>
      </c>
      <c r="S349" t="str">
        <f>Table2[[#This Row],[EndR]]</f>
        <v>MAT 27:58</v>
      </c>
      <c r="T349">
        <f>Table2[[#This Row],[Merged.Start]]</f>
        <v>17841</v>
      </c>
      <c r="U349">
        <f>Table2[[#This Row],[Merged.End]]</f>
        <v>17870</v>
      </c>
    </row>
    <row r="350" spans="1:21" x14ac:dyDescent="0.25">
      <c r="A350">
        <v>349</v>
      </c>
      <c r="B350">
        <v>1</v>
      </c>
      <c r="C350" s="1" t="s">
        <v>782</v>
      </c>
      <c r="D350" t="s">
        <v>783</v>
      </c>
      <c r="E350" t="s">
        <v>784</v>
      </c>
      <c r="F350">
        <v>17871</v>
      </c>
      <c r="G350">
        <v>17902</v>
      </c>
      <c r="H350">
        <v>0</v>
      </c>
      <c r="K350">
        <f>IF(Table2[[#This Row],[NeedsAttention]]=1,Table2[[#This Row],[Start]],Table2[[#This Row],[StartN]])</f>
        <v>17871</v>
      </c>
      <c r="L350">
        <f>IF(Table2[[#This Row],[NeedsAttention]]=1,Table2[[#This Row],[End]],Table2[[#This Row],[EndN]])</f>
        <v>17902</v>
      </c>
      <c r="M350" t="b">
        <f>Table2[[#This Row],[Merged.Start]]=L349+1</f>
        <v>1</v>
      </c>
      <c r="O350">
        <f>Table2[[#This Row],[Section]]</f>
        <v>349</v>
      </c>
      <c r="P350">
        <f>Table2[[#This Row],[Canon]]</f>
        <v>1</v>
      </c>
      <c r="Q350" s="1" t="str">
        <f>Table2[[#This Row],[Reference]]</f>
        <v>27.59-60</v>
      </c>
      <c r="R350" t="str">
        <f>Table2[[#This Row],[StartR]]</f>
        <v>MAT 27:59</v>
      </c>
      <c r="S350" t="str">
        <f>Table2[[#This Row],[EndR]]</f>
        <v>MAT 27:60</v>
      </c>
      <c r="T350">
        <f>Table2[[#This Row],[Merged.Start]]</f>
        <v>17871</v>
      </c>
      <c r="U350">
        <f>Table2[[#This Row],[Merged.End]]</f>
        <v>17902</v>
      </c>
    </row>
    <row r="351" spans="1:21" x14ac:dyDescent="0.25">
      <c r="A351">
        <v>350</v>
      </c>
      <c r="B351">
        <v>6</v>
      </c>
      <c r="C351" s="1">
        <v>27.61</v>
      </c>
      <c r="D351" t="s">
        <v>785</v>
      </c>
      <c r="E351" t="s">
        <v>785</v>
      </c>
      <c r="F351">
        <v>17903</v>
      </c>
      <c r="G351">
        <v>17916</v>
      </c>
      <c r="H351">
        <v>0</v>
      </c>
      <c r="K351">
        <f>IF(Table2[[#This Row],[NeedsAttention]]=1,Table2[[#This Row],[Start]],Table2[[#This Row],[StartN]])</f>
        <v>17903</v>
      </c>
      <c r="L351">
        <f>IF(Table2[[#This Row],[NeedsAttention]]=1,Table2[[#This Row],[End]],Table2[[#This Row],[EndN]])</f>
        <v>17916</v>
      </c>
      <c r="M351" t="b">
        <f>Table2[[#This Row],[Merged.Start]]=L350+1</f>
        <v>1</v>
      </c>
      <c r="O351">
        <f>Table2[[#This Row],[Section]]</f>
        <v>350</v>
      </c>
      <c r="P351">
        <f>Table2[[#This Row],[Canon]]</f>
        <v>6</v>
      </c>
      <c r="Q351" s="1">
        <f>Table2[[#This Row],[Reference]]</f>
        <v>27.61</v>
      </c>
      <c r="R351" t="str">
        <f>Table2[[#This Row],[StartR]]</f>
        <v>MAT 27:61</v>
      </c>
      <c r="S351" t="str">
        <f>Table2[[#This Row],[EndR]]</f>
        <v>MAT 27:61</v>
      </c>
      <c r="T351">
        <f>Table2[[#This Row],[Merged.Start]]</f>
        <v>17903</v>
      </c>
      <c r="U351">
        <f>Table2[[#This Row],[Merged.End]]</f>
        <v>17916</v>
      </c>
    </row>
    <row r="352" spans="1:21" x14ac:dyDescent="0.25">
      <c r="A352">
        <v>351</v>
      </c>
      <c r="B352">
        <v>10</v>
      </c>
      <c r="C352" s="1" t="s">
        <v>786</v>
      </c>
      <c r="D352" t="s">
        <v>787</v>
      </c>
      <c r="E352" t="s">
        <v>788</v>
      </c>
      <c r="F352">
        <v>17917</v>
      </c>
      <c r="G352">
        <v>18000</v>
      </c>
      <c r="H352">
        <v>0</v>
      </c>
      <c r="K352">
        <f>IF(Table2[[#This Row],[NeedsAttention]]=1,Table2[[#This Row],[Start]],Table2[[#This Row],[StartN]])</f>
        <v>17917</v>
      </c>
      <c r="L352">
        <f>IF(Table2[[#This Row],[NeedsAttention]]=1,Table2[[#This Row],[End]],Table2[[#This Row],[EndN]])</f>
        <v>18000</v>
      </c>
      <c r="M352" t="b">
        <f>Table2[[#This Row],[Merged.Start]]=L351+1</f>
        <v>1</v>
      </c>
      <c r="O352">
        <f>Table2[[#This Row],[Section]]</f>
        <v>351</v>
      </c>
      <c r="P352">
        <f>Table2[[#This Row],[Canon]]</f>
        <v>10</v>
      </c>
      <c r="Q352" s="1" t="str">
        <f>Table2[[#This Row],[Reference]]</f>
        <v>27.62-66</v>
      </c>
      <c r="R352" t="str">
        <f>Table2[[#This Row],[StartR]]</f>
        <v>MAT 27:62</v>
      </c>
      <c r="S352" t="str">
        <f>Table2[[#This Row],[EndR]]</f>
        <v>MAT 27:66</v>
      </c>
      <c r="T352">
        <f>Table2[[#This Row],[Merged.Start]]</f>
        <v>17917</v>
      </c>
      <c r="U352">
        <f>Table2[[#This Row],[Merged.End]]</f>
        <v>18000</v>
      </c>
    </row>
    <row r="353" spans="1:21" x14ac:dyDescent="0.25">
      <c r="A353">
        <v>352</v>
      </c>
      <c r="B353">
        <v>1</v>
      </c>
      <c r="C353" s="1" t="s">
        <v>789</v>
      </c>
      <c r="D353" t="s">
        <v>790</v>
      </c>
      <c r="E353" t="s">
        <v>791</v>
      </c>
      <c r="F353">
        <v>18001</v>
      </c>
      <c r="G353">
        <v>18065</v>
      </c>
      <c r="H353">
        <v>0</v>
      </c>
      <c r="K353">
        <f>IF(Table2[[#This Row],[NeedsAttention]]=1,Table2[[#This Row],[Start]],Table2[[#This Row],[StartN]])</f>
        <v>18001</v>
      </c>
      <c r="L353">
        <f>IF(Table2[[#This Row],[NeedsAttention]]=1,Table2[[#This Row],[End]],Table2[[#This Row],[EndN]])</f>
        <v>18065</v>
      </c>
      <c r="M353" t="b">
        <f>Table2[[#This Row],[Merged.Start]]=L352+1</f>
        <v>1</v>
      </c>
      <c r="O353">
        <f>Table2[[#This Row],[Section]]</f>
        <v>352</v>
      </c>
      <c r="P353">
        <f>Table2[[#This Row],[Canon]]</f>
        <v>1</v>
      </c>
      <c r="Q353" s="1" t="str">
        <f>Table2[[#This Row],[Reference]]</f>
        <v>28.1-4</v>
      </c>
      <c r="R353" t="str">
        <f>Table2[[#This Row],[StartR]]</f>
        <v>MAT 28:1</v>
      </c>
      <c r="S353" t="str">
        <f>Table2[[#This Row],[EndR]]</f>
        <v>MAT 28:4</v>
      </c>
      <c r="T353">
        <f>Table2[[#This Row],[Merged.Start]]</f>
        <v>18001</v>
      </c>
      <c r="U353">
        <f>Table2[[#This Row],[Merged.End]]</f>
        <v>18065</v>
      </c>
    </row>
    <row r="354" spans="1:21" x14ac:dyDescent="0.25">
      <c r="A354">
        <v>353</v>
      </c>
      <c r="B354">
        <v>2</v>
      </c>
      <c r="C354" s="1" t="s">
        <v>792</v>
      </c>
      <c r="D354" t="s">
        <v>793</v>
      </c>
      <c r="E354" t="s">
        <v>794</v>
      </c>
      <c r="F354">
        <v>18066</v>
      </c>
      <c r="G354">
        <v>18120</v>
      </c>
      <c r="H354">
        <v>0</v>
      </c>
      <c r="K354">
        <f>IF(Table2[[#This Row],[NeedsAttention]]=1,Table2[[#This Row],[Start]],Table2[[#This Row],[StartN]])</f>
        <v>18066</v>
      </c>
      <c r="L354">
        <f>IF(Table2[[#This Row],[NeedsAttention]]=1,Table2[[#This Row],[End]],Table2[[#This Row],[EndN]])</f>
        <v>18120</v>
      </c>
      <c r="M354" t="b">
        <f>Table2[[#This Row],[Merged.Start]]=L353+1</f>
        <v>1</v>
      </c>
      <c r="O354">
        <f>Table2[[#This Row],[Section]]</f>
        <v>353</v>
      </c>
      <c r="P354">
        <f>Table2[[#This Row],[Canon]]</f>
        <v>2</v>
      </c>
      <c r="Q354" s="1" t="str">
        <f>Table2[[#This Row],[Reference]]</f>
        <v>28.5-7</v>
      </c>
      <c r="R354" t="str">
        <f>Table2[[#This Row],[StartR]]</f>
        <v>MAT 28:5</v>
      </c>
      <c r="S354" t="str">
        <f>Table2[[#This Row],[EndR]]</f>
        <v>MAT 28:7</v>
      </c>
      <c r="T354">
        <f>Table2[[#This Row],[Merged.Start]]</f>
        <v>18066</v>
      </c>
      <c r="U354">
        <f>Table2[[#This Row],[Merged.End]]</f>
        <v>18120</v>
      </c>
    </row>
    <row r="355" spans="1:21" x14ac:dyDescent="0.25">
      <c r="A355">
        <v>354</v>
      </c>
      <c r="B355">
        <v>2</v>
      </c>
      <c r="C355" s="1">
        <v>28.8</v>
      </c>
      <c r="D355" t="s">
        <v>795</v>
      </c>
      <c r="E355" t="s">
        <v>795</v>
      </c>
      <c r="F355">
        <v>18121</v>
      </c>
      <c r="G355">
        <v>18136</v>
      </c>
      <c r="H355">
        <v>0</v>
      </c>
      <c r="K355">
        <f>IF(Table2[[#This Row],[NeedsAttention]]=1,Table2[[#This Row],[Start]],Table2[[#This Row],[StartN]])</f>
        <v>18121</v>
      </c>
      <c r="L355">
        <f>IF(Table2[[#This Row],[NeedsAttention]]=1,Table2[[#This Row],[End]],Table2[[#This Row],[EndN]])</f>
        <v>18136</v>
      </c>
      <c r="M355" t="b">
        <f>Table2[[#This Row],[Merged.Start]]=L354+1</f>
        <v>1</v>
      </c>
      <c r="O355">
        <f>Table2[[#This Row],[Section]]</f>
        <v>354</v>
      </c>
      <c r="P355">
        <f>Table2[[#This Row],[Canon]]</f>
        <v>2</v>
      </c>
      <c r="Q355" s="1">
        <f>Table2[[#This Row],[Reference]]</f>
        <v>28.8</v>
      </c>
      <c r="R355" t="str">
        <f>Table2[[#This Row],[StartR]]</f>
        <v>MAT 28:8</v>
      </c>
      <c r="S355" t="str">
        <f>Table2[[#This Row],[EndR]]</f>
        <v>MAT 28:8</v>
      </c>
      <c r="T355">
        <f>Table2[[#This Row],[Merged.Start]]</f>
        <v>18121</v>
      </c>
      <c r="U355">
        <f>Table2[[#This Row],[Merged.End]]</f>
        <v>18136</v>
      </c>
    </row>
    <row r="356" spans="1:21" x14ac:dyDescent="0.25">
      <c r="A356">
        <v>355</v>
      </c>
      <c r="B356">
        <v>10</v>
      </c>
      <c r="C356" s="1" t="s">
        <v>796</v>
      </c>
      <c r="D356" t="s">
        <v>797</v>
      </c>
      <c r="E356" t="s">
        <v>798</v>
      </c>
      <c r="F356">
        <v>18137</v>
      </c>
      <c r="G356">
        <v>18329</v>
      </c>
      <c r="H356">
        <v>0</v>
      </c>
      <c r="K356">
        <f>IF(Table2[[#This Row],[NeedsAttention]]=1,Table2[[#This Row],[Start]],Table2[[#This Row],[StartN]])</f>
        <v>18137</v>
      </c>
      <c r="L356">
        <f>IF(Table2[[#This Row],[NeedsAttention]]=1,Table2[[#This Row],[End]],Table2[[#This Row],[EndN]])</f>
        <v>18329</v>
      </c>
      <c r="M356" t="b">
        <f>Table2[[#This Row],[Merged.Start]]=L355+1</f>
        <v>1</v>
      </c>
      <c r="O356">
        <f>Table2[[#This Row],[Section]]</f>
        <v>355</v>
      </c>
      <c r="P356">
        <f>Table2[[#This Row],[Canon]]</f>
        <v>10</v>
      </c>
      <c r="Q356" s="1" t="str">
        <f>Table2[[#This Row],[Reference]]</f>
        <v>28.9-20</v>
      </c>
      <c r="R356" t="str">
        <f>Table2[[#This Row],[StartR]]</f>
        <v>MAT 28:9</v>
      </c>
      <c r="S356" t="str">
        <f>Table2[[#This Row],[EndR]]</f>
        <v>MAT 28:20</v>
      </c>
      <c r="T356">
        <f>Table2[[#This Row],[Merged.Start]]</f>
        <v>18137</v>
      </c>
      <c r="U356">
        <f>Table2[[#This Row],[Merged.End]]</f>
        <v>18329</v>
      </c>
    </row>
  </sheetData>
  <phoneticPr fontId="2" type="noConversion"/>
  <conditionalFormatting sqref="M2:M356">
    <cfRule type="cellIs" dxfId="7" priority="1" operator="equal">
      <formula>FALSE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9424E-0374-49FA-82C2-CFEFB67064E1}">
  <dimension ref="A1:U242"/>
  <sheetViews>
    <sheetView topLeftCell="A217" workbookViewId="0">
      <selection activeCell="O2" sqref="O2:U242"/>
    </sheetView>
  </sheetViews>
  <sheetFormatPr defaultRowHeight="15" x14ac:dyDescent="0.25"/>
  <cols>
    <col min="1" max="1" width="9.7109375" customWidth="1"/>
    <col min="3" max="3" width="12.28515625" customWidth="1"/>
    <col min="4" max="4" width="11.5703125" customWidth="1"/>
    <col min="5" max="5" width="12" customWidth="1"/>
    <col min="8" max="8" width="17.42578125" customWidth="1"/>
  </cols>
  <sheetData>
    <row r="1" spans="1:21" x14ac:dyDescent="0.25">
      <c r="A1" t="s">
        <v>0</v>
      </c>
      <c r="B1" t="s">
        <v>1</v>
      </c>
      <c r="C1" t="s">
        <v>799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2498</v>
      </c>
      <c r="J1" t="s">
        <v>2499</v>
      </c>
      <c r="K1" t="s">
        <v>2500</v>
      </c>
      <c r="L1" t="s">
        <v>2501</v>
      </c>
      <c r="M1" t="s">
        <v>2502</v>
      </c>
    </row>
    <row r="2" spans="1:21" x14ac:dyDescent="0.25">
      <c r="A2">
        <v>1</v>
      </c>
      <c r="B2">
        <v>2</v>
      </c>
      <c r="C2" s="1" t="s">
        <v>800</v>
      </c>
      <c r="D2" t="s">
        <v>801</v>
      </c>
      <c r="E2" t="s">
        <v>802</v>
      </c>
      <c r="F2">
        <v>18330</v>
      </c>
      <c r="G2">
        <v>18354</v>
      </c>
      <c r="H2">
        <v>0</v>
      </c>
      <c r="K2">
        <f>IF(Table3[[#This Row],[NeedsAttention]]=1,Table3[[#This Row],[Start]],Table3[[#This Row],[StartN]])</f>
        <v>18330</v>
      </c>
      <c r="L2">
        <f>IF(Table3[[#This Row],[NeedsAttention]]=1,Table3[[#This Row],[End]],Table3[[#This Row],[EndN]])</f>
        <v>18354</v>
      </c>
      <c r="O2">
        <f>Table3[[#This Row],[Section]]</f>
        <v>1</v>
      </c>
      <c r="P2">
        <f>Table3[[#This Row],[Canon]]</f>
        <v>2</v>
      </c>
      <c r="Q2" s="1" t="str">
        <f>Table3[[#This Row],[Reference]]</f>
        <v>1.1-2</v>
      </c>
      <c r="R2" t="str">
        <f>Table3[[#This Row],[StartR]]</f>
        <v>MRK 1:1</v>
      </c>
      <c r="S2" t="str">
        <f>Table3[[#This Row],[EndR]]</f>
        <v>MRK 1:2</v>
      </c>
      <c r="T2">
        <f>Table3[[#This Row],[Merged.Start]]</f>
        <v>18330</v>
      </c>
      <c r="U2">
        <f>Table3[[#This Row],[Merged.End]]</f>
        <v>18354</v>
      </c>
    </row>
    <row r="3" spans="1:21" x14ac:dyDescent="0.25">
      <c r="A3">
        <v>2</v>
      </c>
      <c r="B3">
        <v>1</v>
      </c>
      <c r="C3" s="1">
        <v>1.3</v>
      </c>
      <c r="D3" t="s">
        <v>803</v>
      </c>
      <c r="E3" t="s">
        <v>803</v>
      </c>
      <c r="F3">
        <v>18355</v>
      </c>
      <c r="G3">
        <v>18368</v>
      </c>
      <c r="H3">
        <v>0</v>
      </c>
      <c r="K3">
        <f>IF(Table3[[#This Row],[NeedsAttention]]=1,Table3[[#This Row],[Start]],Table3[[#This Row],[StartN]])</f>
        <v>18355</v>
      </c>
      <c r="L3">
        <f>IF(Table3[[#This Row],[NeedsAttention]]=1,Table3[[#This Row],[End]],Table3[[#This Row],[EndN]])</f>
        <v>18368</v>
      </c>
      <c r="M3" t="b">
        <f>Table3[[#This Row],[Merged.Start]]=L2+1</f>
        <v>1</v>
      </c>
      <c r="O3">
        <f>Table3[[#This Row],[Section]]</f>
        <v>2</v>
      </c>
      <c r="P3">
        <f>Table3[[#This Row],[Canon]]</f>
        <v>1</v>
      </c>
      <c r="Q3" s="1">
        <f>Table3[[#This Row],[Reference]]</f>
        <v>1.3</v>
      </c>
      <c r="R3" t="str">
        <f>Table3[[#This Row],[StartR]]</f>
        <v>MRK 1:3</v>
      </c>
      <c r="S3" t="str">
        <f>Table3[[#This Row],[EndR]]</f>
        <v>MRK 1:3</v>
      </c>
      <c r="T3">
        <f>Table3[[#This Row],[Merged.Start]]</f>
        <v>18355</v>
      </c>
      <c r="U3">
        <f>Table3[[#This Row],[Merged.End]]</f>
        <v>18368</v>
      </c>
    </row>
    <row r="4" spans="1:21" x14ac:dyDescent="0.25">
      <c r="A4">
        <v>3</v>
      </c>
      <c r="B4">
        <v>6</v>
      </c>
      <c r="C4" s="1" t="s">
        <v>804</v>
      </c>
      <c r="D4" t="s">
        <v>805</v>
      </c>
      <c r="E4" t="s">
        <v>806</v>
      </c>
      <c r="F4">
        <v>18369</v>
      </c>
      <c r="G4">
        <v>18445</v>
      </c>
      <c r="H4">
        <v>1</v>
      </c>
      <c r="I4">
        <v>18369</v>
      </c>
      <c r="J4">
        <v>18428</v>
      </c>
      <c r="K4">
        <f>IF(Table3[[#This Row],[NeedsAttention]]=1,Table3[[#This Row],[Start]],Table3[[#This Row],[StartN]])</f>
        <v>18369</v>
      </c>
      <c r="L4">
        <f>IF(Table3[[#This Row],[NeedsAttention]]=1,Table3[[#This Row],[End]],Table3[[#This Row],[EndN]])</f>
        <v>18428</v>
      </c>
      <c r="M4" t="b">
        <f>Table3[[#This Row],[Merged.Start]]=L3+1</f>
        <v>1</v>
      </c>
      <c r="O4">
        <f>Table3[[#This Row],[Section]]</f>
        <v>3</v>
      </c>
      <c r="P4">
        <f>Table3[[#This Row],[Canon]]</f>
        <v>6</v>
      </c>
      <c r="Q4" s="1" t="str">
        <f>Table3[[#This Row],[Reference]]</f>
        <v>1.4-7A</v>
      </c>
      <c r="R4" t="str">
        <f>Table3[[#This Row],[StartR]]</f>
        <v>MRK 1:4</v>
      </c>
      <c r="S4" t="str">
        <f>Table3[[#This Row],[EndR]]</f>
        <v>MRK 1:7</v>
      </c>
      <c r="T4">
        <f>Table3[[#This Row],[Merged.Start]]</f>
        <v>18369</v>
      </c>
      <c r="U4">
        <f>Table3[[#This Row],[Merged.End]]</f>
        <v>18428</v>
      </c>
    </row>
    <row r="5" spans="1:21" x14ac:dyDescent="0.25">
      <c r="A5">
        <v>4</v>
      </c>
      <c r="B5">
        <v>1</v>
      </c>
      <c r="C5" s="1" t="s">
        <v>807</v>
      </c>
      <c r="D5" t="s">
        <v>806</v>
      </c>
      <c r="E5" t="s">
        <v>808</v>
      </c>
      <c r="F5">
        <v>18426</v>
      </c>
      <c r="G5">
        <v>18456</v>
      </c>
      <c r="H5">
        <v>1</v>
      </c>
      <c r="I5">
        <v>18429</v>
      </c>
      <c r="J5">
        <v>18456</v>
      </c>
      <c r="K5">
        <f>IF(Table3[[#This Row],[NeedsAttention]]=1,Table3[[#This Row],[Start]],Table3[[#This Row],[StartN]])</f>
        <v>18429</v>
      </c>
      <c r="L5">
        <f>IF(Table3[[#This Row],[NeedsAttention]]=1,Table3[[#This Row],[End]],Table3[[#This Row],[EndN]])</f>
        <v>18456</v>
      </c>
      <c r="M5" t="b">
        <f>Table3[[#This Row],[Merged.Start]]=L4+1</f>
        <v>1</v>
      </c>
      <c r="O5">
        <f>Table3[[#This Row],[Section]]</f>
        <v>4</v>
      </c>
      <c r="P5">
        <f>Table3[[#This Row],[Canon]]</f>
        <v>1</v>
      </c>
      <c r="Q5" s="1" t="str">
        <f>Table3[[#This Row],[Reference]]</f>
        <v>1.7B-8</v>
      </c>
      <c r="R5" t="str">
        <f>Table3[[#This Row],[StartR]]</f>
        <v>MRK 1:7</v>
      </c>
      <c r="S5" t="str">
        <f>Table3[[#This Row],[EndR]]</f>
        <v>MRK 1:8</v>
      </c>
      <c r="T5">
        <f>Table3[[#This Row],[Merged.Start]]</f>
        <v>18429</v>
      </c>
      <c r="U5">
        <f>Table3[[#This Row],[Merged.End]]</f>
        <v>18456</v>
      </c>
    </row>
    <row r="6" spans="1:21" x14ac:dyDescent="0.25">
      <c r="A6">
        <v>5</v>
      </c>
      <c r="B6">
        <v>1</v>
      </c>
      <c r="C6" s="1" t="s">
        <v>809</v>
      </c>
      <c r="D6" t="s">
        <v>810</v>
      </c>
      <c r="E6" t="s">
        <v>811</v>
      </c>
      <c r="F6">
        <v>18457</v>
      </c>
      <c r="G6">
        <v>18509</v>
      </c>
      <c r="H6">
        <v>0</v>
      </c>
      <c r="K6">
        <f>IF(Table3[[#This Row],[NeedsAttention]]=1,Table3[[#This Row],[Start]],Table3[[#This Row],[StartN]])</f>
        <v>18457</v>
      </c>
      <c r="L6">
        <f>IF(Table3[[#This Row],[NeedsAttention]]=1,Table3[[#This Row],[End]],Table3[[#This Row],[EndN]])</f>
        <v>18509</v>
      </c>
      <c r="M6" t="b">
        <f>Table3[[#This Row],[Merged.Start]]=L5+1</f>
        <v>1</v>
      </c>
      <c r="O6">
        <f>Table3[[#This Row],[Section]]</f>
        <v>5</v>
      </c>
      <c r="P6">
        <f>Table3[[#This Row],[Canon]]</f>
        <v>1</v>
      </c>
      <c r="Q6" s="1" t="str">
        <f>Table3[[#This Row],[Reference]]</f>
        <v>1.9-11</v>
      </c>
      <c r="R6" t="str">
        <f>Table3[[#This Row],[StartR]]</f>
        <v>MRK 1:9</v>
      </c>
      <c r="S6" t="str">
        <f>Table3[[#This Row],[EndR]]</f>
        <v>MRK 1:11</v>
      </c>
      <c r="T6">
        <f>Table3[[#This Row],[Merged.Start]]</f>
        <v>18457</v>
      </c>
      <c r="U6">
        <f>Table3[[#This Row],[Merged.End]]</f>
        <v>18509</v>
      </c>
    </row>
    <row r="7" spans="1:21" x14ac:dyDescent="0.25">
      <c r="A7">
        <v>6</v>
      </c>
      <c r="B7">
        <v>2</v>
      </c>
      <c r="C7" s="1" t="s">
        <v>812</v>
      </c>
      <c r="D7" t="s">
        <v>813</v>
      </c>
      <c r="E7" t="s">
        <v>814</v>
      </c>
      <c r="F7">
        <v>18510</v>
      </c>
      <c r="G7">
        <v>18539</v>
      </c>
      <c r="H7">
        <v>1</v>
      </c>
      <c r="I7">
        <v>18510</v>
      </c>
      <c r="J7">
        <v>18534</v>
      </c>
      <c r="K7">
        <f>IF(Table3[[#This Row],[NeedsAttention]]=1,Table3[[#This Row],[Start]],Table3[[#This Row],[StartN]])</f>
        <v>18510</v>
      </c>
      <c r="L7">
        <f>IF(Table3[[#This Row],[NeedsAttention]]=1,Table3[[#This Row],[End]],Table3[[#This Row],[EndN]])</f>
        <v>18534</v>
      </c>
      <c r="M7" t="b">
        <f>Table3[[#This Row],[Merged.Start]]=L6+1</f>
        <v>1</v>
      </c>
      <c r="O7">
        <f>Table3[[#This Row],[Section]]</f>
        <v>6</v>
      </c>
      <c r="P7">
        <f>Table3[[#This Row],[Canon]]</f>
        <v>2</v>
      </c>
      <c r="Q7" s="1" t="str">
        <f>Table3[[#This Row],[Reference]]</f>
        <v>1.12-13B</v>
      </c>
      <c r="R7" t="str">
        <f>Table3[[#This Row],[StartR]]</f>
        <v>MRK 1:12</v>
      </c>
      <c r="S7" t="str">
        <f>Table3[[#This Row],[EndR]]</f>
        <v>MRK 1:13</v>
      </c>
      <c r="T7">
        <f>Table3[[#This Row],[Merged.Start]]</f>
        <v>18510</v>
      </c>
      <c r="U7">
        <f>Table3[[#This Row],[Merged.End]]</f>
        <v>18534</v>
      </c>
    </row>
    <row r="8" spans="1:21" x14ac:dyDescent="0.25">
      <c r="A8">
        <v>7</v>
      </c>
      <c r="B8">
        <v>6</v>
      </c>
      <c r="C8" s="1" t="s">
        <v>815</v>
      </c>
      <c r="D8" t="s">
        <v>814</v>
      </c>
      <c r="E8" t="s">
        <v>814</v>
      </c>
      <c r="F8">
        <v>18519</v>
      </c>
      <c r="G8">
        <v>18539</v>
      </c>
      <c r="H8">
        <v>1</v>
      </c>
      <c r="I8">
        <v>18535</v>
      </c>
      <c r="J8">
        <v>18539</v>
      </c>
      <c r="K8">
        <f>IF(Table3[[#This Row],[NeedsAttention]]=1,Table3[[#This Row],[Start]],Table3[[#This Row],[StartN]])</f>
        <v>18535</v>
      </c>
      <c r="L8">
        <f>IF(Table3[[#This Row],[NeedsAttention]]=1,Table3[[#This Row],[End]],Table3[[#This Row],[EndN]])</f>
        <v>18539</v>
      </c>
      <c r="M8" t="b">
        <f>Table3[[#This Row],[Merged.Start]]=L7+1</f>
        <v>1</v>
      </c>
      <c r="O8">
        <f>Table3[[#This Row],[Section]]</f>
        <v>7</v>
      </c>
      <c r="P8">
        <f>Table3[[#This Row],[Canon]]</f>
        <v>6</v>
      </c>
      <c r="Q8" s="1" t="str">
        <f>Table3[[#This Row],[Reference]]</f>
        <v>1.13C</v>
      </c>
      <c r="R8" t="str">
        <f>Table3[[#This Row],[StartR]]</f>
        <v>MRK 1:13</v>
      </c>
      <c r="S8" t="str">
        <f>Table3[[#This Row],[EndR]]</f>
        <v>MRK 1:13</v>
      </c>
      <c r="T8">
        <f>Table3[[#This Row],[Merged.Start]]</f>
        <v>18535</v>
      </c>
      <c r="U8">
        <f>Table3[[#This Row],[Merged.End]]</f>
        <v>18539</v>
      </c>
    </row>
    <row r="9" spans="1:21" x14ac:dyDescent="0.25">
      <c r="A9">
        <v>8</v>
      </c>
      <c r="B9">
        <v>4</v>
      </c>
      <c r="C9" s="1" t="s">
        <v>816</v>
      </c>
      <c r="D9" t="s">
        <v>817</v>
      </c>
      <c r="E9" t="s">
        <v>817</v>
      </c>
      <c r="F9">
        <v>18540</v>
      </c>
      <c r="G9">
        <v>18556</v>
      </c>
      <c r="H9">
        <v>1</v>
      </c>
      <c r="I9">
        <v>18540</v>
      </c>
      <c r="J9">
        <v>18551</v>
      </c>
      <c r="K9">
        <f>IF(Table3[[#This Row],[NeedsAttention]]=1,Table3[[#This Row],[Start]],Table3[[#This Row],[StartN]])</f>
        <v>18540</v>
      </c>
      <c r="L9">
        <f>IF(Table3[[#This Row],[NeedsAttention]]=1,Table3[[#This Row],[End]],Table3[[#This Row],[EndN]])</f>
        <v>18551</v>
      </c>
      <c r="M9" t="b">
        <f>Table3[[#This Row],[Merged.Start]]=L8+1</f>
        <v>1</v>
      </c>
      <c r="O9">
        <f>Table3[[#This Row],[Section]]</f>
        <v>8</v>
      </c>
      <c r="P9">
        <f>Table3[[#This Row],[Canon]]</f>
        <v>4</v>
      </c>
      <c r="Q9" s="1" t="str">
        <f>Table3[[#This Row],[Reference]]</f>
        <v>1.14A</v>
      </c>
      <c r="R9" t="str">
        <f>Table3[[#This Row],[StartR]]</f>
        <v>MRK 1:14</v>
      </c>
      <c r="S9" t="str">
        <f>Table3[[#This Row],[EndR]]</f>
        <v>MRK 1:14</v>
      </c>
      <c r="T9">
        <f>Table3[[#This Row],[Merged.Start]]</f>
        <v>18540</v>
      </c>
      <c r="U9">
        <f>Table3[[#This Row],[Merged.End]]</f>
        <v>18551</v>
      </c>
    </row>
    <row r="10" spans="1:21" x14ac:dyDescent="0.25">
      <c r="A10">
        <v>9</v>
      </c>
      <c r="B10">
        <v>6</v>
      </c>
      <c r="C10" s="1" t="s">
        <v>818</v>
      </c>
      <c r="D10" t="s">
        <v>817</v>
      </c>
      <c r="E10" t="s">
        <v>819</v>
      </c>
      <c r="F10">
        <v>18540</v>
      </c>
      <c r="G10">
        <v>18595</v>
      </c>
      <c r="H10">
        <v>1</v>
      </c>
      <c r="I10">
        <v>18552</v>
      </c>
      <c r="J10">
        <v>18595</v>
      </c>
      <c r="K10">
        <f>IF(Table3[[#This Row],[NeedsAttention]]=1,Table3[[#This Row],[Start]],Table3[[#This Row],[StartN]])</f>
        <v>18552</v>
      </c>
      <c r="L10">
        <f>IF(Table3[[#This Row],[NeedsAttention]]=1,Table3[[#This Row],[End]],Table3[[#This Row],[EndN]])</f>
        <v>18595</v>
      </c>
      <c r="M10" t="b">
        <f>Table3[[#This Row],[Merged.Start]]=L9+1</f>
        <v>1</v>
      </c>
      <c r="O10">
        <f>Table3[[#This Row],[Section]]</f>
        <v>9</v>
      </c>
      <c r="P10">
        <f>Table3[[#This Row],[Canon]]</f>
        <v>6</v>
      </c>
      <c r="Q10" s="1" t="str">
        <f>Table3[[#This Row],[Reference]]</f>
        <v>1.14B-16</v>
      </c>
      <c r="R10" t="str">
        <f>Table3[[#This Row],[StartR]]</f>
        <v>MRK 1:14</v>
      </c>
      <c r="S10" t="str">
        <f>Table3[[#This Row],[EndR]]</f>
        <v>MRK 1:16</v>
      </c>
      <c r="T10">
        <f>Table3[[#This Row],[Merged.Start]]</f>
        <v>18552</v>
      </c>
      <c r="U10">
        <f>Table3[[#This Row],[Merged.End]]</f>
        <v>18595</v>
      </c>
    </row>
    <row r="11" spans="1:21" x14ac:dyDescent="0.25">
      <c r="A11">
        <v>10</v>
      </c>
      <c r="B11">
        <v>2</v>
      </c>
      <c r="C11" s="1" t="s">
        <v>820</v>
      </c>
      <c r="D11" t="s">
        <v>821</v>
      </c>
      <c r="E11" t="s">
        <v>822</v>
      </c>
      <c r="F11">
        <v>18596</v>
      </c>
      <c r="G11">
        <v>18616</v>
      </c>
      <c r="H11">
        <v>0</v>
      </c>
      <c r="K11">
        <f>IF(Table3[[#This Row],[NeedsAttention]]=1,Table3[[#This Row],[Start]],Table3[[#This Row],[StartN]])</f>
        <v>18596</v>
      </c>
      <c r="L11">
        <f>IF(Table3[[#This Row],[NeedsAttention]]=1,Table3[[#This Row],[End]],Table3[[#This Row],[EndN]])</f>
        <v>18616</v>
      </c>
      <c r="M11" t="b">
        <f>Table3[[#This Row],[Merged.Start]]=L10+1</f>
        <v>1</v>
      </c>
      <c r="O11">
        <f>Table3[[#This Row],[Section]]</f>
        <v>10</v>
      </c>
      <c r="P11">
        <f>Table3[[#This Row],[Canon]]</f>
        <v>2</v>
      </c>
      <c r="Q11" s="1" t="str">
        <f>Table3[[#This Row],[Reference]]</f>
        <v>1.17-18</v>
      </c>
      <c r="R11" t="str">
        <f>Table3[[#This Row],[StartR]]</f>
        <v>MRK 1:17</v>
      </c>
      <c r="S11" t="str">
        <f>Table3[[#This Row],[EndR]]</f>
        <v>MRK 1:18</v>
      </c>
      <c r="T11">
        <f>Table3[[#This Row],[Merged.Start]]</f>
        <v>18596</v>
      </c>
      <c r="U11">
        <f>Table3[[#This Row],[Merged.End]]</f>
        <v>18616</v>
      </c>
    </row>
    <row r="12" spans="1:21" x14ac:dyDescent="0.25">
      <c r="A12">
        <v>11</v>
      </c>
      <c r="B12">
        <v>6</v>
      </c>
      <c r="C12" s="1" t="s">
        <v>823</v>
      </c>
      <c r="D12" t="s">
        <v>824</v>
      </c>
      <c r="E12" t="s">
        <v>825</v>
      </c>
      <c r="F12">
        <v>18617</v>
      </c>
      <c r="G12">
        <v>18656</v>
      </c>
      <c r="H12">
        <v>0</v>
      </c>
      <c r="K12">
        <f>IF(Table3[[#This Row],[NeedsAttention]]=1,Table3[[#This Row],[Start]],Table3[[#This Row],[StartN]])</f>
        <v>18617</v>
      </c>
      <c r="L12">
        <f>IF(Table3[[#This Row],[NeedsAttention]]=1,Table3[[#This Row],[End]],Table3[[#This Row],[EndN]])</f>
        <v>18656</v>
      </c>
      <c r="M12" t="b">
        <f>Table3[[#This Row],[Merged.Start]]=L11+1</f>
        <v>1</v>
      </c>
      <c r="O12">
        <f>Table3[[#This Row],[Section]]</f>
        <v>11</v>
      </c>
      <c r="P12">
        <f>Table3[[#This Row],[Canon]]</f>
        <v>6</v>
      </c>
      <c r="Q12" s="1" t="str">
        <f>Table3[[#This Row],[Reference]]</f>
        <v>1.19-20</v>
      </c>
      <c r="R12" t="str">
        <f>Table3[[#This Row],[StartR]]</f>
        <v>MRK 1:19</v>
      </c>
      <c r="S12" t="str">
        <f>Table3[[#This Row],[EndR]]</f>
        <v>MRK 1:20</v>
      </c>
      <c r="T12">
        <f>Table3[[#This Row],[Merged.Start]]</f>
        <v>18617</v>
      </c>
      <c r="U12">
        <f>Table3[[#This Row],[Merged.End]]</f>
        <v>18656</v>
      </c>
    </row>
    <row r="13" spans="1:21" x14ac:dyDescent="0.25">
      <c r="A13">
        <v>12</v>
      </c>
      <c r="B13">
        <v>8</v>
      </c>
      <c r="C13" s="1">
        <v>1.21</v>
      </c>
      <c r="D13" t="s">
        <v>826</v>
      </c>
      <c r="E13" t="s">
        <v>826</v>
      </c>
      <c r="F13">
        <v>18657</v>
      </c>
      <c r="G13">
        <v>18668</v>
      </c>
      <c r="H13">
        <v>0</v>
      </c>
      <c r="K13">
        <f>IF(Table3[[#This Row],[NeedsAttention]]=1,Table3[[#This Row],[Start]],Table3[[#This Row],[StartN]])</f>
        <v>18657</v>
      </c>
      <c r="L13">
        <f>IF(Table3[[#This Row],[NeedsAttention]]=1,Table3[[#This Row],[End]],Table3[[#This Row],[EndN]])</f>
        <v>18668</v>
      </c>
      <c r="M13" t="b">
        <f>Table3[[#This Row],[Merged.Start]]=L12+1</f>
        <v>1</v>
      </c>
      <c r="O13">
        <f>Table3[[#This Row],[Section]]</f>
        <v>12</v>
      </c>
      <c r="P13">
        <f>Table3[[#This Row],[Canon]]</f>
        <v>8</v>
      </c>
      <c r="Q13" s="1">
        <f>Table3[[#This Row],[Reference]]</f>
        <v>1.21</v>
      </c>
      <c r="R13" t="str">
        <f>Table3[[#This Row],[StartR]]</f>
        <v>MRK 1:21</v>
      </c>
      <c r="S13" t="str">
        <f>Table3[[#This Row],[EndR]]</f>
        <v>MRK 1:21</v>
      </c>
      <c r="T13">
        <f>Table3[[#This Row],[Merged.Start]]</f>
        <v>18657</v>
      </c>
      <c r="U13">
        <f>Table3[[#This Row],[Merged.End]]</f>
        <v>18668</v>
      </c>
    </row>
    <row r="14" spans="1:21" x14ac:dyDescent="0.25">
      <c r="A14">
        <v>13</v>
      </c>
      <c r="B14">
        <v>2</v>
      </c>
      <c r="C14" s="1">
        <v>1.22</v>
      </c>
      <c r="D14" t="s">
        <v>827</v>
      </c>
      <c r="E14" t="s">
        <v>827</v>
      </c>
      <c r="F14">
        <v>18669</v>
      </c>
      <c r="G14">
        <v>18686</v>
      </c>
      <c r="H14">
        <v>0</v>
      </c>
      <c r="K14">
        <f>IF(Table3[[#This Row],[NeedsAttention]]=1,Table3[[#This Row],[Start]],Table3[[#This Row],[StartN]])</f>
        <v>18669</v>
      </c>
      <c r="L14">
        <f>IF(Table3[[#This Row],[NeedsAttention]]=1,Table3[[#This Row],[End]],Table3[[#This Row],[EndN]])</f>
        <v>18686</v>
      </c>
      <c r="M14" t="b">
        <f>Table3[[#This Row],[Merged.Start]]=L13+1</f>
        <v>1</v>
      </c>
      <c r="O14">
        <f>Table3[[#This Row],[Section]]</f>
        <v>13</v>
      </c>
      <c r="P14">
        <f>Table3[[#This Row],[Canon]]</f>
        <v>2</v>
      </c>
      <c r="Q14" s="1">
        <f>Table3[[#This Row],[Reference]]</f>
        <v>1.22</v>
      </c>
      <c r="R14" t="str">
        <f>Table3[[#This Row],[StartR]]</f>
        <v>MRK 1:22</v>
      </c>
      <c r="S14" t="str">
        <f>Table3[[#This Row],[EndR]]</f>
        <v>MRK 1:22</v>
      </c>
      <c r="T14">
        <f>Table3[[#This Row],[Merged.Start]]</f>
        <v>18669</v>
      </c>
      <c r="U14">
        <f>Table3[[#This Row],[Merged.End]]</f>
        <v>18686</v>
      </c>
    </row>
    <row r="15" spans="1:21" x14ac:dyDescent="0.25">
      <c r="A15">
        <v>14</v>
      </c>
      <c r="B15">
        <v>8</v>
      </c>
      <c r="C15" s="1" t="s">
        <v>828</v>
      </c>
      <c r="D15" t="s">
        <v>829</v>
      </c>
      <c r="E15" t="s">
        <v>830</v>
      </c>
      <c r="F15">
        <v>18687</v>
      </c>
      <c r="G15">
        <v>18779</v>
      </c>
      <c r="H15">
        <v>0</v>
      </c>
      <c r="K15">
        <f>IF(Table3[[#This Row],[NeedsAttention]]=1,Table3[[#This Row],[Start]],Table3[[#This Row],[StartN]])</f>
        <v>18687</v>
      </c>
      <c r="L15">
        <f>IF(Table3[[#This Row],[NeedsAttention]]=1,Table3[[#This Row],[End]],Table3[[#This Row],[EndN]])</f>
        <v>18779</v>
      </c>
      <c r="M15" t="b">
        <f>Table3[[#This Row],[Merged.Start]]=L14+1</f>
        <v>1</v>
      </c>
      <c r="O15">
        <f>Table3[[#This Row],[Section]]</f>
        <v>14</v>
      </c>
      <c r="P15">
        <f>Table3[[#This Row],[Canon]]</f>
        <v>8</v>
      </c>
      <c r="Q15" s="1" t="str">
        <f>Table3[[#This Row],[Reference]]</f>
        <v>1.23-28</v>
      </c>
      <c r="R15" t="str">
        <f>Table3[[#This Row],[StartR]]</f>
        <v>MRK 1:23</v>
      </c>
      <c r="S15" t="str">
        <f>Table3[[#This Row],[EndR]]</f>
        <v>MRK 1:28</v>
      </c>
      <c r="T15">
        <f>Table3[[#This Row],[Merged.Start]]</f>
        <v>18687</v>
      </c>
      <c r="U15">
        <f>Table3[[#This Row],[Merged.End]]</f>
        <v>18779</v>
      </c>
    </row>
    <row r="16" spans="1:21" x14ac:dyDescent="0.25">
      <c r="A16">
        <v>15</v>
      </c>
      <c r="B16">
        <v>2</v>
      </c>
      <c r="C16" s="1" t="s">
        <v>831</v>
      </c>
      <c r="D16" t="s">
        <v>832</v>
      </c>
      <c r="E16" t="s">
        <v>833</v>
      </c>
      <c r="F16">
        <v>18780</v>
      </c>
      <c r="G16">
        <v>18869</v>
      </c>
      <c r="H16">
        <v>1</v>
      </c>
      <c r="I16">
        <v>18780</v>
      </c>
      <c r="J16">
        <v>18856</v>
      </c>
      <c r="K16">
        <f>IF(Table3[[#This Row],[NeedsAttention]]=1,Table3[[#This Row],[Start]],Table3[[#This Row],[StartN]])</f>
        <v>18780</v>
      </c>
      <c r="L16">
        <f>IF(Table3[[#This Row],[NeedsAttention]]=1,Table3[[#This Row],[End]],Table3[[#This Row],[EndN]])</f>
        <v>18856</v>
      </c>
      <c r="M16" t="b">
        <f>Table3[[#This Row],[Merged.Start]]=L15+1</f>
        <v>1</v>
      </c>
      <c r="O16">
        <f>Table3[[#This Row],[Section]]</f>
        <v>15</v>
      </c>
      <c r="P16">
        <f>Table3[[#This Row],[Canon]]</f>
        <v>2</v>
      </c>
      <c r="Q16" s="1" t="str">
        <f>Table3[[#This Row],[Reference]]</f>
        <v>1.29-34A</v>
      </c>
      <c r="R16" t="str">
        <f>Table3[[#This Row],[StartR]]</f>
        <v>MRK 1:29</v>
      </c>
      <c r="S16" t="str">
        <f>Table3[[#This Row],[EndR]]</f>
        <v>MRK 1:34</v>
      </c>
      <c r="T16">
        <f>Table3[[#This Row],[Merged.Start]]</f>
        <v>18780</v>
      </c>
      <c r="U16">
        <f>Table3[[#This Row],[Merged.End]]</f>
        <v>18856</v>
      </c>
    </row>
    <row r="17" spans="1:21" x14ac:dyDescent="0.25">
      <c r="A17">
        <v>16</v>
      </c>
      <c r="B17">
        <v>8</v>
      </c>
      <c r="C17" s="1" t="s">
        <v>834</v>
      </c>
      <c r="D17" t="s">
        <v>833</v>
      </c>
      <c r="E17" t="s">
        <v>833</v>
      </c>
      <c r="F17">
        <v>18850</v>
      </c>
      <c r="G17">
        <v>18869</v>
      </c>
      <c r="H17">
        <v>1</v>
      </c>
      <c r="I17">
        <v>18857</v>
      </c>
      <c r="J17">
        <v>18869</v>
      </c>
      <c r="K17">
        <f>IF(Table3[[#This Row],[NeedsAttention]]=1,Table3[[#This Row],[Start]],Table3[[#This Row],[StartN]])</f>
        <v>18857</v>
      </c>
      <c r="L17">
        <f>IF(Table3[[#This Row],[NeedsAttention]]=1,Table3[[#This Row],[End]],Table3[[#This Row],[EndN]])</f>
        <v>18869</v>
      </c>
      <c r="M17" t="b">
        <f>Table3[[#This Row],[Merged.Start]]=L16+1</f>
        <v>1</v>
      </c>
      <c r="O17">
        <f>Table3[[#This Row],[Section]]</f>
        <v>16</v>
      </c>
      <c r="P17">
        <f>Table3[[#This Row],[Canon]]</f>
        <v>8</v>
      </c>
      <c r="Q17" s="1" t="str">
        <f>Table3[[#This Row],[Reference]]</f>
        <v>1.34BC</v>
      </c>
      <c r="R17" t="str">
        <f>Table3[[#This Row],[StartR]]</f>
        <v>MRK 1:34</v>
      </c>
      <c r="S17" t="str">
        <f>Table3[[#This Row],[EndR]]</f>
        <v>MRK 1:34</v>
      </c>
      <c r="T17">
        <f>Table3[[#This Row],[Merged.Start]]</f>
        <v>18857</v>
      </c>
      <c r="U17">
        <f>Table3[[#This Row],[Merged.End]]</f>
        <v>18869</v>
      </c>
    </row>
    <row r="18" spans="1:21" x14ac:dyDescent="0.25">
      <c r="A18">
        <v>17</v>
      </c>
      <c r="B18">
        <v>8</v>
      </c>
      <c r="C18" s="1" t="s">
        <v>835</v>
      </c>
      <c r="D18" t="s">
        <v>836</v>
      </c>
      <c r="E18" t="s">
        <v>837</v>
      </c>
      <c r="F18">
        <v>18870</v>
      </c>
      <c r="G18">
        <v>18932</v>
      </c>
      <c r="H18">
        <v>0</v>
      </c>
      <c r="K18">
        <f>IF(Table3[[#This Row],[NeedsAttention]]=1,Table3[[#This Row],[Start]],Table3[[#This Row],[StartN]])</f>
        <v>18870</v>
      </c>
      <c r="L18">
        <f>IF(Table3[[#This Row],[NeedsAttention]]=1,Table3[[#This Row],[End]],Table3[[#This Row],[EndN]])</f>
        <v>18932</v>
      </c>
      <c r="M18" t="b">
        <f>Table3[[#This Row],[Merged.Start]]=L17+1</f>
        <v>1</v>
      </c>
      <c r="O18">
        <f>Table3[[#This Row],[Section]]</f>
        <v>17</v>
      </c>
      <c r="P18">
        <f>Table3[[#This Row],[Canon]]</f>
        <v>8</v>
      </c>
      <c r="Q18" s="1" t="str">
        <f>Table3[[#This Row],[Reference]]</f>
        <v>1.35-39</v>
      </c>
      <c r="R18" t="str">
        <f>Table3[[#This Row],[StartR]]</f>
        <v>MRK 1:35</v>
      </c>
      <c r="S18" t="str">
        <f>Table3[[#This Row],[EndR]]</f>
        <v>MRK 1:39</v>
      </c>
      <c r="T18">
        <f>Table3[[#This Row],[Merged.Start]]</f>
        <v>18870</v>
      </c>
      <c r="U18">
        <f>Table3[[#This Row],[Merged.End]]</f>
        <v>18932</v>
      </c>
    </row>
    <row r="19" spans="1:21" x14ac:dyDescent="0.25">
      <c r="A19">
        <v>18</v>
      </c>
      <c r="B19">
        <v>2</v>
      </c>
      <c r="C19" s="1" t="s">
        <v>838</v>
      </c>
      <c r="D19" t="s">
        <v>839</v>
      </c>
      <c r="E19" t="s">
        <v>840</v>
      </c>
      <c r="F19">
        <v>18933</v>
      </c>
      <c r="G19">
        <v>19001</v>
      </c>
      <c r="H19">
        <v>0</v>
      </c>
      <c r="K19">
        <f>IF(Table3[[#This Row],[NeedsAttention]]=1,Table3[[#This Row],[Start]],Table3[[#This Row],[StartN]])</f>
        <v>18933</v>
      </c>
      <c r="L19">
        <f>IF(Table3[[#This Row],[NeedsAttention]]=1,Table3[[#This Row],[End]],Table3[[#This Row],[EndN]])</f>
        <v>19001</v>
      </c>
      <c r="M19" t="b">
        <f>Table3[[#This Row],[Merged.Start]]=L18+1</f>
        <v>1</v>
      </c>
      <c r="O19">
        <f>Table3[[#This Row],[Section]]</f>
        <v>18</v>
      </c>
      <c r="P19">
        <f>Table3[[#This Row],[Canon]]</f>
        <v>2</v>
      </c>
      <c r="Q19" s="1" t="str">
        <f>Table3[[#This Row],[Reference]]</f>
        <v>1.40-44</v>
      </c>
      <c r="R19" t="str">
        <f>Table3[[#This Row],[StartR]]</f>
        <v>MRK 1:40</v>
      </c>
      <c r="S19" t="str">
        <f>Table3[[#This Row],[EndR]]</f>
        <v>MRK 1:44</v>
      </c>
      <c r="T19">
        <f>Table3[[#This Row],[Merged.Start]]</f>
        <v>18933</v>
      </c>
      <c r="U19">
        <f>Table3[[#This Row],[Merged.End]]</f>
        <v>19001</v>
      </c>
    </row>
    <row r="20" spans="1:21" x14ac:dyDescent="0.25">
      <c r="A20">
        <v>19</v>
      </c>
      <c r="B20">
        <v>10</v>
      </c>
      <c r="C20" s="1">
        <v>1.45</v>
      </c>
      <c r="D20" t="s">
        <v>841</v>
      </c>
      <c r="E20" t="s">
        <v>841</v>
      </c>
      <c r="F20">
        <v>19002</v>
      </c>
      <c r="G20">
        <v>19030</v>
      </c>
      <c r="H20">
        <v>0</v>
      </c>
      <c r="K20">
        <f>IF(Table3[[#This Row],[NeedsAttention]]=1,Table3[[#This Row],[Start]],Table3[[#This Row],[StartN]])</f>
        <v>19002</v>
      </c>
      <c r="L20">
        <f>IF(Table3[[#This Row],[NeedsAttention]]=1,Table3[[#This Row],[End]],Table3[[#This Row],[EndN]])</f>
        <v>19030</v>
      </c>
      <c r="M20" t="b">
        <f>Table3[[#This Row],[Merged.Start]]=L19+1</f>
        <v>1</v>
      </c>
      <c r="O20">
        <f>Table3[[#This Row],[Section]]</f>
        <v>19</v>
      </c>
      <c r="P20">
        <f>Table3[[#This Row],[Canon]]</f>
        <v>10</v>
      </c>
      <c r="Q20" s="1">
        <f>Table3[[#This Row],[Reference]]</f>
        <v>1.45</v>
      </c>
      <c r="R20" t="str">
        <f>Table3[[#This Row],[StartR]]</f>
        <v>MRK 1:45</v>
      </c>
      <c r="S20" t="str">
        <f>Table3[[#This Row],[EndR]]</f>
        <v>MRK 1:45</v>
      </c>
      <c r="T20">
        <f>Table3[[#This Row],[Merged.Start]]</f>
        <v>19002</v>
      </c>
      <c r="U20">
        <f>Table3[[#This Row],[Merged.End]]</f>
        <v>19030</v>
      </c>
    </row>
    <row r="21" spans="1:21" x14ac:dyDescent="0.25">
      <c r="A21">
        <v>20</v>
      </c>
      <c r="B21">
        <v>1</v>
      </c>
      <c r="C21" s="1" t="s">
        <v>842</v>
      </c>
      <c r="D21" t="s">
        <v>843</v>
      </c>
      <c r="E21" t="s">
        <v>844</v>
      </c>
      <c r="F21">
        <v>19031</v>
      </c>
      <c r="G21">
        <v>19226</v>
      </c>
      <c r="H21">
        <v>0</v>
      </c>
      <c r="K21">
        <f>IF(Table3[[#This Row],[NeedsAttention]]=1,Table3[[#This Row],[Start]],Table3[[#This Row],[StartN]])</f>
        <v>19031</v>
      </c>
      <c r="L21">
        <f>IF(Table3[[#This Row],[NeedsAttention]]=1,Table3[[#This Row],[End]],Table3[[#This Row],[EndN]])</f>
        <v>19226</v>
      </c>
      <c r="M21" t="b">
        <f>Table3[[#This Row],[Merged.Start]]=L20+1</f>
        <v>1</v>
      </c>
      <c r="O21">
        <f>Table3[[#This Row],[Section]]</f>
        <v>20</v>
      </c>
      <c r="P21">
        <f>Table3[[#This Row],[Canon]]</f>
        <v>1</v>
      </c>
      <c r="Q21" s="1" t="str">
        <f>Table3[[#This Row],[Reference]]</f>
        <v>2.1-12</v>
      </c>
      <c r="R21" t="str">
        <f>Table3[[#This Row],[StartR]]</f>
        <v>MRK 2:1</v>
      </c>
      <c r="S21" t="str">
        <f>Table3[[#This Row],[EndR]]</f>
        <v>MRK 2:12</v>
      </c>
      <c r="T21">
        <f>Table3[[#This Row],[Merged.Start]]</f>
        <v>19031</v>
      </c>
      <c r="U21">
        <f>Table3[[#This Row],[Merged.End]]</f>
        <v>19226</v>
      </c>
    </row>
    <row r="22" spans="1:21" x14ac:dyDescent="0.25">
      <c r="A22">
        <v>21</v>
      </c>
      <c r="B22">
        <v>2</v>
      </c>
      <c r="C22" s="1" t="s">
        <v>845</v>
      </c>
      <c r="D22" t="s">
        <v>846</v>
      </c>
      <c r="E22" t="s">
        <v>847</v>
      </c>
      <c r="F22">
        <v>19227</v>
      </c>
      <c r="G22">
        <v>19262</v>
      </c>
      <c r="H22">
        <v>0</v>
      </c>
      <c r="K22">
        <f>IF(Table3[[#This Row],[NeedsAttention]]=1,Table3[[#This Row],[Start]],Table3[[#This Row],[StartN]])</f>
        <v>19227</v>
      </c>
      <c r="L22">
        <f>IF(Table3[[#This Row],[NeedsAttention]]=1,Table3[[#This Row],[End]],Table3[[#This Row],[EndN]])</f>
        <v>19262</v>
      </c>
      <c r="M22" t="b">
        <f>Table3[[#This Row],[Merged.Start]]=L21+1</f>
        <v>1</v>
      </c>
      <c r="O22">
        <f>Table3[[#This Row],[Section]]</f>
        <v>21</v>
      </c>
      <c r="P22">
        <f>Table3[[#This Row],[Canon]]</f>
        <v>2</v>
      </c>
      <c r="Q22" s="1" t="str">
        <f>Table3[[#This Row],[Reference]]</f>
        <v>2.13-14</v>
      </c>
      <c r="R22" t="str">
        <f>Table3[[#This Row],[StartR]]</f>
        <v>MRK 2:13</v>
      </c>
      <c r="S22" t="str">
        <f>Table3[[#This Row],[EndR]]</f>
        <v>MRK 2:14</v>
      </c>
      <c r="T22">
        <f>Table3[[#This Row],[Merged.Start]]</f>
        <v>19227</v>
      </c>
      <c r="U22">
        <f>Table3[[#This Row],[Merged.End]]</f>
        <v>19262</v>
      </c>
    </row>
    <row r="23" spans="1:21" x14ac:dyDescent="0.25">
      <c r="A23">
        <v>22</v>
      </c>
      <c r="B23">
        <v>2</v>
      </c>
      <c r="C23" s="1" t="s">
        <v>848</v>
      </c>
      <c r="D23" t="s">
        <v>849</v>
      </c>
      <c r="E23" t="s">
        <v>850</v>
      </c>
      <c r="F23">
        <v>19263</v>
      </c>
      <c r="G23">
        <v>19312</v>
      </c>
      <c r="H23">
        <v>0</v>
      </c>
      <c r="K23">
        <f>IF(Table3[[#This Row],[NeedsAttention]]=1,Table3[[#This Row],[Start]],Table3[[#This Row],[StartN]])</f>
        <v>19263</v>
      </c>
      <c r="L23">
        <f>IF(Table3[[#This Row],[NeedsAttention]]=1,Table3[[#This Row],[End]],Table3[[#This Row],[EndN]])</f>
        <v>19312</v>
      </c>
      <c r="M23" t="b">
        <f>Table3[[#This Row],[Merged.Start]]=L22+1</f>
        <v>1</v>
      </c>
      <c r="O23">
        <f>Table3[[#This Row],[Section]]</f>
        <v>22</v>
      </c>
      <c r="P23">
        <f>Table3[[#This Row],[Canon]]</f>
        <v>2</v>
      </c>
      <c r="Q23" s="1" t="str">
        <f>Table3[[#This Row],[Reference]]</f>
        <v>2.15-16</v>
      </c>
      <c r="R23" t="str">
        <f>Table3[[#This Row],[StartR]]</f>
        <v>MRK 2:15</v>
      </c>
      <c r="S23" t="str">
        <f>Table3[[#This Row],[EndR]]</f>
        <v>MRK 2:16</v>
      </c>
      <c r="T23">
        <f>Table3[[#This Row],[Merged.Start]]</f>
        <v>19263</v>
      </c>
      <c r="U23">
        <f>Table3[[#This Row],[Merged.End]]</f>
        <v>19312</v>
      </c>
    </row>
    <row r="24" spans="1:21" x14ac:dyDescent="0.25">
      <c r="A24">
        <v>23</v>
      </c>
      <c r="B24">
        <v>2</v>
      </c>
      <c r="C24" s="1" t="s">
        <v>851</v>
      </c>
      <c r="D24" t="s">
        <v>852</v>
      </c>
      <c r="E24" t="s">
        <v>853</v>
      </c>
      <c r="F24">
        <v>19313</v>
      </c>
      <c r="G24">
        <v>19464</v>
      </c>
      <c r="H24">
        <v>0</v>
      </c>
      <c r="K24">
        <f>IF(Table3[[#This Row],[NeedsAttention]]=1,Table3[[#This Row],[Start]],Table3[[#This Row],[StartN]])</f>
        <v>19313</v>
      </c>
      <c r="L24">
        <f>IF(Table3[[#This Row],[NeedsAttention]]=1,Table3[[#This Row],[End]],Table3[[#This Row],[EndN]])</f>
        <v>19464</v>
      </c>
      <c r="M24" t="b">
        <f>Table3[[#This Row],[Merged.Start]]=L23+1</f>
        <v>1</v>
      </c>
      <c r="O24">
        <f>Table3[[#This Row],[Section]]</f>
        <v>23</v>
      </c>
      <c r="P24">
        <f>Table3[[#This Row],[Canon]]</f>
        <v>2</v>
      </c>
      <c r="Q24" s="1" t="str">
        <f>Table3[[#This Row],[Reference]]</f>
        <v>2.17-22</v>
      </c>
      <c r="R24" t="str">
        <f>Table3[[#This Row],[StartR]]</f>
        <v>MRK 2:17</v>
      </c>
      <c r="S24" t="str">
        <f>Table3[[#This Row],[EndR]]</f>
        <v>MRK 2:22</v>
      </c>
      <c r="T24">
        <f>Table3[[#This Row],[Merged.Start]]</f>
        <v>19313</v>
      </c>
      <c r="U24">
        <f>Table3[[#This Row],[Merged.End]]</f>
        <v>19464</v>
      </c>
    </row>
    <row r="25" spans="1:21" x14ac:dyDescent="0.25">
      <c r="A25">
        <v>24</v>
      </c>
      <c r="B25">
        <v>2</v>
      </c>
      <c r="C25" s="1" t="s">
        <v>854</v>
      </c>
      <c r="D25" t="s">
        <v>855</v>
      </c>
      <c r="E25" t="s">
        <v>856</v>
      </c>
      <c r="F25">
        <v>19465</v>
      </c>
      <c r="G25">
        <v>19546</v>
      </c>
      <c r="H25">
        <v>0</v>
      </c>
      <c r="K25">
        <f>IF(Table3[[#This Row],[NeedsAttention]]=1,Table3[[#This Row],[Start]],Table3[[#This Row],[StartN]])</f>
        <v>19465</v>
      </c>
      <c r="L25">
        <f>IF(Table3[[#This Row],[NeedsAttention]]=1,Table3[[#This Row],[End]],Table3[[#This Row],[EndN]])</f>
        <v>19546</v>
      </c>
      <c r="M25" t="b">
        <f>Table3[[#This Row],[Merged.Start]]=L24+1</f>
        <v>1</v>
      </c>
      <c r="O25">
        <f>Table3[[#This Row],[Section]]</f>
        <v>24</v>
      </c>
      <c r="P25">
        <f>Table3[[#This Row],[Canon]]</f>
        <v>2</v>
      </c>
      <c r="Q25" s="1" t="str">
        <f>Table3[[#This Row],[Reference]]</f>
        <v>2.23-26</v>
      </c>
      <c r="R25" t="str">
        <f>Table3[[#This Row],[StartR]]</f>
        <v>MRK 2:23</v>
      </c>
      <c r="S25" t="str">
        <f>Table3[[#This Row],[EndR]]</f>
        <v>MRK 2:26</v>
      </c>
      <c r="T25">
        <f>Table3[[#This Row],[Merged.Start]]</f>
        <v>19465</v>
      </c>
      <c r="U25">
        <f>Table3[[#This Row],[Merged.End]]</f>
        <v>19546</v>
      </c>
    </row>
    <row r="26" spans="1:21" x14ac:dyDescent="0.25">
      <c r="A26">
        <v>25</v>
      </c>
      <c r="B26">
        <v>2</v>
      </c>
      <c r="C26" s="1" t="s">
        <v>857</v>
      </c>
      <c r="D26" t="s">
        <v>858</v>
      </c>
      <c r="E26" t="s">
        <v>859</v>
      </c>
      <c r="F26">
        <v>19547</v>
      </c>
      <c r="G26">
        <v>19650</v>
      </c>
      <c r="H26">
        <v>0</v>
      </c>
      <c r="K26">
        <f>IF(Table3[[#This Row],[NeedsAttention]]=1,Table3[[#This Row],[Start]],Table3[[#This Row],[StartN]])</f>
        <v>19547</v>
      </c>
      <c r="L26">
        <f>IF(Table3[[#This Row],[NeedsAttention]]=1,Table3[[#This Row],[End]],Table3[[#This Row],[EndN]])</f>
        <v>19650</v>
      </c>
      <c r="M26" t="b">
        <f>Table3[[#This Row],[Merged.Start]]=L25+1</f>
        <v>1</v>
      </c>
      <c r="O26">
        <f>Table3[[#This Row],[Section]]</f>
        <v>25</v>
      </c>
      <c r="P26">
        <f>Table3[[#This Row],[Canon]]</f>
        <v>2</v>
      </c>
      <c r="Q26" s="1" t="str">
        <f>Table3[[#This Row],[Reference]]</f>
        <v>2.27-3.5</v>
      </c>
      <c r="R26" t="str">
        <f>Table3[[#This Row],[StartR]]</f>
        <v>MRK 2:27</v>
      </c>
      <c r="S26" t="str">
        <f>Table3[[#This Row],[EndR]]</f>
        <v>MRK 3:5</v>
      </c>
      <c r="T26">
        <f>Table3[[#This Row],[Merged.Start]]</f>
        <v>19547</v>
      </c>
      <c r="U26">
        <f>Table3[[#This Row],[Merged.End]]</f>
        <v>19650</v>
      </c>
    </row>
    <row r="27" spans="1:21" x14ac:dyDescent="0.25">
      <c r="A27">
        <v>26</v>
      </c>
      <c r="B27">
        <v>4</v>
      </c>
      <c r="C27" s="1" t="s">
        <v>860</v>
      </c>
      <c r="D27" t="s">
        <v>861</v>
      </c>
      <c r="E27" t="s">
        <v>862</v>
      </c>
      <c r="F27">
        <v>19651</v>
      </c>
      <c r="G27">
        <v>19687</v>
      </c>
      <c r="H27">
        <v>1</v>
      </c>
      <c r="I27">
        <v>19651</v>
      </c>
      <c r="J27">
        <v>19676</v>
      </c>
      <c r="K27">
        <f>IF(Table3[[#This Row],[NeedsAttention]]=1,Table3[[#This Row],[Start]],Table3[[#This Row],[StartN]])</f>
        <v>19651</v>
      </c>
      <c r="L27">
        <f>IF(Table3[[#This Row],[NeedsAttention]]=1,Table3[[#This Row],[End]],Table3[[#This Row],[EndN]])</f>
        <v>19676</v>
      </c>
      <c r="M27" t="b">
        <f>Table3[[#This Row],[Merged.Start]]=L26+1</f>
        <v>1</v>
      </c>
      <c r="O27">
        <f>Table3[[#This Row],[Section]]</f>
        <v>26</v>
      </c>
      <c r="P27">
        <f>Table3[[#This Row],[Canon]]</f>
        <v>4</v>
      </c>
      <c r="Q27" s="1" t="str">
        <f>Table3[[#This Row],[Reference]]</f>
        <v>3.6-7A</v>
      </c>
      <c r="R27" t="str">
        <f>Table3[[#This Row],[StartR]]</f>
        <v>MRK 3:6</v>
      </c>
      <c r="S27" t="str">
        <f>Table3[[#This Row],[EndR]]</f>
        <v>MRK 3:7</v>
      </c>
      <c r="T27">
        <f>Table3[[#This Row],[Merged.Start]]</f>
        <v>19651</v>
      </c>
      <c r="U27">
        <f>Table3[[#This Row],[Merged.End]]</f>
        <v>19676</v>
      </c>
    </row>
    <row r="28" spans="1:21" x14ac:dyDescent="0.25">
      <c r="A28">
        <v>27</v>
      </c>
      <c r="B28">
        <v>1</v>
      </c>
      <c r="C28" s="1" t="s">
        <v>863</v>
      </c>
      <c r="D28" t="s">
        <v>862</v>
      </c>
      <c r="E28" t="s">
        <v>864</v>
      </c>
      <c r="F28">
        <v>19666</v>
      </c>
      <c r="G28">
        <v>19759</v>
      </c>
      <c r="H28">
        <v>1</v>
      </c>
      <c r="I28">
        <v>19677</v>
      </c>
      <c r="J28">
        <v>19749</v>
      </c>
      <c r="K28">
        <f>IF(Table3[[#This Row],[NeedsAttention]]=1,Table3[[#This Row],[Start]],Table3[[#This Row],[StartN]])</f>
        <v>19677</v>
      </c>
      <c r="L28">
        <f>IF(Table3[[#This Row],[NeedsAttention]]=1,Table3[[#This Row],[End]],Table3[[#This Row],[EndN]])</f>
        <v>19749</v>
      </c>
      <c r="M28" t="b">
        <f>Table3[[#This Row],[Merged.Start]]=L27+1</f>
        <v>1</v>
      </c>
      <c r="O28">
        <f>Table3[[#This Row],[Section]]</f>
        <v>27</v>
      </c>
      <c r="P28">
        <f>Table3[[#This Row],[Canon]]</f>
        <v>1</v>
      </c>
      <c r="Q28" s="1" t="str">
        <f>Table3[[#This Row],[Reference]]</f>
        <v>3.7B-11A</v>
      </c>
      <c r="R28" t="str">
        <f>Table3[[#This Row],[StartR]]</f>
        <v>MRK 3:7</v>
      </c>
      <c r="S28" t="str">
        <f>Table3[[#This Row],[EndR]]</f>
        <v>MRK 3:11</v>
      </c>
      <c r="T28">
        <f>Table3[[#This Row],[Merged.Start]]</f>
        <v>19677</v>
      </c>
      <c r="U28">
        <f>Table3[[#This Row],[Merged.End]]</f>
        <v>19749</v>
      </c>
    </row>
    <row r="29" spans="1:21" x14ac:dyDescent="0.25">
      <c r="A29">
        <v>28</v>
      </c>
      <c r="B29">
        <v>8</v>
      </c>
      <c r="C29" s="1" t="s">
        <v>865</v>
      </c>
      <c r="D29" t="s">
        <v>864</v>
      </c>
      <c r="E29" t="s">
        <v>866</v>
      </c>
      <c r="F29">
        <v>19740</v>
      </c>
      <c r="G29">
        <v>19768</v>
      </c>
      <c r="H29">
        <v>1</v>
      </c>
      <c r="I29">
        <v>19750</v>
      </c>
      <c r="J29">
        <v>19768</v>
      </c>
      <c r="K29">
        <f>IF(Table3[[#This Row],[NeedsAttention]]=1,Table3[[#This Row],[Start]],Table3[[#This Row],[StartN]])</f>
        <v>19750</v>
      </c>
      <c r="L29">
        <f>IF(Table3[[#This Row],[NeedsAttention]]=1,Table3[[#This Row],[End]],Table3[[#This Row],[EndN]])</f>
        <v>19768</v>
      </c>
      <c r="M29" t="b">
        <f>Table3[[#This Row],[Merged.Start]]=L28+1</f>
        <v>1</v>
      </c>
      <c r="O29">
        <f>Table3[[#This Row],[Section]]</f>
        <v>28</v>
      </c>
      <c r="P29">
        <f>Table3[[#This Row],[Canon]]</f>
        <v>8</v>
      </c>
      <c r="Q29" s="1" t="str">
        <f>Table3[[#This Row],[Reference]]</f>
        <v>3.11B-12</v>
      </c>
      <c r="R29" t="str">
        <f>Table3[[#This Row],[StartR]]</f>
        <v>MRK 3:11</v>
      </c>
      <c r="S29" t="str">
        <f>Table3[[#This Row],[EndR]]</f>
        <v>MRK 3:12</v>
      </c>
      <c r="T29">
        <f>Table3[[#This Row],[Merged.Start]]</f>
        <v>19750</v>
      </c>
      <c r="U29">
        <f>Table3[[#This Row],[Merged.End]]</f>
        <v>19768</v>
      </c>
    </row>
    <row r="30" spans="1:21" x14ac:dyDescent="0.25">
      <c r="A30">
        <v>29</v>
      </c>
      <c r="B30">
        <v>2</v>
      </c>
      <c r="C30" s="1" t="s">
        <v>867</v>
      </c>
      <c r="D30" t="s">
        <v>868</v>
      </c>
      <c r="E30" t="s">
        <v>869</v>
      </c>
      <c r="F30">
        <v>19769</v>
      </c>
      <c r="G30">
        <v>19810</v>
      </c>
      <c r="H30">
        <v>1</v>
      </c>
      <c r="I30">
        <v>19769</v>
      </c>
      <c r="J30">
        <v>19804</v>
      </c>
      <c r="K30">
        <f>IF(Table3[[#This Row],[NeedsAttention]]=1,Table3[[#This Row],[Start]],Table3[[#This Row],[StartN]])</f>
        <v>19769</v>
      </c>
      <c r="L30">
        <f>IF(Table3[[#This Row],[NeedsAttention]]=1,Table3[[#This Row],[End]],Table3[[#This Row],[EndN]])</f>
        <v>19804</v>
      </c>
      <c r="M30" t="b">
        <f>Table3[[#This Row],[Merged.Start]]=L29+1</f>
        <v>1</v>
      </c>
      <c r="O30">
        <f>Table3[[#This Row],[Section]]</f>
        <v>29</v>
      </c>
      <c r="P30">
        <f>Table3[[#This Row],[Canon]]</f>
        <v>2</v>
      </c>
      <c r="Q30" s="1" t="str">
        <f>Table3[[#This Row],[Reference]]</f>
        <v>3.13-16A</v>
      </c>
      <c r="R30" t="str">
        <f>Table3[[#This Row],[StartR]]</f>
        <v>MRK 3:13</v>
      </c>
      <c r="S30" t="str">
        <f>Table3[[#This Row],[EndR]]</f>
        <v>MRK 3:16</v>
      </c>
      <c r="T30">
        <f>Table3[[#This Row],[Merged.Start]]</f>
        <v>19769</v>
      </c>
      <c r="U30">
        <f>Table3[[#This Row],[Merged.End]]</f>
        <v>19804</v>
      </c>
    </row>
    <row r="31" spans="1:21" x14ac:dyDescent="0.25">
      <c r="A31">
        <v>30</v>
      </c>
      <c r="B31">
        <v>2</v>
      </c>
      <c r="C31" s="1" t="s">
        <v>870</v>
      </c>
      <c r="D31" t="s">
        <v>869</v>
      </c>
      <c r="E31" t="s">
        <v>871</v>
      </c>
      <c r="F31">
        <v>19801</v>
      </c>
      <c r="G31">
        <v>19858</v>
      </c>
      <c r="H31">
        <v>1</v>
      </c>
      <c r="I31">
        <v>19805</v>
      </c>
      <c r="J31">
        <v>19858</v>
      </c>
      <c r="K31">
        <f>IF(Table3[[#This Row],[NeedsAttention]]=1,Table3[[#This Row],[Start]],Table3[[#This Row],[StartN]])</f>
        <v>19805</v>
      </c>
      <c r="L31">
        <f>IF(Table3[[#This Row],[NeedsAttention]]=1,Table3[[#This Row],[End]],Table3[[#This Row],[EndN]])</f>
        <v>19858</v>
      </c>
      <c r="M31" t="b">
        <f>Table3[[#This Row],[Merged.Start]]=L30+1</f>
        <v>1</v>
      </c>
      <c r="O31">
        <f>Table3[[#This Row],[Section]]</f>
        <v>30</v>
      </c>
      <c r="P31">
        <f>Table3[[#This Row],[Canon]]</f>
        <v>2</v>
      </c>
      <c r="Q31" s="1" t="str">
        <f>Table3[[#This Row],[Reference]]</f>
        <v>3.16B-19</v>
      </c>
      <c r="R31" t="str">
        <f>Table3[[#This Row],[StartR]]</f>
        <v>MRK 3:16</v>
      </c>
      <c r="S31" t="str">
        <f>Table3[[#This Row],[EndR]]</f>
        <v>MRK 3:19</v>
      </c>
      <c r="T31">
        <f>Table3[[#This Row],[Merged.Start]]</f>
        <v>19805</v>
      </c>
      <c r="U31">
        <f>Table3[[#This Row],[Merged.End]]</f>
        <v>19858</v>
      </c>
    </row>
    <row r="32" spans="1:21" x14ac:dyDescent="0.25">
      <c r="A32">
        <v>31</v>
      </c>
      <c r="B32">
        <v>10</v>
      </c>
      <c r="C32" s="1" t="s">
        <v>872</v>
      </c>
      <c r="D32" t="s">
        <v>873</v>
      </c>
      <c r="E32" t="s">
        <v>874</v>
      </c>
      <c r="F32">
        <v>19859</v>
      </c>
      <c r="G32">
        <v>19886</v>
      </c>
      <c r="H32">
        <v>0</v>
      </c>
      <c r="K32">
        <f>IF(Table3[[#This Row],[NeedsAttention]]=1,Table3[[#This Row],[Start]],Table3[[#This Row],[StartN]])</f>
        <v>19859</v>
      </c>
      <c r="L32">
        <f>IF(Table3[[#This Row],[NeedsAttention]]=1,Table3[[#This Row],[End]],Table3[[#This Row],[EndN]])</f>
        <v>19886</v>
      </c>
      <c r="M32" t="b">
        <f>Table3[[#This Row],[Merged.Start]]=L31+1</f>
        <v>1</v>
      </c>
      <c r="O32">
        <f>Table3[[#This Row],[Section]]</f>
        <v>31</v>
      </c>
      <c r="P32">
        <f>Table3[[#This Row],[Canon]]</f>
        <v>10</v>
      </c>
      <c r="Q32" s="1" t="str">
        <f>Table3[[#This Row],[Reference]]</f>
        <v>3.20-21</v>
      </c>
      <c r="R32" t="str">
        <f>Table3[[#This Row],[StartR]]</f>
        <v>MRK 3:20</v>
      </c>
      <c r="S32" t="str">
        <f>Table3[[#This Row],[EndR]]</f>
        <v>MRK 3:21</v>
      </c>
      <c r="T32">
        <f>Table3[[#This Row],[Merged.Start]]</f>
        <v>19859</v>
      </c>
      <c r="U32">
        <f>Table3[[#This Row],[Merged.End]]</f>
        <v>19886</v>
      </c>
    </row>
    <row r="33" spans="1:21" x14ac:dyDescent="0.25">
      <c r="A33">
        <v>32</v>
      </c>
      <c r="B33">
        <v>2</v>
      </c>
      <c r="C33" s="1">
        <v>3.22</v>
      </c>
      <c r="D33" t="s">
        <v>875</v>
      </c>
      <c r="E33" t="s">
        <v>875</v>
      </c>
      <c r="F33">
        <v>19887</v>
      </c>
      <c r="G33">
        <v>19907</v>
      </c>
      <c r="H33">
        <v>0</v>
      </c>
      <c r="K33">
        <f>IF(Table3[[#This Row],[NeedsAttention]]=1,Table3[[#This Row],[Start]],Table3[[#This Row],[StartN]])</f>
        <v>19887</v>
      </c>
      <c r="L33">
        <f>IF(Table3[[#This Row],[NeedsAttention]]=1,Table3[[#This Row],[End]],Table3[[#This Row],[EndN]])</f>
        <v>19907</v>
      </c>
      <c r="M33" t="b">
        <f>Table3[[#This Row],[Merged.Start]]=L32+1</f>
        <v>1</v>
      </c>
      <c r="O33">
        <f>Table3[[#This Row],[Section]]</f>
        <v>32</v>
      </c>
      <c r="P33">
        <f>Table3[[#This Row],[Canon]]</f>
        <v>2</v>
      </c>
      <c r="Q33" s="1">
        <f>Table3[[#This Row],[Reference]]</f>
        <v>3.22</v>
      </c>
      <c r="R33" t="str">
        <f>Table3[[#This Row],[StartR]]</f>
        <v>MRK 3:22</v>
      </c>
      <c r="S33" t="str">
        <f>Table3[[#This Row],[EndR]]</f>
        <v>MRK 3:22</v>
      </c>
      <c r="T33">
        <f>Table3[[#This Row],[Merged.Start]]</f>
        <v>19887</v>
      </c>
      <c r="U33">
        <f>Table3[[#This Row],[Merged.End]]</f>
        <v>19907</v>
      </c>
    </row>
    <row r="34" spans="1:21" x14ac:dyDescent="0.25">
      <c r="A34">
        <v>33</v>
      </c>
      <c r="B34">
        <v>2</v>
      </c>
      <c r="C34" s="1" t="s">
        <v>876</v>
      </c>
      <c r="D34" t="s">
        <v>877</v>
      </c>
      <c r="E34" t="s">
        <v>878</v>
      </c>
      <c r="F34">
        <v>19908</v>
      </c>
      <c r="G34">
        <v>19983</v>
      </c>
      <c r="H34">
        <v>0</v>
      </c>
      <c r="K34">
        <f>IF(Table3[[#This Row],[NeedsAttention]]=1,Table3[[#This Row],[Start]],Table3[[#This Row],[StartN]])</f>
        <v>19908</v>
      </c>
      <c r="L34">
        <f>IF(Table3[[#This Row],[NeedsAttention]]=1,Table3[[#This Row],[End]],Table3[[#This Row],[EndN]])</f>
        <v>19983</v>
      </c>
      <c r="M34" t="b">
        <f>Table3[[#This Row],[Merged.Start]]=L33+1</f>
        <v>1</v>
      </c>
      <c r="O34">
        <f>Table3[[#This Row],[Section]]</f>
        <v>33</v>
      </c>
      <c r="P34">
        <f>Table3[[#This Row],[Canon]]</f>
        <v>2</v>
      </c>
      <c r="Q34" s="1" t="str">
        <f>Table3[[#This Row],[Reference]]</f>
        <v>3.23-27</v>
      </c>
      <c r="R34" t="str">
        <f>Table3[[#This Row],[StartR]]</f>
        <v>MRK 3:23</v>
      </c>
      <c r="S34" t="str">
        <f>Table3[[#This Row],[EndR]]</f>
        <v>MRK 3:27</v>
      </c>
      <c r="T34">
        <f>Table3[[#This Row],[Merged.Start]]</f>
        <v>19908</v>
      </c>
      <c r="U34">
        <f>Table3[[#This Row],[Merged.End]]</f>
        <v>19983</v>
      </c>
    </row>
    <row r="35" spans="1:21" x14ac:dyDescent="0.25">
      <c r="A35">
        <v>34</v>
      </c>
      <c r="B35">
        <v>2</v>
      </c>
      <c r="C35" s="1" t="s">
        <v>879</v>
      </c>
      <c r="D35" t="s">
        <v>880</v>
      </c>
      <c r="E35" t="s">
        <v>881</v>
      </c>
      <c r="F35">
        <v>19984</v>
      </c>
      <c r="G35">
        <v>20026</v>
      </c>
      <c r="H35">
        <v>0</v>
      </c>
      <c r="K35">
        <f>IF(Table3[[#This Row],[NeedsAttention]]=1,Table3[[#This Row],[Start]],Table3[[#This Row],[StartN]])</f>
        <v>19984</v>
      </c>
      <c r="L35">
        <f>IF(Table3[[#This Row],[NeedsAttention]]=1,Table3[[#This Row],[End]],Table3[[#This Row],[EndN]])</f>
        <v>20026</v>
      </c>
      <c r="M35" t="b">
        <f>Table3[[#This Row],[Merged.Start]]=L34+1</f>
        <v>1</v>
      </c>
      <c r="O35">
        <f>Table3[[#This Row],[Section]]</f>
        <v>34</v>
      </c>
      <c r="P35">
        <f>Table3[[#This Row],[Canon]]</f>
        <v>2</v>
      </c>
      <c r="Q35" s="1" t="str">
        <f>Table3[[#This Row],[Reference]]</f>
        <v>3.28-30</v>
      </c>
      <c r="R35" t="str">
        <f>Table3[[#This Row],[StartR]]</f>
        <v>MRK 3:28</v>
      </c>
      <c r="S35" t="str">
        <f>Table3[[#This Row],[EndR]]</f>
        <v>MRK 3:30</v>
      </c>
      <c r="T35">
        <f>Table3[[#This Row],[Merged.Start]]</f>
        <v>19984</v>
      </c>
      <c r="U35">
        <f>Table3[[#This Row],[Merged.End]]</f>
        <v>20026</v>
      </c>
    </row>
    <row r="36" spans="1:21" x14ac:dyDescent="0.25">
      <c r="A36">
        <v>35</v>
      </c>
      <c r="B36">
        <v>2</v>
      </c>
      <c r="C36" s="1" t="s">
        <v>882</v>
      </c>
      <c r="D36" t="s">
        <v>883</v>
      </c>
      <c r="E36" t="s">
        <v>884</v>
      </c>
      <c r="F36">
        <v>20027</v>
      </c>
      <c r="G36">
        <v>20107</v>
      </c>
      <c r="H36">
        <v>0</v>
      </c>
      <c r="K36">
        <f>IF(Table3[[#This Row],[NeedsAttention]]=1,Table3[[#This Row],[Start]],Table3[[#This Row],[StartN]])</f>
        <v>20027</v>
      </c>
      <c r="L36">
        <f>IF(Table3[[#This Row],[NeedsAttention]]=1,Table3[[#This Row],[End]],Table3[[#This Row],[EndN]])</f>
        <v>20107</v>
      </c>
      <c r="M36" t="b">
        <f>Table3[[#This Row],[Merged.Start]]=L35+1</f>
        <v>1</v>
      </c>
      <c r="O36">
        <f>Table3[[#This Row],[Section]]</f>
        <v>35</v>
      </c>
      <c r="P36">
        <f>Table3[[#This Row],[Canon]]</f>
        <v>2</v>
      </c>
      <c r="Q36" s="1" t="str">
        <f>Table3[[#This Row],[Reference]]</f>
        <v>3.31-35</v>
      </c>
      <c r="R36" t="str">
        <f>Table3[[#This Row],[StartR]]</f>
        <v>MRK 3:31</v>
      </c>
      <c r="S36" t="str">
        <f>Table3[[#This Row],[EndR]]</f>
        <v>MRK 3:35</v>
      </c>
      <c r="T36">
        <f>Table3[[#This Row],[Merged.Start]]</f>
        <v>20027</v>
      </c>
      <c r="U36">
        <f>Table3[[#This Row],[Merged.End]]</f>
        <v>20107</v>
      </c>
    </row>
    <row r="37" spans="1:21" x14ac:dyDescent="0.25">
      <c r="A37">
        <v>36</v>
      </c>
      <c r="B37">
        <v>2</v>
      </c>
      <c r="C37" s="1" t="s">
        <v>885</v>
      </c>
      <c r="D37" t="s">
        <v>886</v>
      </c>
      <c r="E37" t="s">
        <v>887</v>
      </c>
      <c r="F37">
        <v>20108</v>
      </c>
      <c r="G37">
        <v>20293</v>
      </c>
      <c r="H37">
        <v>1</v>
      </c>
      <c r="I37">
        <v>20108</v>
      </c>
      <c r="J37">
        <v>20284</v>
      </c>
      <c r="K37">
        <f>IF(Table3[[#This Row],[NeedsAttention]]=1,Table3[[#This Row],[Start]],Table3[[#This Row],[StartN]])</f>
        <v>20108</v>
      </c>
      <c r="L37">
        <f>IF(Table3[[#This Row],[NeedsAttention]]=1,Table3[[#This Row],[End]],Table3[[#This Row],[EndN]])</f>
        <v>20284</v>
      </c>
      <c r="M37" t="b">
        <f>Table3[[#This Row],[Merged.Start]]=L36+1</f>
        <v>1</v>
      </c>
      <c r="O37">
        <f>Table3[[#This Row],[Section]]</f>
        <v>36</v>
      </c>
      <c r="P37">
        <f>Table3[[#This Row],[Canon]]</f>
        <v>2</v>
      </c>
      <c r="Q37" s="1" t="str">
        <f>Table3[[#This Row],[Reference]]</f>
        <v>4.1-11B</v>
      </c>
      <c r="R37" t="str">
        <f>Table3[[#This Row],[StartR]]</f>
        <v>MRK 4:1</v>
      </c>
      <c r="S37" t="str">
        <f>Table3[[#This Row],[EndR]]</f>
        <v>MRK 4:11</v>
      </c>
      <c r="T37">
        <f>Table3[[#This Row],[Merged.Start]]</f>
        <v>20108</v>
      </c>
      <c r="U37">
        <f>Table3[[#This Row],[Merged.End]]</f>
        <v>20284</v>
      </c>
    </row>
    <row r="38" spans="1:21" x14ac:dyDescent="0.25">
      <c r="A38">
        <v>37</v>
      </c>
      <c r="B38">
        <v>1</v>
      </c>
      <c r="C38" s="1" t="s">
        <v>888</v>
      </c>
      <c r="D38" t="s">
        <v>887</v>
      </c>
      <c r="E38" t="s">
        <v>889</v>
      </c>
      <c r="F38">
        <v>20274</v>
      </c>
      <c r="G38">
        <v>20324</v>
      </c>
      <c r="H38">
        <v>1</v>
      </c>
      <c r="I38">
        <v>20285</v>
      </c>
      <c r="J38">
        <v>20324</v>
      </c>
      <c r="K38">
        <f>IF(Table3[[#This Row],[NeedsAttention]]=1,Table3[[#This Row],[Start]],Table3[[#This Row],[StartN]])</f>
        <v>20285</v>
      </c>
      <c r="L38">
        <f>IF(Table3[[#This Row],[NeedsAttention]]=1,Table3[[#This Row],[End]],Table3[[#This Row],[EndN]])</f>
        <v>20324</v>
      </c>
      <c r="M38" t="b">
        <f>Table3[[#This Row],[Merged.Start]]=L37+1</f>
        <v>1</v>
      </c>
      <c r="O38">
        <f>Table3[[#This Row],[Section]]</f>
        <v>37</v>
      </c>
      <c r="P38">
        <f>Table3[[#This Row],[Canon]]</f>
        <v>1</v>
      </c>
      <c r="Q38" s="1" t="str">
        <f>Table3[[#This Row],[Reference]]</f>
        <v>4.11C-13</v>
      </c>
      <c r="R38" t="str">
        <f>Table3[[#This Row],[StartR]]</f>
        <v>MRK 4:11</v>
      </c>
      <c r="S38" t="str">
        <f>Table3[[#This Row],[EndR]]</f>
        <v>MRK 4:13</v>
      </c>
      <c r="T38">
        <f>Table3[[#This Row],[Merged.Start]]</f>
        <v>20285</v>
      </c>
      <c r="U38">
        <f>Table3[[#This Row],[Merged.End]]</f>
        <v>20324</v>
      </c>
    </row>
    <row r="39" spans="1:21" x14ac:dyDescent="0.25">
      <c r="A39">
        <v>38</v>
      </c>
      <c r="B39">
        <v>2</v>
      </c>
      <c r="C39" s="1" t="s">
        <v>890</v>
      </c>
      <c r="D39" t="s">
        <v>891</v>
      </c>
      <c r="E39" t="s">
        <v>892</v>
      </c>
      <c r="F39">
        <v>20325</v>
      </c>
      <c r="G39">
        <v>20456</v>
      </c>
      <c r="H39">
        <v>0</v>
      </c>
      <c r="K39">
        <f>IF(Table3[[#This Row],[NeedsAttention]]=1,Table3[[#This Row],[Start]],Table3[[#This Row],[StartN]])</f>
        <v>20325</v>
      </c>
      <c r="L39">
        <f>IF(Table3[[#This Row],[NeedsAttention]]=1,Table3[[#This Row],[End]],Table3[[#This Row],[EndN]])</f>
        <v>20456</v>
      </c>
      <c r="M39" t="b">
        <f>Table3[[#This Row],[Merged.Start]]=L38+1</f>
        <v>1</v>
      </c>
      <c r="O39">
        <f>Table3[[#This Row],[Section]]</f>
        <v>38</v>
      </c>
      <c r="P39">
        <f>Table3[[#This Row],[Canon]]</f>
        <v>2</v>
      </c>
      <c r="Q39" s="1" t="str">
        <f>Table3[[#This Row],[Reference]]</f>
        <v>4.14-20</v>
      </c>
      <c r="R39" t="str">
        <f>Table3[[#This Row],[StartR]]</f>
        <v>MRK 4:14</v>
      </c>
      <c r="S39" t="str">
        <f>Table3[[#This Row],[EndR]]</f>
        <v>MRK 4:20</v>
      </c>
      <c r="T39">
        <f>Table3[[#This Row],[Merged.Start]]</f>
        <v>20325</v>
      </c>
      <c r="U39">
        <f>Table3[[#This Row],[Merged.End]]</f>
        <v>20456</v>
      </c>
    </row>
    <row r="40" spans="1:21" x14ac:dyDescent="0.25">
      <c r="A40">
        <v>39</v>
      </c>
      <c r="B40">
        <v>2</v>
      </c>
      <c r="C40" s="1">
        <v>4.21</v>
      </c>
      <c r="D40" t="s">
        <v>893</v>
      </c>
      <c r="E40" t="s">
        <v>893</v>
      </c>
      <c r="F40">
        <v>20457</v>
      </c>
      <c r="G40">
        <v>20478</v>
      </c>
      <c r="H40">
        <v>0</v>
      </c>
      <c r="K40">
        <f>IF(Table3[[#This Row],[NeedsAttention]]=1,Table3[[#This Row],[Start]],Table3[[#This Row],[StartN]])</f>
        <v>20457</v>
      </c>
      <c r="L40">
        <f>IF(Table3[[#This Row],[NeedsAttention]]=1,Table3[[#This Row],[End]],Table3[[#This Row],[EndN]])</f>
        <v>20478</v>
      </c>
      <c r="M40" t="b">
        <f>Table3[[#This Row],[Merged.Start]]=L39+1</f>
        <v>1</v>
      </c>
      <c r="O40">
        <f>Table3[[#This Row],[Section]]</f>
        <v>39</v>
      </c>
      <c r="P40">
        <f>Table3[[#This Row],[Canon]]</f>
        <v>2</v>
      </c>
      <c r="Q40" s="1">
        <f>Table3[[#This Row],[Reference]]</f>
        <v>4.21</v>
      </c>
      <c r="R40" t="str">
        <f>Table3[[#This Row],[StartR]]</f>
        <v>MRK 4:21</v>
      </c>
      <c r="S40" t="str">
        <f>Table3[[#This Row],[EndR]]</f>
        <v>MRK 4:21</v>
      </c>
      <c r="T40">
        <f>Table3[[#This Row],[Merged.Start]]</f>
        <v>20457</v>
      </c>
      <c r="U40">
        <f>Table3[[#This Row],[Merged.End]]</f>
        <v>20478</v>
      </c>
    </row>
    <row r="41" spans="1:21" x14ac:dyDescent="0.25">
      <c r="A41">
        <v>40</v>
      </c>
      <c r="B41">
        <v>2</v>
      </c>
      <c r="C41" s="1" t="s">
        <v>894</v>
      </c>
      <c r="D41" t="s">
        <v>895</v>
      </c>
      <c r="E41" t="s">
        <v>896</v>
      </c>
      <c r="F41">
        <v>20479</v>
      </c>
      <c r="G41">
        <v>20500</v>
      </c>
      <c r="H41">
        <v>0</v>
      </c>
      <c r="K41">
        <f>IF(Table3[[#This Row],[NeedsAttention]]=1,Table3[[#This Row],[Start]],Table3[[#This Row],[StartN]])</f>
        <v>20479</v>
      </c>
      <c r="L41">
        <f>IF(Table3[[#This Row],[NeedsAttention]]=1,Table3[[#This Row],[End]],Table3[[#This Row],[EndN]])</f>
        <v>20500</v>
      </c>
      <c r="M41" t="b">
        <f>Table3[[#This Row],[Merged.Start]]=L40+1</f>
        <v>1</v>
      </c>
      <c r="O41">
        <f>Table3[[#This Row],[Section]]</f>
        <v>40</v>
      </c>
      <c r="P41">
        <f>Table3[[#This Row],[Canon]]</f>
        <v>2</v>
      </c>
      <c r="Q41" s="1" t="str">
        <f>Table3[[#This Row],[Reference]]</f>
        <v>4.22-23</v>
      </c>
      <c r="R41" t="str">
        <f>Table3[[#This Row],[StartR]]</f>
        <v>MRK 4:22</v>
      </c>
      <c r="S41" t="str">
        <f>Table3[[#This Row],[EndR]]</f>
        <v>MRK 4:23</v>
      </c>
      <c r="T41">
        <f>Table3[[#This Row],[Merged.Start]]</f>
        <v>20479</v>
      </c>
      <c r="U41">
        <f>Table3[[#This Row],[Merged.End]]</f>
        <v>20500</v>
      </c>
    </row>
    <row r="42" spans="1:21" x14ac:dyDescent="0.25">
      <c r="A42">
        <v>41</v>
      </c>
      <c r="B42">
        <v>2</v>
      </c>
      <c r="C42" s="1">
        <v>4.24</v>
      </c>
      <c r="D42" t="s">
        <v>897</v>
      </c>
      <c r="E42" t="s">
        <v>897</v>
      </c>
      <c r="F42">
        <v>20501</v>
      </c>
      <c r="G42">
        <v>20515</v>
      </c>
      <c r="H42">
        <v>0</v>
      </c>
      <c r="K42">
        <f>IF(Table3[[#This Row],[NeedsAttention]]=1,Table3[[#This Row],[Start]],Table3[[#This Row],[StartN]])</f>
        <v>20501</v>
      </c>
      <c r="L42">
        <f>IF(Table3[[#This Row],[NeedsAttention]]=1,Table3[[#This Row],[End]],Table3[[#This Row],[EndN]])</f>
        <v>20515</v>
      </c>
      <c r="M42" t="b">
        <f>Table3[[#This Row],[Merged.Start]]=L41+1</f>
        <v>1</v>
      </c>
      <c r="O42">
        <f>Table3[[#This Row],[Section]]</f>
        <v>41</v>
      </c>
      <c r="P42">
        <f>Table3[[#This Row],[Canon]]</f>
        <v>2</v>
      </c>
      <c r="Q42" s="1">
        <f>Table3[[#This Row],[Reference]]</f>
        <v>4.24</v>
      </c>
      <c r="R42" t="str">
        <f>Table3[[#This Row],[StartR]]</f>
        <v>MRK 4:24</v>
      </c>
      <c r="S42" t="str">
        <f>Table3[[#This Row],[EndR]]</f>
        <v>MRK 4:24</v>
      </c>
      <c r="T42">
        <f>Table3[[#This Row],[Merged.Start]]</f>
        <v>20501</v>
      </c>
      <c r="U42">
        <f>Table3[[#This Row],[Merged.End]]</f>
        <v>20515</v>
      </c>
    </row>
    <row r="43" spans="1:21" x14ac:dyDescent="0.25">
      <c r="A43">
        <v>42</v>
      </c>
      <c r="B43">
        <v>2</v>
      </c>
      <c r="C43" s="1">
        <v>4.25</v>
      </c>
      <c r="D43" t="s">
        <v>898</v>
      </c>
      <c r="E43" t="s">
        <v>898</v>
      </c>
      <c r="F43">
        <v>20516</v>
      </c>
      <c r="G43">
        <v>20530</v>
      </c>
      <c r="H43">
        <v>0</v>
      </c>
      <c r="K43">
        <f>IF(Table3[[#This Row],[NeedsAttention]]=1,Table3[[#This Row],[Start]],Table3[[#This Row],[StartN]])</f>
        <v>20516</v>
      </c>
      <c r="L43">
        <f>IF(Table3[[#This Row],[NeedsAttention]]=1,Table3[[#This Row],[End]],Table3[[#This Row],[EndN]])</f>
        <v>20530</v>
      </c>
      <c r="M43" t="b">
        <f>Table3[[#This Row],[Merged.Start]]=L42+1</f>
        <v>1</v>
      </c>
      <c r="O43">
        <f>Table3[[#This Row],[Section]]</f>
        <v>42</v>
      </c>
      <c r="P43">
        <f>Table3[[#This Row],[Canon]]</f>
        <v>2</v>
      </c>
      <c r="Q43" s="1">
        <f>Table3[[#This Row],[Reference]]</f>
        <v>4.25</v>
      </c>
      <c r="R43" t="str">
        <f>Table3[[#This Row],[StartR]]</f>
        <v>MRK 4:25</v>
      </c>
      <c r="S43" t="str">
        <f>Table3[[#This Row],[EndR]]</f>
        <v>MRK 4:25</v>
      </c>
      <c r="T43">
        <f>Table3[[#This Row],[Merged.Start]]</f>
        <v>20516</v>
      </c>
      <c r="U43">
        <f>Table3[[#This Row],[Merged.End]]</f>
        <v>20530</v>
      </c>
    </row>
    <row r="44" spans="1:21" x14ac:dyDescent="0.25">
      <c r="A44">
        <v>43</v>
      </c>
      <c r="B44">
        <v>10</v>
      </c>
      <c r="C44" s="1" t="s">
        <v>899</v>
      </c>
      <c r="D44" t="s">
        <v>900</v>
      </c>
      <c r="E44" t="s">
        <v>901</v>
      </c>
      <c r="F44">
        <v>20531</v>
      </c>
      <c r="G44">
        <v>20590</v>
      </c>
      <c r="H44">
        <v>0</v>
      </c>
      <c r="K44">
        <f>IF(Table3[[#This Row],[NeedsAttention]]=1,Table3[[#This Row],[Start]],Table3[[#This Row],[StartN]])</f>
        <v>20531</v>
      </c>
      <c r="L44">
        <f>IF(Table3[[#This Row],[NeedsAttention]]=1,Table3[[#This Row],[End]],Table3[[#This Row],[EndN]])</f>
        <v>20590</v>
      </c>
      <c r="M44" t="b">
        <f>Table3[[#This Row],[Merged.Start]]=L43+1</f>
        <v>1</v>
      </c>
      <c r="O44">
        <f>Table3[[#This Row],[Section]]</f>
        <v>43</v>
      </c>
      <c r="P44">
        <f>Table3[[#This Row],[Canon]]</f>
        <v>10</v>
      </c>
      <c r="Q44" s="1" t="str">
        <f>Table3[[#This Row],[Reference]]</f>
        <v>4.26-29</v>
      </c>
      <c r="R44" t="str">
        <f>Table3[[#This Row],[StartR]]</f>
        <v>MRK 4:26</v>
      </c>
      <c r="S44" t="str">
        <f>Table3[[#This Row],[EndR]]</f>
        <v>MRK 4:29</v>
      </c>
      <c r="T44">
        <f>Table3[[#This Row],[Merged.Start]]</f>
        <v>20531</v>
      </c>
      <c r="U44">
        <f>Table3[[#This Row],[Merged.End]]</f>
        <v>20590</v>
      </c>
    </row>
    <row r="45" spans="1:21" x14ac:dyDescent="0.25">
      <c r="A45">
        <v>44</v>
      </c>
      <c r="B45">
        <v>2</v>
      </c>
      <c r="C45" s="1" t="s">
        <v>902</v>
      </c>
      <c r="D45" t="s">
        <v>903</v>
      </c>
      <c r="E45" t="s">
        <v>904</v>
      </c>
      <c r="F45">
        <v>20591</v>
      </c>
      <c r="G45">
        <v>20647</v>
      </c>
      <c r="H45">
        <v>0</v>
      </c>
      <c r="K45">
        <f>IF(Table3[[#This Row],[NeedsAttention]]=1,Table3[[#This Row],[Start]],Table3[[#This Row],[StartN]])</f>
        <v>20591</v>
      </c>
      <c r="L45">
        <f>IF(Table3[[#This Row],[NeedsAttention]]=1,Table3[[#This Row],[End]],Table3[[#This Row],[EndN]])</f>
        <v>20647</v>
      </c>
      <c r="M45" t="b">
        <f>Table3[[#This Row],[Merged.Start]]=L44+1</f>
        <v>1</v>
      </c>
      <c r="O45">
        <f>Table3[[#This Row],[Section]]</f>
        <v>44</v>
      </c>
      <c r="P45">
        <f>Table3[[#This Row],[Canon]]</f>
        <v>2</v>
      </c>
      <c r="Q45" s="1" t="str">
        <f>Table3[[#This Row],[Reference]]</f>
        <v>4.30-32</v>
      </c>
      <c r="R45" t="str">
        <f>Table3[[#This Row],[StartR]]</f>
        <v>MRK 4:30</v>
      </c>
      <c r="S45" t="str">
        <f>Table3[[#This Row],[EndR]]</f>
        <v>MRK 4:32</v>
      </c>
      <c r="T45">
        <f>Table3[[#This Row],[Merged.Start]]</f>
        <v>20591</v>
      </c>
      <c r="U45">
        <f>Table3[[#This Row],[Merged.End]]</f>
        <v>20647</v>
      </c>
    </row>
    <row r="46" spans="1:21" x14ac:dyDescent="0.25">
      <c r="A46">
        <v>45</v>
      </c>
      <c r="B46">
        <v>6</v>
      </c>
      <c r="C46" s="1" t="s">
        <v>905</v>
      </c>
      <c r="D46" t="s">
        <v>906</v>
      </c>
      <c r="E46" t="s">
        <v>907</v>
      </c>
      <c r="F46">
        <v>20648</v>
      </c>
      <c r="G46">
        <v>20672</v>
      </c>
      <c r="H46">
        <v>1</v>
      </c>
      <c r="I46">
        <v>20648</v>
      </c>
      <c r="J46">
        <v>20664</v>
      </c>
      <c r="K46">
        <f>IF(Table3[[#This Row],[NeedsAttention]]=1,Table3[[#This Row],[Start]],Table3[[#This Row],[StartN]])</f>
        <v>20648</v>
      </c>
      <c r="L46">
        <f>IF(Table3[[#This Row],[NeedsAttention]]=1,Table3[[#This Row],[End]],Table3[[#This Row],[EndN]])</f>
        <v>20664</v>
      </c>
      <c r="M46" t="b">
        <f>Table3[[#This Row],[Merged.Start]]=L45+1</f>
        <v>1</v>
      </c>
      <c r="O46">
        <f>Table3[[#This Row],[Section]]</f>
        <v>45</v>
      </c>
      <c r="P46">
        <f>Table3[[#This Row],[Canon]]</f>
        <v>6</v>
      </c>
      <c r="Q46" s="1" t="str">
        <f>Table3[[#This Row],[Reference]]</f>
        <v>4.33-34A</v>
      </c>
      <c r="R46" t="str">
        <f>Table3[[#This Row],[StartR]]</f>
        <v>MRK 4:33</v>
      </c>
      <c r="S46" t="str">
        <f>Table3[[#This Row],[EndR]]</f>
        <v>MRK 4:34</v>
      </c>
      <c r="T46">
        <f>Table3[[#This Row],[Merged.Start]]</f>
        <v>20648</v>
      </c>
      <c r="U46">
        <f>Table3[[#This Row],[Merged.End]]</f>
        <v>20664</v>
      </c>
    </row>
    <row r="47" spans="1:21" x14ac:dyDescent="0.25">
      <c r="A47">
        <v>46</v>
      </c>
      <c r="B47">
        <v>10</v>
      </c>
      <c r="C47" s="1" t="s">
        <v>908</v>
      </c>
      <c r="D47" t="s">
        <v>907</v>
      </c>
      <c r="E47" t="s">
        <v>907</v>
      </c>
      <c r="F47">
        <v>20659</v>
      </c>
      <c r="G47">
        <v>20672</v>
      </c>
      <c r="H47">
        <v>1</v>
      </c>
      <c r="I47">
        <v>20665</v>
      </c>
      <c r="J47">
        <v>20672</v>
      </c>
      <c r="K47">
        <f>IF(Table3[[#This Row],[NeedsAttention]]=1,Table3[[#This Row],[Start]],Table3[[#This Row],[StartN]])</f>
        <v>20665</v>
      </c>
      <c r="L47">
        <f>IF(Table3[[#This Row],[NeedsAttention]]=1,Table3[[#This Row],[End]],Table3[[#This Row],[EndN]])</f>
        <v>20672</v>
      </c>
      <c r="M47" t="b">
        <f>Table3[[#This Row],[Merged.Start]]=L46+1</f>
        <v>1</v>
      </c>
      <c r="O47">
        <f>Table3[[#This Row],[Section]]</f>
        <v>46</v>
      </c>
      <c r="P47">
        <f>Table3[[#This Row],[Canon]]</f>
        <v>10</v>
      </c>
      <c r="Q47" s="1" t="str">
        <f>Table3[[#This Row],[Reference]]</f>
        <v>4.34B</v>
      </c>
      <c r="R47" t="str">
        <f>Table3[[#This Row],[StartR]]</f>
        <v>MRK 4:34</v>
      </c>
      <c r="S47" t="str">
        <f>Table3[[#This Row],[EndR]]</f>
        <v>MRK 4:34</v>
      </c>
      <c r="T47">
        <f>Table3[[#This Row],[Merged.Start]]</f>
        <v>20665</v>
      </c>
      <c r="U47">
        <f>Table3[[#This Row],[Merged.End]]</f>
        <v>20672</v>
      </c>
    </row>
    <row r="48" spans="1:21" x14ac:dyDescent="0.25">
      <c r="A48">
        <v>47</v>
      </c>
      <c r="B48">
        <v>2</v>
      </c>
      <c r="C48" s="1" t="s">
        <v>909</v>
      </c>
      <c r="D48" t="s">
        <v>910</v>
      </c>
      <c r="E48" t="s">
        <v>911</v>
      </c>
      <c r="F48">
        <v>20673</v>
      </c>
      <c r="G48">
        <v>21059</v>
      </c>
      <c r="H48">
        <v>0</v>
      </c>
      <c r="K48">
        <f>IF(Table3[[#This Row],[NeedsAttention]]=1,Table3[[#This Row],[Start]],Table3[[#This Row],[StartN]])</f>
        <v>20673</v>
      </c>
      <c r="L48">
        <f>IF(Table3[[#This Row],[NeedsAttention]]=1,Table3[[#This Row],[End]],Table3[[#This Row],[EndN]])</f>
        <v>21059</v>
      </c>
      <c r="M48" t="b">
        <f>Table3[[#This Row],[Merged.Start]]=L47+1</f>
        <v>1</v>
      </c>
      <c r="O48">
        <f>Table3[[#This Row],[Section]]</f>
        <v>47</v>
      </c>
      <c r="P48">
        <f>Table3[[#This Row],[Canon]]</f>
        <v>2</v>
      </c>
      <c r="Q48" s="1" t="str">
        <f>Table3[[#This Row],[Reference]]</f>
        <v>4.35-5.17</v>
      </c>
      <c r="R48" t="str">
        <f>Table3[[#This Row],[StartR]]</f>
        <v>MRK 4:35</v>
      </c>
      <c r="S48" t="str">
        <f>Table3[[#This Row],[EndR]]</f>
        <v>MRK 5:17</v>
      </c>
      <c r="T48">
        <f>Table3[[#This Row],[Merged.Start]]</f>
        <v>20673</v>
      </c>
      <c r="U48">
        <f>Table3[[#This Row],[Merged.End]]</f>
        <v>21059</v>
      </c>
    </row>
    <row r="49" spans="1:21" x14ac:dyDescent="0.25">
      <c r="A49">
        <v>48</v>
      </c>
      <c r="B49">
        <v>8</v>
      </c>
      <c r="C49" s="1" t="s">
        <v>912</v>
      </c>
      <c r="D49" t="s">
        <v>913</v>
      </c>
      <c r="E49" t="s">
        <v>914</v>
      </c>
      <c r="F49">
        <v>21060</v>
      </c>
      <c r="G49">
        <v>21115</v>
      </c>
      <c r="H49">
        <v>0</v>
      </c>
      <c r="K49">
        <f>IF(Table3[[#This Row],[NeedsAttention]]=1,Table3[[#This Row],[Start]],Table3[[#This Row],[StartN]])</f>
        <v>21060</v>
      </c>
      <c r="L49">
        <f>IF(Table3[[#This Row],[NeedsAttention]]=1,Table3[[#This Row],[End]],Table3[[#This Row],[EndN]])</f>
        <v>21115</v>
      </c>
      <c r="M49" t="b">
        <f>Table3[[#This Row],[Merged.Start]]=L48+1</f>
        <v>1</v>
      </c>
      <c r="O49">
        <f>Table3[[#This Row],[Section]]</f>
        <v>48</v>
      </c>
      <c r="P49">
        <f>Table3[[#This Row],[Canon]]</f>
        <v>8</v>
      </c>
      <c r="Q49" s="1" t="str">
        <f>Table3[[#This Row],[Reference]]</f>
        <v>5.18-20</v>
      </c>
      <c r="R49" t="str">
        <f>Table3[[#This Row],[StartR]]</f>
        <v>MRK 5:18</v>
      </c>
      <c r="S49" t="str">
        <f>Table3[[#This Row],[EndR]]</f>
        <v>MRK 5:20</v>
      </c>
      <c r="T49">
        <f>Table3[[#This Row],[Merged.Start]]</f>
        <v>21060</v>
      </c>
      <c r="U49">
        <f>Table3[[#This Row],[Merged.End]]</f>
        <v>21115</v>
      </c>
    </row>
    <row r="50" spans="1:21" x14ac:dyDescent="0.25">
      <c r="A50">
        <v>49</v>
      </c>
      <c r="B50">
        <v>2</v>
      </c>
      <c r="C50" s="1" t="s">
        <v>915</v>
      </c>
      <c r="D50" t="s">
        <v>916</v>
      </c>
      <c r="E50" t="s">
        <v>917</v>
      </c>
      <c r="F50">
        <v>21116</v>
      </c>
      <c r="G50">
        <v>21488</v>
      </c>
      <c r="H50">
        <v>0</v>
      </c>
      <c r="K50">
        <f>IF(Table3[[#This Row],[NeedsAttention]]=1,Table3[[#This Row],[Start]],Table3[[#This Row],[StartN]])</f>
        <v>21116</v>
      </c>
      <c r="L50">
        <f>IF(Table3[[#This Row],[NeedsAttention]]=1,Table3[[#This Row],[End]],Table3[[#This Row],[EndN]])</f>
        <v>21488</v>
      </c>
      <c r="M50" t="b">
        <f>Table3[[#This Row],[Merged.Start]]=L49+1</f>
        <v>1</v>
      </c>
      <c r="O50">
        <f>Table3[[#This Row],[Section]]</f>
        <v>49</v>
      </c>
      <c r="P50">
        <f>Table3[[#This Row],[Canon]]</f>
        <v>2</v>
      </c>
      <c r="Q50" s="1" t="str">
        <f>Table3[[#This Row],[Reference]]</f>
        <v>5.21-43</v>
      </c>
      <c r="R50" t="str">
        <f>Table3[[#This Row],[StartR]]</f>
        <v>MRK 5:21</v>
      </c>
      <c r="S50" t="str">
        <f>Table3[[#This Row],[EndR]]</f>
        <v>MRK 5:43</v>
      </c>
      <c r="T50">
        <f>Table3[[#This Row],[Merged.Start]]</f>
        <v>21116</v>
      </c>
      <c r="U50">
        <f>Table3[[#This Row],[Merged.End]]</f>
        <v>21488</v>
      </c>
    </row>
    <row r="51" spans="1:21" x14ac:dyDescent="0.25">
      <c r="A51">
        <v>50</v>
      </c>
      <c r="B51">
        <v>1</v>
      </c>
      <c r="C51" s="1" t="s">
        <v>918</v>
      </c>
      <c r="D51" t="s">
        <v>919</v>
      </c>
      <c r="E51" t="s">
        <v>920</v>
      </c>
      <c r="F51">
        <v>21489</v>
      </c>
      <c r="G51">
        <v>21567</v>
      </c>
      <c r="H51">
        <v>0</v>
      </c>
      <c r="K51">
        <f>IF(Table3[[#This Row],[NeedsAttention]]=1,Table3[[#This Row],[Start]],Table3[[#This Row],[StartN]])</f>
        <v>21489</v>
      </c>
      <c r="L51">
        <f>IF(Table3[[#This Row],[NeedsAttention]]=1,Table3[[#This Row],[End]],Table3[[#This Row],[EndN]])</f>
        <v>21567</v>
      </c>
      <c r="M51" t="b">
        <f>Table3[[#This Row],[Merged.Start]]=L50+1</f>
        <v>1</v>
      </c>
      <c r="O51">
        <f>Table3[[#This Row],[Section]]</f>
        <v>50</v>
      </c>
      <c r="P51">
        <f>Table3[[#This Row],[Canon]]</f>
        <v>1</v>
      </c>
      <c r="Q51" s="1" t="str">
        <f>Table3[[#This Row],[Reference]]</f>
        <v>6.1-3</v>
      </c>
      <c r="R51" t="str">
        <f>Table3[[#This Row],[StartR]]</f>
        <v>MRK 6:1</v>
      </c>
      <c r="S51" t="str">
        <f>Table3[[#This Row],[EndR]]</f>
        <v>MRK 6:3</v>
      </c>
      <c r="T51">
        <f>Table3[[#This Row],[Merged.Start]]</f>
        <v>21489</v>
      </c>
      <c r="U51">
        <f>Table3[[#This Row],[Merged.End]]</f>
        <v>21567</v>
      </c>
    </row>
    <row r="52" spans="1:21" x14ac:dyDescent="0.25">
      <c r="A52">
        <v>51</v>
      </c>
      <c r="B52">
        <v>1</v>
      </c>
      <c r="C52" s="1" t="s">
        <v>921</v>
      </c>
      <c r="D52" t="s">
        <v>922</v>
      </c>
      <c r="E52" t="s">
        <v>923</v>
      </c>
      <c r="F52">
        <v>21568</v>
      </c>
      <c r="G52">
        <v>21620</v>
      </c>
      <c r="H52">
        <v>1</v>
      </c>
      <c r="I52">
        <v>21568</v>
      </c>
      <c r="J52">
        <v>21614</v>
      </c>
      <c r="K52">
        <f>IF(Table3[[#This Row],[NeedsAttention]]=1,Table3[[#This Row],[Start]],Table3[[#This Row],[StartN]])</f>
        <v>21568</v>
      </c>
      <c r="L52">
        <f>IF(Table3[[#This Row],[NeedsAttention]]=1,Table3[[#This Row],[End]],Table3[[#This Row],[EndN]])</f>
        <v>21614</v>
      </c>
      <c r="M52" t="b">
        <f>Table3[[#This Row],[Merged.Start]]=L51+1</f>
        <v>1</v>
      </c>
      <c r="O52">
        <f>Table3[[#This Row],[Section]]</f>
        <v>51</v>
      </c>
      <c r="P52">
        <f>Table3[[#This Row],[Canon]]</f>
        <v>1</v>
      </c>
      <c r="Q52" s="1" t="str">
        <f>Table3[[#This Row],[Reference]]</f>
        <v>6.4-6A</v>
      </c>
      <c r="R52" t="str">
        <f>Table3[[#This Row],[StartR]]</f>
        <v>MRK 6:4</v>
      </c>
      <c r="S52" t="str">
        <f>Table3[[#This Row],[EndR]]</f>
        <v>MRK 6:6</v>
      </c>
      <c r="T52">
        <f>Table3[[#This Row],[Merged.Start]]</f>
        <v>21568</v>
      </c>
      <c r="U52">
        <f>Table3[[#This Row],[Merged.End]]</f>
        <v>21614</v>
      </c>
    </row>
    <row r="53" spans="1:21" x14ac:dyDescent="0.25">
      <c r="A53">
        <v>52</v>
      </c>
      <c r="B53">
        <v>2</v>
      </c>
      <c r="C53" s="1" t="s">
        <v>924</v>
      </c>
      <c r="D53" t="s">
        <v>923</v>
      </c>
      <c r="E53" t="s">
        <v>923</v>
      </c>
      <c r="F53">
        <v>21609</v>
      </c>
      <c r="G53">
        <v>21620</v>
      </c>
      <c r="H53">
        <v>1</v>
      </c>
      <c r="I53">
        <v>21615</v>
      </c>
      <c r="J53">
        <v>21620</v>
      </c>
      <c r="K53">
        <f>IF(Table3[[#This Row],[NeedsAttention]]=1,Table3[[#This Row],[Start]],Table3[[#This Row],[StartN]])</f>
        <v>21615</v>
      </c>
      <c r="L53">
        <f>IF(Table3[[#This Row],[NeedsAttention]]=1,Table3[[#This Row],[End]],Table3[[#This Row],[EndN]])</f>
        <v>21620</v>
      </c>
      <c r="M53" t="b">
        <f>Table3[[#This Row],[Merged.Start]]=L52+1</f>
        <v>1</v>
      </c>
      <c r="O53">
        <f>Table3[[#This Row],[Section]]</f>
        <v>52</v>
      </c>
      <c r="P53">
        <f>Table3[[#This Row],[Canon]]</f>
        <v>2</v>
      </c>
      <c r="Q53" s="1" t="str">
        <f>Table3[[#This Row],[Reference]]</f>
        <v>6.6B</v>
      </c>
      <c r="R53" t="str">
        <f>Table3[[#This Row],[StartR]]</f>
        <v>MRK 6:6</v>
      </c>
      <c r="S53" t="str">
        <f>Table3[[#This Row],[EndR]]</f>
        <v>MRK 6:6</v>
      </c>
      <c r="T53">
        <f>Table3[[#This Row],[Merged.Start]]</f>
        <v>21615</v>
      </c>
      <c r="U53">
        <f>Table3[[#This Row],[Merged.End]]</f>
        <v>21620</v>
      </c>
    </row>
    <row r="54" spans="1:21" x14ac:dyDescent="0.25">
      <c r="A54">
        <v>53</v>
      </c>
      <c r="B54">
        <v>2</v>
      </c>
      <c r="C54" s="1" t="s">
        <v>925</v>
      </c>
      <c r="D54" t="s">
        <v>926</v>
      </c>
      <c r="E54" t="s">
        <v>927</v>
      </c>
      <c r="F54">
        <v>21621</v>
      </c>
      <c r="G54">
        <v>21667</v>
      </c>
      <c r="H54">
        <v>0</v>
      </c>
      <c r="K54">
        <f>IF(Table3[[#This Row],[NeedsAttention]]=1,Table3[[#This Row],[Start]],Table3[[#This Row],[StartN]])</f>
        <v>21621</v>
      </c>
      <c r="L54">
        <f>IF(Table3[[#This Row],[NeedsAttention]]=1,Table3[[#This Row],[End]],Table3[[#This Row],[EndN]])</f>
        <v>21667</v>
      </c>
      <c r="M54" t="b">
        <f>Table3[[#This Row],[Merged.Start]]=L53+1</f>
        <v>1</v>
      </c>
      <c r="O54">
        <f>Table3[[#This Row],[Section]]</f>
        <v>53</v>
      </c>
      <c r="P54">
        <f>Table3[[#This Row],[Canon]]</f>
        <v>2</v>
      </c>
      <c r="Q54" s="1" t="str">
        <f>Table3[[#This Row],[Reference]]</f>
        <v>6.7-9</v>
      </c>
      <c r="R54" t="str">
        <f>Table3[[#This Row],[StartR]]</f>
        <v>MRK 6:7</v>
      </c>
      <c r="S54" t="str">
        <f>Table3[[#This Row],[EndR]]</f>
        <v>MRK 6:9</v>
      </c>
      <c r="T54">
        <f>Table3[[#This Row],[Merged.Start]]</f>
        <v>21621</v>
      </c>
      <c r="U54">
        <f>Table3[[#This Row],[Merged.End]]</f>
        <v>21667</v>
      </c>
    </row>
    <row r="55" spans="1:21" x14ac:dyDescent="0.25">
      <c r="A55">
        <v>54</v>
      </c>
      <c r="B55">
        <v>2</v>
      </c>
      <c r="C55" s="1">
        <v>6.1</v>
      </c>
      <c r="D55" t="s">
        <v>2513</v>
      </c>
      <c r="E55" t="s">
        <v>2513</v>
      </c>
      <c r="F55" s="2">
        <v>21668</v>
      </c>
      <c r="G55" s="2">
        <v>21681</v>
      </c>
      <c r="H55">
        <v>0</v>
      </c>
      <c r="K55">
        <f>IF(Table3[[#This Row],[NeedsAttention]]=1,Table3[[#This Row],[Start]],Table3[[#This Row],[StartN]])</f>
        <v>21668</v>
      </c>
      <c r="L55">
        <f>IF(Table3[[#This Row],[NeedsAttention]]=1,Table3[[#This Row],[End]],Table3[[#This Row],[EndN]])</f>
        <v>21681</v>
      </c>
      <c r="M55" t="b">
        <f>Table3[[#This Row],[Merged.Start]]=L54+1</f>
        <v>1</v>
      </c>
      <c r="O55">
        <f>Table3[[#This Row],[Section]]</f>
        <v>54</v>
      </c>
      <c r="P55">
        <f>Table3[[#This Row],[Canon]]</f>
        <v>2</v>
      </c>
      <c r="Q55" s="1">
        <f>Table3[[#This Row],[Reference]]</f>
        <v>6.1</v>
      </c>
      <c r="R55" t="str">
        <f>Table3[[#This Row],[StartR]]</f>
        <v>MRK 6:10</v>
      </c>
      <c r="S55" t="str">
        <f>Table3[[#This Row],[EndR]]</f>
        <v>MRK 6:10</v>
      </c>
      <c r="T55">
        <f>Table3[[#This Row],[Merged.Start]]</f>
        <v>21668</v>
      </c>
      <c r="U55">
        <f>Table3[[#This Row],[Merged.End]]</f>
        <v>21681</v>
      </c>
    </row>
    <row r="56" spans="1:21" x14ac:dyDescent="0.25">
      <c r="A56">
        <v>55</v>
      </c>
      <c r="B56">
        <v>2</v>
      </c>
      <c r="C56" s="1">
        <v>6.11</v>
      </c>
      <c r="D56" t="s">
        <v>928</v>
      </c>
      <c r="E56" t="s">
        <v>928</v>
      </c>
      <c r="F56">
        <v>21682</v>
      </c>
      <c r="G56">
        <v>21704</v>
      </c>
      <c r="H56">
        <v>0</v>
      </c>
      <c r="K56">
        <f>IF(Table3[[#This Row],[NeedsAttention]]=1,Table3[[#This Row],[Start]],Table3[[#This Row],[StartN]])</f>
        <v>21682</v>
      </c>
      <c r="L56">
        <f>IF(Table3[[#This Row],[NeedsAttention]]=1,Table3[[#This Row],[End]],Table3[[#This Row],[EndN]])</f>
        <v>21704</v>
      </c>
      <c r="M56" t="b">
        <f>Table3[[#This Row],[Merged.Start]]=L55+1</f>
        <v>1</v>
      </c>
      <c r="O56">
        <f>Table3[[#This Row],[Section]]</f>
        <v>55</v>
      </c>
      <c r="P56">
        <f>Table3[[#This Row],[Canon]]</f>
        <v>2</v>
      </c>
      <c r="Q56" s="1">
        <f>Table3[[#This Row],[Reference]]</f>
        <v>6.11</v>
      </c>
      <c r="R56" t="str">
        <f>Table3[[#This Row],[StartR]]</f>
        <v>MRK 6:11</v>
      </c>
      <c r="S56" t="str">
        <f>Table3[[#This Row],[EndR]]</f>
        <v>MRK 6:11</v>
      </c>
      <c r="T56">
        <f>Table3[[#This Row],[Merged.Start]]</f>
        <v>21682</v>
      </c>
      <c r="U56">
        <f>Table3[[#This Row],[Merged.End]]</f>
        <v>21704</v>
      </c>
    </row>
    <row r="57" spans="1:21" x14ac:dyDescent="0.25">
      <c r="A57">
        <v>56</v>
      </c>
      <c r="B57">
        <v>8</v>
      </c>
      <c r="C57" s="1" t="s">
        <v>929</v>
      </c>
      <c r="D57" t="s">
        <v>930</v>
      </c>
      <c r="E57" t="s">
        <v>931</v>
      </c>
      <c r="F57">
        <v>21705</v>
      </c>
      <c r="G57">
        <v>21720</v>
      </c>
      <c r="H57">
        <v>0</v>
      </c>
      <c r="K57">
        <f>IF(Table3[[#This Row],[NeedsAttention]]=1,Table3[[#This Row],[Start]],Table3[[#This Row],[StartN]])</f>
        <v>21705</v>
      </c>
      <c r="L57">
        <f>IF(Table3[[#This Row],[NeedsAttention]]=1,Table3[[#This Row],[End]],Table3[[#This Row],[EndN]])</f>
        <v>21720</v>
      </c>
      <c r="M57" t="b">
        <f>Table3[[#This Row],[Merged.Start]]=L56+1</f>
        <v>1</v>
      </c>
      <c r="O57">
        <f>Table3[[#This Row],[Section]]</f>
        <v>56</v>
      </c>
      <c r="P57">
        <f>Table3[[#This Row],[Canon]]</f>
        <v>8</v>
      </c>
      <c r="Q57" s="1" t="str">
        <f>Table3[[#This Row],[Reference]]</f>
        <v>6.12-13</v>
      </c>
      <c r="R57" t="str">
        <f>Table3[[#This Row],[StartR]]</f>
        <v>MRK 6:12</v>
      </c>
      <c r="S57" t="str">
        <f>Table3[[#This Row],[EndR]]</f>
        <v>MRK 6:13</v>
      </c>
      <c r="T57">
        <f>Table3[[#This Row],[Merged.Start]]</f>
        <v>21705</v>
      </c>
      <c r="U57">
        <f>Table3[[#This Row],[Merged.End]]</f>
        <v>21720</v>
      </c>
    </row>
    <row r="58" spans="1:21" x14ac:dyDescent="0.25">
      <c r="A58">
        <v>57</v>
      </c>
      <c r="B58">
        <v>2</v>
      </c>
      <c r="C58" s="1">
        <v>6.14</v>
      </c>
      <c r="D58" t="s">
        <v>932</v>
      </c>
      <c r="E58" t="s">
        <v>932</v>
      </c>
      <c r="F58">
        <v>21721</v>
      </c>
      <c r="G58">
        <v>21748</v>
      </c>
      <c r="H58">
        <v>0</v>
      </c>
      <c r="K58">
        <f>IF(Table3[[#This Row],[NeedsAttention]]=1,Table3[[#This Row],[Start]],Table3[[#This Row],[StartN]])</f>
        <v>21721</v>
      </c>
      <c r="L58">
        <f>IF(Table3[[#This Row],[NeedsAttention]]=1,Table3[[#This Row],[End]],Table3[[#This Row],[EndN]])</f>
        <v>21748</v>
      </c>
      <c r="M58" t="b">
        <f>Table3[[#This Row],[Merged.Start]]=L57+1</f>
        <v>1</v>
      </c>
      <c r="O58">
        <f>Table3[[#This Row],[Section]]</f>
        <v>57</v>
      </c>
      <c r="P58">
        <f>Table3[[#This Row],[Canon]]</f>
        <v>2</v>
      </c>
      <c r="Q58" s="1">
        <f>Table3[[#This Row],[Reference]]</f>
        <v>6.14</v>
      </c>
      <c r="R58" t="str">
        <f>Table3[[#This Row],[StartR]]</f>
        <v>MRK 6:14</v>
      </c>
      <c r="S58" t="str">
        <f>Table3[[#This Row],[EndR]]</f>
        <v>MRK 6:14</v>
      </c>
      <c r="T58">
        <f>Table3[[#This Row],[Merged.Start]]</f>
        <v>21721</v>
      </c>
      <c r="U58">
        <f>Table3[[#This Row],[Merged.End]]</f>
        <v>21748</v>
      </c>
    </row>
    <row r="59" spans="1:21" x14ac:dyDescent="0.25">
      <c r="A59">
        <v>58</v>
      </c>
      <c r="B59">
        <v>10</v>
      </c>
      <c r="C59" s="1" t="s">
        <v>933</v>
      </c>
      <c r="D59" t="s">
        <v>934</v>
      </c>
      <c r="E59" t="s">
        <v>935</v>
      </c>
      <c r="F59">
        <v>21749</v>
      </c>
      <c r="G59">
        <v>21774</v>
      </c>
      <c r="H59">
        <v>0</v>
      </c>
      <c r="K59">
        <f>IF(Table3[[#This Row],[NeedsAttention]]=1,Table3[[#This Row],[Start]],Table3[[#This Row],[StartN]])</f>
        <v>21749</v>
      </c>
      <c r="L59">
        <f>IF(Table3[[#This Row],[NeedsAttention]]=1,Table3[[#This Row],[End]],Table3[[#This Row],[EndN]])</f>
        <v>21774</v>
      </c>
      <c r="M59" t="b">
        <f>Table3[[#This Row],[Merged.Start]]=L58+1</f>
        <v>1</v>
      </c>
      <c r="O59">
        <f>Table3[[#This Row],[Section]]</f>
        <v>58</v>
      </c>
      <c r="P59">
        <f>Table3[[#This Row],[Canon]]</f>
        <v>10</v>
      </c>
      <c r="Q59" s="1" t="str">
        <f>Table3[[#This Row],[Reference]]</f>
        <v>6.15-16</v>
      </c>
      <c r="R59" t="str">
        <f>Table3[[#This Row],[StartR]]</f>
        <v>MRK 6:15</v>
      </c>
      <c r="S59" t="str">
        <f>Table3[[#This Row],[EndR]]</f>
        <v>MRK 6:16</v>
      </c>
      <c r="T59">
        <f>Table3[[#This Row],[Merged.Start]]</f>
        <v>21749</v>
      </c>
      <c r="U59">
        <f>Table3[[#This Row],[Merged.End]]</f>
        <v>21774</v>
      </c>
    </row>
    <row r="60" spans="1:21" x14ac:dyDescent="0.25">
      <c r="A60">
        <v>59</v>
      </c>
      <c r="B60">
        <v>2</v>
      </c>
      <c r="C60" s="1">
        <v>6.17</v>
      </c>
      <c r="D60" t="s">
        <v>936</v>
      </c>
      <c r="E60" t="s">
        <v>936</v>
      </c>
      <c r="F60">
        <v>21775</v>
      </c>
      <c r="G60">
        <v>21798</v>
      </c>
      <c r="H60">
        <v>0</v>
      </c>
      <c r="K60">
        <f>IF(Table3[[#This Row],[NeedsAttention]]=1,Table3[[#This Row],[Start]],Table3[[#This Row],[StartN]])</f>
        <v>21775</v>
      </c>
      <c r="L60">
        <f>IF(Table3[[#This Row],[NeedsAttention]]=1,Table3[[#This Row],[End]],Table3[[#This Row],[EndN]])</f>
        <v>21798</v>
      </c>
      <c r="M60" t="b">
        <f>Table3[[#This Row],[Merged.Start]]=L59+1</f>
        <v>1</v>
      </c>
      <c r="O60">
        <f>Table3[[#This Row],[Section]]</f>
        <v>59</v>
      </c>
      <c r="P60">
        <f>Table3[[#This Row],[Canon]]</f>
        <v>2</v>
      </c>
      <c r="Q60" s="1">
        <f>Table3[[#This Row],[Reference]]</f>
        <v>6.17</v>
      </c>
      <c r="R60" t="str">
        <f>Table3[[#This Row],[StartR]]</f>
        <v>MRK 6:17</v>
      </c>
      <c r="S60" t="str">
        <f>Table3[[#This Row],[EndR]]</f>
        <v>MRK 6:17</v>
      </c>
      <c r="T60">
        <f>Table3[[#This Row],[Merged.Start]]</f>
        <v>21775</v>
      </c>
      <c r="U60">
        <f>Table3[[#This Row],[Merged.End]]</f>
        <v>21798</v>
      </c>
    </row>
    <row r="61" spans="1:21" x14ac:dyDescent="0.25">
      <c r="A61">
        <v>60</v>
      </c>
      <c r="B61">
        <v>6</v>
      </c>
      <c r="C61" s="1" t="s">
        <v>937</v>
      </c>
      <c r="D61" t="s">
        <v>938</v>
      </c>
      <c r="E61" t="s">
        <v>939</v>
      </c>
      <c r="F61">
        <v>21799</v>
      </c>
      <c r="G61">
        <v>22023</v>
      </c>
      <c r="H61">
        <v>0</v>
      </c>
      <c r="K61">
        <f>IF(Table3[[#This Row],[NeedsAttention]]=1,Table3[[#This Row],[Start]],Table3[[#This Row],[StartN]])</f>
        <v>21799</v>
      </c>
      <c r="L61">
        <f>IF(Table3[[#This Row],[NeedsAttention]]=1,Table3[[#This Row],[End]],Table3[[#This Row],[EndN]])</f>
        <v>22023</v>
      </c>
      <c r="M61" t="b">
        <f>Table3[[#This Row],[Merged.Start]]=L60+1</f>
        <v>1</v>
      </c>
      <c r="O61">
        <f>Table3[[#This Row],[Section]]</f>
        <v>60</v>
      </c>
      <c r="P61">
        <f>Table3[[#This Row],[Canon]]</f>
        <v>6</v>
      </c>
      <c r="Q61" s="1" t="str">
        <f>Table3[[#This Row],[Reference]]</f>
        <v>6.18-29</v>
      </c>
      <c r="R61" t="str">
        <f>Table3[[#This Row],[StartR]]</f>
        <v>MRK 6:18</v>
      </c>
      <c r="S61" t="str">
        <f>Table3[[#This Row],[EndR]]</f>
        <v>MRK 6:29</v>
      </c>
      <c r="T61">
        <f>Table3[[#This Row],[Merged.Start]]</f>
        <v>21799</v>
      </c>
      <c r="U61">
        <f>Table3[[#This Row],[Merged.End]]</f>
        <v>22023</v>
      </c>
    </row>
    <row r="62" spans="1:21" x14ac:dyDescent="0.25">
      <c r="A62">
        <v>61</v>
      </c>
      <c r="B62">
        <v>8</v>
      </c>
      <c r="C62" s="1">
        <v>6.3</v>
      </c>
      <c r="D62" t="s">
        <v>2514</v>
      </c>
      <c r="E62" t="s">
        <v>2514</v>
      </c>
      <c r="F62" s="2">
        <v>22024</v>
      </c>
      <c r="G62" s="2">
        <v>22039</v>
      </c>
      <c r="H62">
        <v>0</v>
      </c>
      <c r="K62">
        <f>IF(Table3[[#This Row],[NeedsAttention]]=1,Table3[[#This Row],[Start]],Table3[[#This Row],[StartN]])</f>
        <v>22024</v>
      </c>
      <c r="L62">
        <f>IF(Table3[[#This Row],[NeedsAttention]]=1,Table3[[#This Row],[End]],Table3[[#This Row],[EndN]])</f>
        <v>22039</v>
      </c>
      <c r="M62" t="b">
        <f>Table3[[#This Row],[Merged.Start]]=L61+1</f>
        <v>1</v>
      </c>
      <c r="O62">
        <f>Table3[[#This Row],[Section]]</f>
        <v>61</v>
      </c>
      <c r="P62">
        <f>Table3[[#This Row],[Canon]]</f>
        <v>8</v>
      </c>
      <c r="Q62" s="1">
        <f>Table3[[#This Row],[Reference]]</f>
        <v>6.3</v>
      </c>
      <c r="R62" t="str">
        <f>Table3[[#This Row],[StartR]]</f>
        <v>MRK 6:30</v>
      </c>
      <c r="S62" t="str">
        <f>Table3[[#This Row],[EndR]]</f>
        <v>MRK 6:30</v>
      </c>
      <c r="T62">
        <f>Table3[[#This Row],[Merged.Start]]</f>
        <v>22024</v>
      </c>
      <c r="U62">
        <f>Table3[[#This Row],[Merged.End]]</f>
        <v>22039</v>
      </c>
    </row>
    <row r="63" spans="1:21" x14ac:dyDescent="0.25">
      <c r="A63">
        <v>62</v>
      </c>
      <c r="B63">
        <v>10</v>
      </c>
      <c r="C63" s="1">
        <v>6.31</v>
      </c>
      <c r="D63" t="s">
        <v>940</v>
      </c>
      <c r="E63" t="s">
        <v>940</v>
      </c>
      <c r="F63">
        <v>22040</v>
      </c>
      <c r="G63">
        <v>22065</v>
      </c>
      <c r="H63">
        <v>0</v>
      </c>
      <c r="K63">
        <f>IF(Table3[[#This Row],[NeedsAttention]]=1,Table3[[#This Row],[Start]],Table3[[#This Row],[StartN]])</f>
        <v>22040</v>
      </c>
      <c r="L63">
        <f>IF(Table3[[#This Row],[NeedsAttention]]=1,Table3[[#This Row],[End]],Table3[[#This Row],[EndN]])</f>
        <v>22065</v>
      </c>
      <c r="M63" t="b">
        <f>Table3[[#This Row],[Merged.Start]]=L62+1</f>
        <v>1</v>
      </c>
      <c r="O63">
        <f>Table3[[#This Row],[Section]]</f>
        <v>62</v>
      </c>
      <c r="P63">
        <f>Table3[[#This Row],[Canon]]</f>
        <v>10</v>
      </c>
      <c r="Q63" s="1">
        <f>Table3[[#This Row],[Reference]]</f>
        <v>6.31</v>
      </c>
      <c r="R63" t="str">
        <f>Table3[[#This Row],[StartR]]</f>
        <v>MRK 6:31</v>
      </c>
      <c r="S63" t="str">
        <f>Table3[[#This Row],[EndR]]</f>
        <v>MRK 6:31</v>
      </c>
      <c r="T63">
        <f>Table3[[#This Row],[Merged.Start]]</f>
        <v>22040</v>
      </c>
      <c r="U63">
        <f>Table3[[#This Row],[Merged.End]]</f>
        <v>22065</v>
      </c>
    </row>
    <row r="64" spans="1:21" x14ac:dyDescent="0.25">
      <c r="A64">
        <v>63</v>
      </c>
      <c r="B64">
        <v>6</v>
      </c>
      <c r="C64" s="1" t="s">
        <v>941</v>
      </c>
      <c r="D64" t="s">
        <v>942</v>
      </c>
      <c r="E64" t="s">
        <v>943</v>
      </c>
      <c r="F64">
        <v>22066</v>
      </c>
      <c r="G64">
        <v>22114</v>
      </c>
      <c r="H64">
        <v>0</v>
      </c>
      <c r="K64">
        <f>IF(Table3[[#This Row],[NeedsAttention]]=1,Table3[[#This Row],[Start]],Table3[[#This Row],[StartN]])</f>
        <v>22066</v>
      </c>
      <c r="L64">
        <f>IF(Table3[[#This Row],[NeedsAttention]]=1,Table3[[#This Row],[End]],Table3[[#This Row],[EndN]])</f>
        <v>22114</v>
      </c>
      <c r="M64" t="b">
        <f>Table3[[#This Row],[Merged.Start]]=L63+1</f>
        <v>1</v>
      </c>
      <c r="O64">
        <f>Table3[[#This Row],[Section]]</f>
        <v>63</v>
      </c>
      <c r="P64">
        <f>Table3[[#This Row],[Canon]]</f>
        <v>6</v>
      </c>
      <c r="Q64" s="1" t="str">
        <f>Table3[[#This Row],[Reference]]</f>
        <v>6.32-34</v>
      </c>
      <c r="R64" t="str">
        <f>Table3[[#This Row],[StartR]]</f>
        <v>MRK 6:32</v>
      </c>
      <c r="S64" t="str">
        <f>Table3[[#This Row],[EndR]]</f>
        <v>MRK 6:34</v>
      </c>
      <c r="T64">
        <f>Table3[[#This Row],[Merged.Start]]</f>
        <v>22066</v>
      </c>
      <c r="U64">
        <f>Table3[[#This Row],[Merged.End]]</f>
        <v>22114</v>
      </c>
    </row>
    <row r="65" spans="1:21" x14ac:dyDescent="0.25">
      <c r="A65">
        <v>64</v>
      </c>
      <c r="B65">
        <v>1</v>
      </c>
      <c r="C65" s="1" t="s">
        <v>944</v>
      </c>
      <c r="D65" t="s">
        <v>945</v>
      </c>
      <c r="E65" t="s">
        <v>946</v>
      </c>
      <c r="F65">
        <v>22115</v>
      </c>
      <c r="G65">
        <v>22260</v>
      </c>
      <c r="H65">
        <v>0</v>
      </c>
      <c r="K65">
        <f>IF(Table3[[#This Row],[NeedsAttention]]=1,Table3[[#This Row],[Start]],Table3[[#This Row],[StartN]])</f>
        <v>22115</v>
      </c>
      <c r="L65">
        <f>IF(Table3[[#This Row],[NeedsAttention]]=1,Table3[[#This Row],[End]],Table3[[#This Row],[EndN]])</f>
        <v>22260</v>
      </c>
      <c r="M65" t="b">
        <f>Table3[[#This Row],[Merged.Start]]=L64+1</f>
        <v>1</v>
      </c>
      <c r="O65">
        <f>Table3[[#This Row],[Section]]</f>
        <v>64</v>
      </c>
      <c r="P65">
        <f>Table3[[#This Row],[Canon]]</f>
        <v>1</v>
      </c>
      <c r="Q65" s="1" t="str">
        <f>Table3[[#This Row],[Reference]]</f>
        <v>6.35-44</v>
      </c>
      <c r="R65" t="str">
        <f>Table3[[#This Row],[StartR]]</f>
        <v>MRK 6:35</v>
      </c>
      <c r="S65" t="str">
        <f>Table3[[#This Row],[EndR]]</f>
        <v>MRK 6:44</v>
      </c>
      <c r="T65">
        <f>Table3[[#This Row],[Merged.Start]]</f>
        <v>22115</v>
      </c>
      <c r="U65">
        <f>Table3[[#This Row],[Merged.End]]</f>
        <v>22260</v>
      </c>
    </row>
    <row r="66" spans="1:21" x14ac:dyDescent="0.25">
      <c r="A66">
        <v>65</v>
      </c>
      <c r="B66">
        <v>6</v>
      </c>
      <c r="C66" s="1">
        <v>6.45</v>
      </c>
      <c r="D66" t="s">
        <v>947</v>
      </c>
      <c r="E66" t="s">
        <v>947</v>
      </c>
      <c r="F66">
        <v>22261</v>
      </c>
      <c r="G66">
        <v>22282</v>
      </c>
      <c r="H66">
        <v>0</v>
      </c>
      <c r="K66">
        <f>IF(Table3[[#This Row],[NeedsAttention]]=1,Table3[[#This Row],[Start]],Table3[[#This Row],[StartN]])</f>
        <v>22261</v>
      </c>
      <c r="L66">
        <f>IF(Table3[[#This Row],[NeedsAttention]]=1,Table3[[#This Row],[End]],Table3[[#This Row],[EndN]])</f>
        <v>22282</v>
      </c>
      <c r="M66" t="b">
        <f>Table3[[#This Row],[Merged.Start]]=L65+1</f>
        <v>1</v>
      </c>
      <c r="O66">
        <f>Table3[[#This Row],[Section]]</f>
        <v>65</v>
      </c>
      <c r="P66">
        <f>Table3[[#This Row],[Canon]]</f>
        <v>6</v>
      </c>
      <c r="Q66" s="1">
        <f>Table3[[#This Row],[Reference]]</f>
        <v>6.45</v>
      </c>
      <c r="R66" t="str">
        <f>Table3[[#This Row],[StartR]]</f>
        <v>MRK 6:45</v>
      </c>
      <c r="S66" t="str">
        <f>Table3[[#This Row],[EndR]]</f>
        <v>MRK 6:45</v>
      </c>
      <c r="T66">
        <f>Table3[[#This Row],[Merged.Start]]</f>
        <v>22261</v>
      </c>
      <c r="U66">
        <f>Table3[[#This Row],[Merged.End]]</f>
        <v>22282</v>
      </c>
    </row>
    <row r="67" spans="1:21" x14ac:dyDescent="0.25">
      <c r="A67">
        <v>66</v>
      </c>
      <c r="B67">
        <v>2</v>
      </c>
      <c r="C67" s="1">
        <v>6.46</v>
      </c>
      <c r="D67" t="s">
        <v>948</v>
      </c>
      <c r="E67" t="s">
        <v>948</v>
      </c>
      <c r="F67">
        <v>22283</v>
      </c>
      <c r="G67">
        <v>22290</v>
      </c>
      <c r="H67">
        <v>0</v>
      </c>
      <c r="K67">
        <f>IF(Table3[[#This Row],[NeedsAttention]]=1,Table3[[#This Row],[Start]],Table3[[#This Row],[StartN]])</f>
        <v>22283</v>
      </c>
      <c r="L67">
        <f>IF(Table3[[#This Row],[NeedsAttention]]=1,Table3[[#This Row],[End]],Table3[[#This Row],[EndN]])</f>
        <v>22290</v>
      </c>
      <c r="M67" t="b">
        <f>Table3[[#This Row],[Merged.Start]]=L66+1</f>
        <v>1</v>
      </c>
      <c r="O67">
        <f>Table3[[#This Row],[Section]]</f>
        <v>66</v>
      </c>
      <c r="P67">
        <f>Table3[[#This Row],[Canon]]</f>
        <v>2</v>
      </c>
      <c r="Q67" s="1">
        <f>Table3[[#This Row],[Reference]]</f>
        <v>6.46</v>
      </c>
      <c r="R67" t="str">
        <f>Table3[[#This Row],[StartR]]</f>
        <v>MRK 6:46</v>
      </c>
      <c r="S67" t="str">
        <f>Table3[[#This Row],[EndR]]</f>
        <v>MRK 6:46</v>
      </c>
      <c r="T67">
        <f>Table3[[#This Row],[Merged.Start]]</f>
        <v>22283</v>
      </c>
      <c r="U67">
        <f>Table3[[#This Row],[Merged.End]]</f>
        <v>22290</v>
      </c>
    </row>
    <row r="68" spans="1:21" x14ac:dyDescent="0.25">
      <c r="A68">
        <v>67</v>
      </c>
      <c r="B68">
        <v>4</v>
      </c>
      <c r="C68" s="1" t="s">
        <v>949</v>
      </c>
      <c r="D68" t="s">
        <v>950</v>
      </c>
      <c r="E68" t="s">
        <v>951</v>
      </c>
      <c r="F68">
        <v>22291</v>
      </c>
      <c r="G68">
        <v>22369</v>
      </c>
      <c r="H68">
        <v>0</v>
      </c>
      <c r="K68">
        <f>IF(Table3[[#This Row],[NeedsAttention]]=1,Table3[[#This Row],[Start]],Table3[[#This Row],[StartN]])</f>
        <v>22291</v>
      </c>
      <c r="L68">
        <f>IF(Table3[[#This Row],[NeedsAttention]]=1,Table3[[#This Row],[End]],Table3[[#This Row],[EndN]])</f>
        <v>22369</v>
      </c>
      <c r="M68" t="b">
        <f>Table3[[#This Row],[Merged.Start]]=L67+1</f>
        <v>1</v>
      </c>
      <c r="O68">
        <f>Table3[[#This Row],[Section]]</f>
        <v>67</v>
      </c>
      <c r="P68">
        <f>Table3[[#This Row],[Canon]]</f>
        <v>4</v>
      </c>
      <c r="Q68" s="1" t="str">
        <f>Table3[[#This Row],[Reference]]</f>
        <v>6.47-50</v>
      </c>
      <c r="R68" t="str">
        <f>Table3[[#This Row],[StartR]]</f>
        <v>MRK 6:47</v>
      </c>
      <c r="S68" t="str">
        <f>Table3[[#This Row],[EndR]]</f>
        <v>MRK 6:50</v>
      </c>
      <c r="T68">
        <f>Table3[[#This Row],[Merged.Start]]</f>
        <v>22291</v>
      </c>
      <c r="U68">
        <f>Table3[[#This Row],[Merged.End]]</f>
        <v>22369</v>
      </c>
    </row>
    <row r="69" spans="1:21" x14ac:dyDescent="0.25">
      <c r="A69">
        <v>68</v>
      </c>
      <c r="B69">
        <v>6</v>
      </c>
      <c r="C69" s="1" t="s">
        <v>952</v>
      </c>
      <c r="D69" t="s">
        <v>953</v>
      </c>
      <c r="E69" t="s">
        <v>954</v>
      </c>
      <c r="F69">
        <v>22370</v>
      </c>
      <c r="G69">
        <v>22409</v>
      </c>
      <c r="H69">
        <v>0</v>
      </c>
      <c r="K69">
        <f>IF(Table3[[#This Row],[NeedsAttention]]=1,Table3[[#This Row],[Start]],Table3[[#This Row],[StartN]])</f>
        <v>22370</v>
      </c>
      <c r="L69">
        <f>IF(Table3[[#This Row],[NeedsAttention]]=1,Table3[[#This Row],[End]],Table3[[#This Row],[EndN]])</f>
        <v>22409</v>
      </c>
      <c r="M69" t="b">
        <f>Table3[[#This Row],[Merged.Start]]=L68+1</f>
        <v>1</v>
      </c>
      <c r="O69">
        <f>Table3[[#This Row],[Section]]</f>
        <v>68</v>
      </c>
      <c r="P69">
        <f>Table3[[#This Row],[Canon]]</f>
        <v>6</v>
      </c>
      <c r="Q69" s="1" t="str">
        <f>Table3[[#This Row],[Reference]]</f>
        <v>6.51-53</v>
      </c>
      <c r="R69" t="str">
        <f>Table3[[#This Row],[StartR]]</f>
        <v>MRK 6:51</v>
      </c>
      <c r="S69" t="str">
        <f>Table3[[#This Row],[EndR]]</f>
        <v>MRK 6:53</v>
      </c>
      <c r="T69">
        <f>Table3[[#This Row],[Merged.Start]]</f>
        <v>22370</v>
      </c>
      <c r="U69">
        <f>Table3[[#This Row],[Merged.End]]</f>
        <v>22409</v>
      </c>
    </row>
    <row r="70" spans="1:21" x14ac:dyDescent="0.25">
      <c r="A70">
        <v>69</v>
      </c>
      <c r="B70">
        <v>2</v>
      </c>
      <c r="C70" s="1" t="s">
        <v>955</v>
      </c>
      <c r="D70" t="s">
        <v>956</v>
      </c>
      <c r="E70" t="s">
        <v>957</v>
      </c>
      <c r="F70">
        <v>22410</v>
      </c>
      <c r="G70">
        <v>22471</v>
      </c>
      <c r="H70">
        <v>0</v>
      </c>
      <c r="K70">
        <f>IF(Table3[[#This Row],[NeedsAttention]]=1,Table3[[#This Row],[Start]],Table3[[#This Row],[StartN]])</f>
        <v>22410</v>
      </c>
      <c r="L70">
        <f>IF(Table3[[#This Row],[NeedsAttention]]=1,Table3[[#This Row],[End]],Table3[[#This Row],[EndN]])</f>
        <v>22471</v>
      </c>
      <c r="M70" t="b">
        <f>Table3[[#This Row],[Merged.Start]]=L69+1</f>
        <v>1</v>
      </c>
      <c r="O70">
        <f>Table3[[#This Row],[Section]]</f>
        <v>69</v>
      </c>
      <c r="P70">
        <f>Table3[[#This Row],[Canon]]</f>
        <v>2</v>
      </c>
      <c r="Q70" s="1" t="str">
        <f>Table3[[#This Row],[Reference]]</f>
        <v>6.54-56</v>
      </c>
      <c r="R70" t="str">
        <f>Table3[[#This Row],[StartR]]</f>
        <v>MRK 6:54</v>
      </c>
      <c r="S70" t="str">
        <f>Table3[[#This Row],[EndR]]</f>
        <v>MRK 6:56</v>
      </c>
      <c r="T70">
        <f>Table3[[#This Row],[Merged.Start]]</f>
        <v>22410</v>
      </c>
      <c r="U70">
        <f>Table3[[#This Row],[Merged.End]]</f>
        <v>22471</v>
      </c>
    </row>
    <row r="71" spans="1:21" x14ac:dyDescent="0.25">
      <c r="A71">
        <v>70</v>
      </c>
      <c r="B71">
        <v>10</v>
      </c>
      <c r="C71" s="1" t="s">
        <v>958</v>
      </c>
      <c r="D71" t="s">
        <v>959</v>
      </c>
      <c r="E71" t="s">
        <v>960</v>
      </c>
      <c r="F71">
        <v>22472</v>
      </c>
      <c r="G71">
        <v>22542</v>
      </c>
      <c r="H71">
        <v>0</v>
      </c>
      <c r="K71">
        <f>IF(Table3[[#This Row],[NeedsAttention]]=1,Table3[[#This Row],[Start]],Table3[[#This Row],[StartN]])</f>
        <v>22472</v>
      </c>
      <c r="L71">
        <f>IF(Table3[[#This Row],[NeedsAttention]]=1,Table3[[#This Row],[End]],Table3[[#This Row],[EndN]])</f>
        <v>22542</v>
      </c>
      <c r="M71" t="b">
        <f>Table3[[#This Row],[Merged.Start]]=L70+1</f>
        <v>1</v>
      </c>
      <c r="O71">
        <f>Table3[[#This Row],[Section]]</f>
        <v>70</v>
      </c>
      <c r="P71">
        <f>Table3[[#This Row],[Canon]]</f>
        <v>10</v>
      </c>
      <c r="Q71" s="1" t="str">
        <f>Table3[[#This Row],[Reference]]</f>
        <v>7.1-4</v>
      </c>
      <c r="R71" t="str">
        <f>Table3[[#This Row],[StartR]]</f>
        <v>MRK 7:1</v>
      </c>
      <c r="S71" t="str">
        <f>Table3[[#This Row],[EndR]]</f>
        <v>MRK 7:4</v>
      </c>
      <c r="T71">
        <f>Table3[[#This Row],[Merged.Start]]</f>
        <v>22472</v>
      </c>
      <c r="U71">
        <f>Table3[[#This Row],[Merged.End]]</f>
        <v>22542</v>
      </c>
    </row>
    <row r="72" spans="1:21" x14ac:dyDescent="0.25">
      <c r="A72">
        <v>71</v>
      </c>
      <c r="B72">
        <v>6</v>
      </c>
      <c r="C72" s="1" t="s">
        <v>961</v>
      </c>
      <c r="D72" t="s">
        <v>962</v>
      </c>
      <c r="E72" t="s">
        <v>2515</v>
      </c>
      <c r="F72">
        <v>22543</v>
      </c>
      <c r="G72" s="2">
        <v>22728</v>
      </c>
      <c r="H72">
        <v>0</v>
      </c>
      <c r="K72">
        <f>IF(Table3[[#This Row],[NeedsAttention]]=1,Table3[[#This Row],[Start]],Table3[[#This Row],[StartN]])</f>
        <v>22543</v>
      </c>
      <c r="L72">
        <f>IF(Table3[[#This Row],[NeedsAttention]]=1,Table3[[#This Row],[End]],Table3[[#This Row],[EndN]])</f>
        <v>22728</v>
      </c>
      <c r="M72" t="b">
        <f>Table3[[#This Row],[Merged.Start]]=L71+1</f>
        <v>1</v>
      </c>
      <c r="O72">
        <f>Table3[[#This Row],[Section]]</f>
        <v>71</v>
      </c>
      <c r="P72">
        <f>Table3[[#This Row],[Canon]]</f>
        <v>6</v>
      </c>
      <c r="Q72" s="1" t="str">
        <f>Table3[[#This Row],[Reference]]</f>
        <v>7.5-16</v>
      </c>
      <c r="R72" t="str">
        <f>Table3[[#This Row],[StartR]]</f>
        <v>MRK 7:5</v>
      </c>
      <c r="S72" t="str">
        <f>Table3[[#This Row],[EndR]]</f>
        <v>MRK 7:15</v>
      </c>
      <c r="T72">
        <f>Table3[[#This Row],[Merged.Start]]</f>
        <v>22543</v>
      </c>
      <c r="U72">
        <f>Table3[[#This Row],[Merged.End]]</f>
        <v>22728</v>
      </c>
    </row>
    <row r="73" spans="1:21" x14ac:dyDescent="0.25">
      <c r="A73">
        <v>72</v>
      </c>
      <c r="B73">
        <v>6</v>
      </c>
      <c r="C73" s="1" t="s">
        <v>963</v>
      </c>
      <c r="D73" t="s">
        <v>964</v>
      </c>
      <c r="E73" t="s">
        <v>965</v>
      </c>
      <c r="F73">
        <v>22729</v>
      </c>
      <c r="G73">
        <v>22889</v>
      </c>
      <c r="H73">
        <v>1</v>
      </c>
      <c r="I73">
        <v>22729</v>
      </c>
      <c r="J73">
        <v>22878</v>
      </c>
      <c r="K73">
        <f>IF(Table3[[#This Row],[NeedsAttention]]=1,Table3[[#This Row],[Start]],Table3[[#This Row],[StartN]])</f>
        <v>22729</v>
      </c>
      <c r="L73">
        <f>IF(Table3[[#This Row],[NeedsAttention]]=1,Table3[[#This Row],[End]],Table3[[#This Row],[EndN]])</f>
        <v>22878</v>
      </c>
      <c r="M73" t="b">
        <f>Table3[[#This Row],[Merged.Start]]=L72+1</f>
        <v>1</v>
      </c>
      <c r="O73">
        <f>Table3[[#This Row],[Section]]</f>
        <v>72</v>
      </c>
      <c r="P73">
        <f>Table3[[#This Row],[Canon]]</f>
        <v>6</v>
      </c>
      <c r="Q73" s="1" t="str">
        <f>Table3[[#This Row],[Reference]]</f>
        <v>7.17-26A</v>
      </c>
      <c r="R73" t="str">
        <f>Table3[[#This Row],[StartR]]</f>
        <v>MRK 7:17</v>
      </c>
      <c r="S73" t="str">
        <f>Table3[[#This Row],[EndR]]</f>
        <v>MRK 7:26</v>
      </c>
      <c r="T73">
        <f>Table3[[#This Row],[Merged.Start]]</f>
        <v>22729</v>
      </c>
      <c r="U73">
        <f>Table3[[#This Row],[Merged.End]]</f>
        <v>22878</v>
      </c>
    </row>
    <row r="74" spans="1:21" x14ac:dyDescent="0.25">
      <c r="A74">
        <v>73</v>
      </c>
      <c r="B74">
        <v>6</v>
      </c>
      <c r="C74" s="1" t="s">
        <v>966</v>
      </c>
      <c r="D74" t="s">
        <v>965</v>
      </c>
      <c r="E74" t="s">
        <v>967</v>
      </c>
      <c r="F74">
        <v>22871</v>
      </c>
      <c r="G74">
        <v>22961</v>
      </c>
      <c r="H74">
        <v>1</v>
      </c>
      <c r="I74">
        <v>22879</v>
      </c>
      <c r="J74">
        <v>22961</v>
      </c>
      <c r="K74">
        <f>IF(Table3[[#This Row],[NeedsAttention]]=1,Table3[[#This Row],[Start]],Table3[[#This Row],[StartN]])</f>
        <v>22879</v>
      </c>
      <c r="L74">
        <f>IF(Table3[[#This Row],[NeedsAttention]]=1,Table3[[#This Row],[End]],Table3[[#This Row],[EndN]])</f>
        <v>22961</v>
      </c>
      <c r="M74" t="b">
        <f>Table3[[#This Row],[Merged.Start]]=L73+1</f>
        <v>1</v>
      </c>
      <c r="O74">
        <f>Table3[[#This Row],[Section]]</f>
        <v>73</v>
      </c>
      <c r="P74">
        <f>Table3[[#This Row],[Canon]]</f>
        <v>6</v>
      </c>
      <c r="Q74" s="1" t="str">
        <f>Table3[[#This Row],[Reference]]</f>
        <v>7.26B-30</v>
      </c>
      <c r="R74" t="str">
        <f>Table3[[#This Row],[StartR]]</f>
        <v>MRK 7:26</v>
      </c>
      <c r="S74" t="str">
        <f>Table3[[#This Row],[EndR]]</f>
        <v>MRK 7:30</v>
      </c>
      <c r="T74">
        <f>Table3[[#This Row],[Merged.Start]]</f>
        <v>22879</v>
      </c>
      <c r="U74">
        <f>Table3[[#This Row],[Merged.End]]</f>
        <v>22961</v>
      </c>
    </row>
    <row r="75" spans="1:21" x14ac:dyDescent="0.25">
      <c r="A75">
        <v>74</v>
      </c>
      <c r="B75">
        <v>10</v>
      </c>
      <c r="C75" s="1" t="s">
        <v>968</v>
      </c>
      <c r="D75" t="s">
        <v>969</v>
      </c>
      <c r="E75" t="s">
        <v>970</v>
      </c>
      <c r="F75">
        <v>22962</v>
      </c>
      <c r="G75">
        <v>23059</v>
      </c>
      <c r="H75">
        <v>1</v>
      </c>
      <c r="I75">
        <v>22962</v>
      </c>
      <c r="J75">
        <v>23055</v>
      </c>
      <c r="K75">
        <f>IF(Table3[[#This Row],[NeedsAttention]]=1,Table3[[#This Row],[Start]],Table3[[#This Row],[StartN]])</f>
        <v>22962</v>
      </c>
      <c r="L75">
        <f>IF(Table3[[#This Row],[NeedsAttention]]=1,Table3[[#This Row],[End]],Table3[[#This Row],[EndN]])</f>
        <v>23055</v>
      </c>
      <c r="M75" t="b">
        <f>Table3[[#This Row],[Merged.Start]]=L74+1</f>
        <v>1</v>
      </c>
      <c r="O75">
        <f>Table3[[#This Row],[Section]]</f>
        <v>74</v>
      </c>
      <c r="P75">
        <f>Table3[[#This Row],[Canon]]</f>
        <v>10</v>
      </c>
      <c r="Q75" s="1" t="str">
        <f>Table3[[#This Row],[Reference]]</f>
        <v>7.31-36A</v>
      </c>
      <c r="R75" t="str">
        <f>Table3[[#This Row],[StartR]]</f>
        <v>MRK 7:31</v>
      </c>
      <c r="S75" t="str">
        <f>Table3[[#This Row],[EndR]]</f>
        <v>MRK 7:36</v>
      </c>
      <c r="T75">
        <f>Table3[[#This Row],[Merged.Start]]</f>
        <v>22962</v>
      </c>
      <c r="U75">
        <f>Table3[[#This Row],[Merged.End]]</f>
        <v>23055</v>
      </c>
    </row>
    <row r="76" spans="1:21" x14ac:dyDescent="0.25">
      <c r="A76">
        <v>75</v>
      </c>
      <c r="B76">
        <v>8</v>
      </c>
      <c r="C76" s="1" t="s">
        <v>971</v>
      </c>
      <c r="D76" t="s">
        <v>970</v>
      </c>
      <c r="E76" t="s">
        <v>972</v>
      </c>
      <c r="F76">
        <v>23046</v>
      </c>
      <c r="G76">
        <v>23074</v>
      </c>
      <c r="H76">
        <v>1</v>
      </c>
      <c r="I76">
        <v>23056</v>
      </c>
      <c r="J76">
        <v>23066</v>
      </c>
      <c r="K76">
        <f>IF(Table3[[#This Row],[NeedsAttention]]=1,Table3[[#This Row],[Start]],Table3[[#This Row],[StartN]])</f>
        <v>23056</v>
      </c>
      <c r="L76">
        <f>IF(Table3[[#This Row],[NeedsAttention]]=1,Table3[[#This Row],[End]],Table3[[#This Row],[EndN]])</f>
        <v>23066</v>
      </c>
      <c r="M76" t="b">
        <f>Table3[[#This Row],[Merged.Start]]=L75+1</f>
        <v>1</v>
      </c>
      <c r="O76">
        <f>Table3[[#This Row],[Section]]</f>
        <v>75</v>
      </c>
      <c r="P76">
        <f>Table3[[#This Row],[Canon]]</f>
        <v>8</v>
      </c>
      <c r="Q76" s="1" t="str">
        <f>Table3[[#This Row],[Reference]]</f>
        <v>7.36B-37A</v>
      </c>
      <c r="R76" t="str">
        <f>Table3[[#This Row],[StartR]]</f>
        <v>MRK 7:36</v>
      </c>
      <c r="S76" t="str">
        <f>Table3[[#This Row],[EndR]]</f>
        <v>MRK 7:37</v>
      </c>
      <c r="T76">
        <f>Table3[[#This Row],[Merged.Start]]</f>
        <v>23056</v>
      </c>
      <c r="U76">
        <f>Table3[[#This Row],[Merged.End]]</f>
        <v>23066</v>
      </c>
    </row>
    <row r="77" spans="1:21" x14ac:dyDescent="0.25">
      <c r="A77">
        <v>76</v>
      </c>
      <c r="B77">
        <v>6</v>
      </c>
      <c r="C77" s="1" t="s">
        <v>973</v>
      </c>
      <c r="D77" t="s">
        <v>972</v>
      </c>
      <c r="E77" t="s">
        <v>974</v>
      </c>
      <c r="F77">
        <v>23060</v>
      </c>
      <c r="G77">
        <v>23220</v>
      </c>
      <c r="H77">
        <v>1</v>
      </c>
      <c r="I77">
        <v>23067</v>
      </c>
      <c r="J77">
        <v>23220</v>
      </c>
      <c r="K77">
        <f>IF(Table3[[#This Row],[NeedsAttention]]=1,Table3[[#This Row],[Start]],Table3[[#This Row],[StartN]])</f>
        <v>23067</v>
      </c>
      <c r="L77">
        <f>IF(Table3[[#This Row],[NeedsAttention]]=1,Table3[[#This Row],[End]],Table3[[#This Row],[EndN]])</f>
        <v>23220</v>
      </c>
      <c r="M77" t="b">
        <f>Table3[[#This Row],[Merged.Start]]=L76+1</f>
        <v>1</v>
      </c>
      <c r="O77">
        <f>Table3[[#This Row],[Section]]</f>
        <v>76</v>
      </c>
      <c r="P77">
        <f>Table3[[#This Row],[Canon]]</f>
        <v>6</v>
      </c>
      <c r="Q77" s="1" t="str">
        <f>Table3[[#This Row],[Reference]]</f>
        <v>7.37B-8.10</v>
      </c>
      <c r="R77" t="str">
        <f>Table3[[#This Row],[StartR]]</f>
        <v>MRK 7:37</v>
      </c>
      <c r="S77" t="str">
        <f>Table3[[#This Row],[EndR]]</f>
        <v>MRK 8:10</v>
      </c>
      <c r="T77">
        <f>Table3[[#This Row],[Merged.Start]]</f>
        <v>23067</v>
      </c>
      <c r="U77">
        <f>Table3[[#This Row],[Merged.End]]</f>
        <v>23220</v>
      </c>
    </row>
    <row r="78" spans="1:21" x14ac:dyDescent="0.25">
      <c r="A78">
        <v>77</v>
      </c>
      <c r="B78">
        <v>4</v>
      </c>
      <c r="C78" s="1">
        <v>8.11</v>
      </c>
      <c r="D78" t="s">
        <v>975</v>
      </c>
      <c r="E78" t="s">
        <v>975</v>
      </c>
      <c r="F78">
        <v>23221</v>
      </c>
      <c r="G78">
        <v>23237</v>
      </c>
      <c r="H78">
        <v>0</v>
      </c>
      <c r="K78">
        <f>IF(Table3[[#This Row],[NeedsAttention]]=1,Table3[[#This Row],[Start]],Table3[[#This Row],[StartN]])</f>
        <v>23221</v>
      </c>
      <c r="L78">
        <f>IF(Table3[[#This Row],[NeedsAttention]]=1,Table3[[#This Row],[End]],Table3[[#This Row],[EndN]])</f>
        <v>23237</v>
      </c>
      <c r="M78" t="b">
        <f>Table3[[#This Row],[Merged.Start]]=L77+1</f>
        <v>1</v>
      </c>
      <c r="O78">
        <f>Table3[[#This Row],[Section]]</f>
        <v>77</v>
      </c>
      <c r="P78">
        <f>Table3[[#This Row],[Canon]]</f>
        <v>4</v>
      </c>
      <c r="Q78" s="1">
        <f>Table3[[#This Row],[Reference]]</f>
        <v>8.11</v>
      </c>
      <c r="R78" t="str">
        <f>Table3[[#This Row],[StartR]]</f>
        <v>MRK 8:11</v>
      </c>
      <c r="S78" t="str">
        <f>Table3[[#This Row],[EndR]]</f>
        <v>MRK 8:11</v>
      </c>
      <c r="T78">
        <f>Table3[[#This Row],[Merged.Start]]</f>
        <v>23221</v>
      </c>
      <c r="U78">
        <f>Table3[[#This Row],[Merged.End]]</f>
        <v>23237</v>
      </c>
    </row>
    <row r="79" spans="1:21" x14ac:dyDescent="0.25">
      <c r="A79">
        <v>78</v>
      </c>
      <c r="B79">
        <v>6</v>
      </c>
      <c r="C79" s="1" t="s">
        <v>976</v>
      </c>
      <c r="D79" t="s">
        <v>977</v>
      </c>
      <c r="E79" t="s">
        <v>978</v>
      </c>
      <c r="F79">
        <v>23238</v>
      </c>
      <c r="G79">
        <v>23283</v>
      </c>
      <c r="H79">
        <v>0</v>
      </c>
      <c r="K79">
        <f>IF(Table3[[#This Row],[NeedsAttention]]=1,Table3[[#This Row],[Start]],Table3[[#This Row],[StartN]])</f>
        <v>23238</v>
      </c>
      <c r="L79">
        <f>IF(Table3[[#This Row],[NeedsAttention]]=1,Table3[[#This Row],[End]],Table3[[#This Row],[EndN]])</f>
        <v>23283</v>
      </c>
      <c r="M79" t="b">
        <f>Table3[[#This Row],[Merged.Start]]=L78+1</f>
        <v>1</v>
      </c>
      <c r="O79">
        <f>Table3[[#This Row],[Section]]</f>
        <v>78</v>
      </c>
      <c r="P79">
        <f>Table3[[#This Row],[Canon]]</f>
        <v>6</v>
      </c>
      <c r="Q79" s="1" t="str">
        <f>Table3[[#This Row],[Reference]]</f>
        <v>8.12-14</v>
      </c>
      <c r="R79" t="str">
        <f>Table3[[#This Row],[StartR]]</f>
        <v>MRK 8:12</v>
      </c>
      <c r="S79" t="str">
        <f>Table3[[#This Row],[EndR]]</f>
        <v>MRK 8:14</v>
      </c>
      <c r="T79">
        <f>Table3[[#This Row],[Merged.Start]]</f>
        <v>23238</v>
      </c>
      <c r="U79">
        <f>Table3[[#This Row],[Merged.End]]</f>
        <v>23283</v>
      </c>
    </row>
    <row r="80" spans="1:21" x14ac:dyDescent="0.25">
      <c r="A80">
        <v>79</v>
      </c>
      <c r="B80">
        <v>2</v>
      </c>
      <c r="C80" s="1">
        <v>8.15</v>
      </c>
      <c r="D80" t="s">
        <v>979</v>
      </c>
      <c r="E80" t="s">
        <v>979</v>
      </c>
      <c r="F80">
        <v>23284</v>
      </c>
      <c r="G80">
        <v>23298</v>
      </c>
      <c r="H80">
        <v>0</v>
      </c>
      <c r="K80">
        <f>IF(Table3[[#This Row],[NeedsAttention]]=1,Table3[[#This Row],[Start]],Table3[[#This Row],[StartN]])</f>
        <v>23284</v>
      </c>
      <c r="L80">
        <f>IF(Table3[[#This Row],[NeedsAttention]]=1,Table3[[#This Row],[End]],Table3[[#This Row],[EndN]])</f>
        <v>23298</v>
      </c>
      <c r="M80" t="b">
        <f>Table3[[#This Row],[Merged.Start]]=L79+1</f>
        <v>1</v>
      </c>
      <c r="O80">
        <f>Table3[[#This Row],[Section]]</f>
        <v>79</v>
      </c>
      <c r="P80">
        <f>Table3[[#This Row],[Canon]]</f>
        <v>2</v>
      </c>
      <c r="Q80" s="1">
        <f>Table3[[#This Row],[Reference]]</f>
        <v>8.15</v>
      </c>
      <c r="R80" t="str">
        <f>Table3[[#This Row],[StartR]]</f>
        <v>MRK 8:15</v>
      </c>
      <c r="S80" t="str">
        <f>Table3[[#This Row],[EndR]]</f>
        <v>MRK 8:15</v>
      </c>
      <c r="T80">
        <f>Table3[[#This Row],[Merged.Start]]</f>
        <v>23284</v>
      </c>
      <c r="U80">
        <f>Table3[[#This Row],[Merged.End]]</f>
        <v>23298</v>
      </c>
    </row>
    <row r="81" spans="1:21" x14ac:dyDescent="0.25">
      <c r="A81">
        <v>80</v>
      </c>
      <c r="B81">
        <v>6</v>
      </c>
      <c r="C81" s="1" t="s">
        <v>980</v>
      </c>
      <c r="D81" t="s">
        <v>981</v>
      </c>
      <c r="E81" t="s">
        <v>982</v>
      </c>
      <c r="F81">
        <v>23299</v>
      </c>
      <c r="G81">
        <v>23374</v>
      </c>
      <c r="H81">
        <v>0</v>
      </c>
      <c r="K81">
        <f>IF(Table3[[#This Row],[NeedsAttention]]=1,Table3[[#This Row],[Start]],Table3[[#This Row],[StartN]])</f>
        <v>23299</v>
      </c>
      <c r="L81">
        <f>IF(Table3[[#This Row],[NeedsAttention]]=1,Table3[[#This Row],[End]],Table3[[#This Row],[EndN]])</f>
        <v>23374</v>
      </c>
      <c r="M81" t="b">
        <f>Table3[[#This Row],[Merged.Start]]=L80+1</f>
        <v>1</v>
      </c>
      <c r="O81">
        <f>Table3[[#This Row],[Section]]</f>
        <v>80</v>
      </c>
      <c r="P81">
        <f>Table3[[#This Row],[Canon]]</f>
        <v>6</v>
      </c>
      <c r="Q81" s="1" t="str">
        <f>Table3[[#This Row],[Reference]]</f>
        <v>8.16-21</v>
      </c>
      <c r="R81" t="str">
        <f>Table3[[#This Row],[StartR]]</f>
        <v>MRK 8:16</v>
      </c>
      <c r="S81" t="str">
        <f>Table3[[#This Row],[EndR]]</f>
        <v>MRK 8:21</v>
      </c>
      <c r="T81">
        <f>Table3[[#This Row],[Merged.Start]]</f>
        <v>23299</v>
      </c>
      <c r="U81">
        <f>Table3[[#This Row],[Merged.End]]</f>
        <v>23374</v>
      </c>
    </row>
    <row r="82" spans="1:21" x14ac:dyDescent="0.25">
      <c r="A82">
        <v>81</v>
      </c>
      <c r="B82">
        <v>10</v>
      </c>
      <c r="C82" s="1" t="s">
        <v>983</v>
      </c>
      <c r="D82" t="s">
        <v>984</v>
      </c>
      <c r="E82" t="s">
        <v>985</v>
      </c>
      <c r="F82">
        <v>23375</v>
      </c>
      <c r="G82">
        <v>23454</v>
      </c>
      <c r="H82">
        <v>0</v>
      </c>
      <c r="K82">
        <f>IF(Table3[[#This Row],[NeedsAttention]]=1,Table3[[#This Row],[Start]],Table3[[#This Row],[StartN]])</f>
        <v>23375</v>
      </c>
      <c r="L82">
        <f>IF(Table3[[#This Row],[NeedsAttention]]=1,Table3[[#This Row],[End]],Table3[[#This Row],[EndN]])</f>
        <v>23454</v>
      </c>
      <c r="M82" t="b">
        <f>Table3[[#This Row],[Merged.Start]]=L81+1</f>
        <v>1</v>
      </c>
      <c r="O82">
        <f>Table3[[#This Row],[Section]]</f>
        <v>81</v>
      </c>
      <c r="P82">
        <f>Table3[[#This Row],[Canon]]</f>
        <v>10</v>
      </c>
      <c r="Q82" s="1" t="str">
        <f>Table3[[#This Row],[Reference]]</f>
        <v>8.22-26</v>
      </c>
      <c r="R82" t="str">
        <f>Table3[[#This Row],[StartR]]</f>
        <v>MRK 8:22</v>
      </c>
      <c r="S82" t="str">
        <f>Table3[[#This Row],[EndR]]</f>
        <v>MRK 8:26</v>
      </c>
      <c r="T82">
        <f>Table3[[#This Row],[Merged.Start]]</f>
        <v>23375</v>
      </c>
      <c r="U82">
        <f>Table3[[#This Row],[Merged.End]]</f>
        <v>23454</v>
      </c>
    </row>
    <row r="83" spans="1:21" x14ac:dyDescent="0.25">
      <c r="A83">
        <v>82</v>
      </c>
      <c r="B83">
        <v>1</v>
      </c>
      <c r="C83" s="1" t="s">
        <v>986</v>
      </c>
      <c r="D83" t="s">
        <v>987</v>
      </c>
      <c r="E83" t="s">
        <v>988</v>
      </c>
      <c r="F83">
        <v>23455</v>
      </c>
      <c r="G83">
        <v>23521</v>
      </c>
      <c r="H83">
        <v>1</v>
      </c>
      <c r="I83">
        <v>23455</v>
      </c>
      <c r="J83">
        <v>23512</v>
      </c>
      <c r="K83">
        <f>IF(Table3[[#This Row],[NeedsAttention]]=1,Table3[[#This Row],[Start]],Table3[[#This Row],[StartN]])</f>
        <v>23455</v>
      </c>
      <c r="L83">
        <f>IF(Table3[[#This Row],[NeedsAttention]]=1,Table3[[#This Row],[End]],Table3[[#This Row],[EndN]])</f>
        <v>23512</v>
      </c>
      <c r="M83" t="b">
        <f>Table3[[#This Row],[Merged.Start]]=L82+1</f>
        <v>1</v>
      </c>
      <c r="O83">
        <f>Table3[[#This Row],[Section]]</f>
        <v>82</v>
      </c>
      <c r="P83">
        <f>Table3[[#This Row],[Canon]]</f>
        <v>1</v>
      </c>
      <c r="Q83" s="1" t="str">
        <f>Table3[[#This Row],[Reference]]</f>
        <v>8.27-29A</v>
      </c>
      <c r="R83" t="str">
        <f>Table3[[#This Row],[StartR]]</f>
        <v>MRK 8:27</v>
      </c>
      <c r="S83" t="str">
        <f>Table3[[#This Row],[EndR]]</f>
        <v>MRK 8:29</v>
      </c>
      <c r="T83">
        <f>Table3[[#This Row],[Merged.Start]]</f>
        <v>23455</v>
      </c>
      <c r="U83">
        <f>Table3[[#This Row],[Merged.End]]</f>
        <v>23512</v>
      </c>
    </row>
    <row r="84" spans="1:21" x14ac:dyDescent="0.25">
      <c r="A84">
        <v>83</v>
      </c>
      <c r="B84">
        <v>2</v>
      </c>
      <c r="C84" s="1" t="s">
        <v>989</v>
      </c>
      <c r="D84" t="s">
        <v>988</v>
      </c>
      <c r="E84" t="s">
        <v>990</v>
      </c>
      <c r="F84">
        <v>23503</v>
      </c>
      <c r="G84">
        <v>23572</v>
      </c>
      <c r="H84">
        <v>1</v>
      </c>
      <c r="I84">
        <v>23513</v>
      </c>
      <c r="J84">
        <v>23564</v>
      </c>
      <c r="K84">
        <f>IF(Table3[[#This Row],[NeedsAttention]]=1,Table3[[#This Row],[Start]],Table3[[#This Row],[StartN]])</f>
        <v>23513</v>
      </c>
      <c r="L84">
        <f>IF(Table3[[#This Row],[NeedsAttention]]=1,Table3[[#This Row],[End]],Table3[[#This Row],[EndN]])</f>
        <v>23564</v>
      </c>
      <c r="M84" t="b">
        <f>Table3[[#This Row],[Merged.Start]]=L83+1</f>
        <v>1</v>
      </c>
      <c r="O84">
        <f>Table3[[#This Row],[Section]]</f>
        <v>83</v>
      </c>
      <c r="P84">
        <f>Table3[[#This Row],[Canon]]</f>
        <v>2</v>
      </c>
      <c r="Q84" s="1" t="str">
        <f>Table3[[#This Row],[Reference]]</f>
        <v>8.29B-32A</v>
      </c>
      <c r="R84" t="str">
        <f>Table3[[#This Row],[StartR]]</f>
        <v>MRK 8:29</v>
      </c>
      <c r="S84" t="str">
        <f>Table3[[#This Row],[EndR]]</f>
        <v>MRK 8:32</v>
      </c>
      <c r="T84">
        <f>Table3[[#This Row],[Merged.Start]]</f>
        <v>23513</v>
      </c>
      <c r="U84">
        <f>Table3[[#This Row],[Merged.End]]</f>
        <v>23564</v>
      </c>
    </row>
    <row r="85" spans="1:21" x14ac:dyDescent="0.25">
      <c r="A85">
        <v>84</v>
      </c>
      <c r="B85">
        <v>6</v>
      </c>
      <c r="C85" s="1" t="s">
        <v>991</v>
      </c>
      <c r="D85" t="s">
        <v>990</v>
      </c>
      <c r="E85" t="s">
        <v>992</v>
      </c>
      <c r="F85">
        <v>23560</v>
      </c>
      <c r="G85">
        <v>23598</v>
      </c>
      <c r="H85">
        <v>1</v>
      </c>
      <c r="I85">
        <v>23565</v>
      </c>
      <c r="J85">
        <v>23598</v>
      </c>
      <c r="K85">
        <f>IF(Table3[[#This Row],[NeedsAttention]]=1,Table3[[#This Row],[Start]],Table3[[#This Row],[StartN]])</f>
        <v>23565</v>
      </c>
      <c r="L85">
        <f>IF(Table3[[#This Row],[NeedsAttention]]=1,Table3[[#This Row],[End]],Table3[[#This Row],[EndN]])</f>
        <v>23598</v>
      </c>
      <c r="M85" t="b">
        <f>Table3[[#This Row],[Merged.Start]]=L84+1</f>
        <v>1</v>
      </c>
      <c r="O85">
        <f>Table3[[#This Row],[Section]]</f>
        <v>84</v>
      </c>
      <c r="P85">
        <f>Table3[[#This Row],[Canon]]</f>
        <v>6</v>
      </c>
      <c r="Q85" s="1" t="str">
        <f>Table3[[#This Row],[Reference]]</f>
        <v>8.32B-33</v>
      </c>
      <c r="R85" t="str">
        <f>Table3[[#This Row],[StartR]]</f>
        <v>MRK 8:32</v>
      </c>
      <c r="S85" t="str">
        <f>Table3[[#This Row],[EndR]]</f>
        <v>MRK 8:33</v>
      </c>
      <c r="T85">
        <f>Table3[[#This Row],[Merged.Start]]</f>
        <v>23565</v>
      </c>
      <c r="U85">
        <f>Table3[[#This Row],[Merged.End]]</f>
        <v>23598</v>
      </c>
    </row>
    <row r="86" spans="1:21" x14ac:dyDescent="0.25">
      <c r="A86">
        <v>85</v>
      </c>
      <c r="B86">
        <v>2</v>
      </c>
      <c r="C86" s="1" t="s">
        <v>993</v>
      </c>
      <c r="D86" t="s">
        <v>994</v>
      </c>
      <c r="E86" t="s">
        <v>995</v>
      </c>
      <c r="F86">
        <v>23599</v>
      </c>
      <c r="G86">
        <v>23669</v>
      </c>
      <c r="H86">
        <v>0</v>
      </c>
      <c r="K86">
        <f>IF(Table3[[#This Row],[NeedsAttention]]=1,Table3[[#This Row],[Start]],Table3[[#This Row],[StartN]])</f>
        <v>23599</v>
      </c>
      <c r="L86">
        <f>IF(Table3[[#This Row],[NeedsAttention]]=1,Table3[[#This Row],[End]],Table3[[#This Row],[EndN]])</f>
        <v>23669</v>
      </c>
      <c r="M86" t="b">
        <f>Table3[[#This Row],[Merged.Start]]=L85+1</f>
        <v>1</v>
      </c>
      <c r="O86">
        <f>Table3[[#This Row],[Section]]</f>
        <v>85</v>
      </c>
      <c r="P86">
        <f>Table3[[#This Row],[Canon]]</f>
        <v>2</v>
      </c>
      <c r="Q86" s="1" t="str">
        <f>Table3[[#This Row],[Reference]]</f>
        <v>8.34-37</v>
      </c>
      <c r="R86" t="str">
        <f>Table3[[#This Row],[StartR]]</f>
        <v>MRK 8:34</v>
      </c>
      <c r="S86" t="str">
        <f>Table3[[#This Row],[EndR]]</f>
        <v>MRK 8:37</v>
      </c>
      <c r="T86">
        <f>Table3[[#This Row],[Merged.Start]]</f>
        <v>23599</v>
      </c>
      <c r="U86">
        <f>Table3[[#This Row],[Merged.End]]</f>
        <v>23669</v>
      </c>
    </row>
    <row r="87" spans="1:21" x14ac:dyDescent="0.25">
      <c r="A87">
        <v>86</v>
      </c>
      <c r="B87">
        <v>2</v>
      </c>
      <c r="C87" s="1">
        <v>8.3800000000000008</v>
      </c>
      <c r="D87" t="s">
        <v>996</v>
      </c>
      <c r="E87" t="s">
        <v>996</v>
      </c>
      <c r="F87">
        <v>23670</v>
      </c>
      <c r="G87">
        <v>23706</v>
      </c>
      <c r="H87">
        <v>0</v>
      </c>
      <c r="K87">
        <f>IF(Table3[[#This Row],[NeedsAttention]]=1,Table3[[#This Row],[Start]],Table3[[#This Row],[StartN]])</f>
        <v>23670</v>
      </c>
      <c r="L87">
        <f>IF(Table3[[#This Row],[NeedsAttention]]=1,Table3[[#This Row],[End]],Table3[[#This Row],[EndN]])</f>
        <v>23706</v>
      </c>
      <c r="M87" t="b">
        <f>Table3[[#This Row],[Merged.Start]]=L86+1</f>
        <v>1</v>
      </c>
      <c r="O87">
        <f>Table3[[#This Row],[Section]]</f>
        <v>86</v>
      </c>
      <c r="P87">
        <f>Table3[[#This Row],[Canon]]</f>
        <v>2</v>
      </c>
      <c r="Q87" s="1">
        <f>Table3[[#This Row],[Reference]]</f>
        <v>8.3800000000000008</v>
      </c>
      <c r="R87" t="str">
        <f>Table3[[#This Row],[StartR]]</f>
        <v>MRK 8:38</v>
      </c>
      <c r="S87" t="str">
        <f>Table3[[#This Row],[EndR]]</f>
        <v>MRK 8:38</v>
      </c>
      <c r="T87">
        <f>Table3[[#This Row],[Merged.Start]]</f>
        <v>23670</v>
      </c>
      <c r="U87">
        <f>Table3[[#This Row],[Merged.End]]</f>
        <v>23706</v>
      </c>
    </row>
    <row r="88" spans="1:21" x14ac:dyDescent="0.25">
      <c r="A88">
        <v>87</v>
      </c>
      <c r="B88">
        <v>2</v>
      </c>
      <c r="C88" s="1" t="s">
        <v>997</v>
      </c>
      <c r="D88" t="s">
        <v>998</v>
      </c>
      <c r="E88" t="s">
        <v>999</v>
      </c>
      <c r="F88">
        <v>23707</v>
      </c>
      <c r="G88">
        <v>23876</v>
      </c>
      <c r="H88">
        <v>0</v>
      </c>
      <c r="K88">
        <f>IF(Table3[[#This Row],[NeedsAttention]]=1,Table3[[#This Row],[Start]],Table3[[#This Row],[StartN]])</f>
        <v>23707</v>
      </c>
      <c r="L88">
        <f>IF(Table3[[#This Row],[NeedsAttention]]=1,Table3[[#This Row],[End]],Table3[[#This Row],[EndN]])</f>
        <v>23876</v>
      </c>
      <c r="M88" t="b">
        <f>Table3[[#This Row],[Merged.Start]]=L87+1</f>
        <v>1</v>
      </c>
      <c r="O88">
        <f>Table3[[#This Row],[Section]]</f>
        <v>87</v>
      </c>
      <c r="P88">
        <f>Table3[[#This Row],[Canon]]</f>
        <v>2</v>
      </c>
      <c r="Q88" s="1" t="str">
        <f>Table3[[#This Row],[Reference]]</f>
        <v>9.1-9</v>
      </c>
      <c r="R88" t="str">
        <f>Table3[[#This Row],[StartR]]</f>
        <v>MRK 9:1</v>
      </c>
      <c r="S88" t="str">
        <f>Table3[[#This Row],[EndR]]</f>
        <v>MRK 9:9</v>
      </c>
      <c r="T88">
        <f>Table3[[#This Row],[Merged.Start]]</f>
        <v>23707</v>
      </c>
      <c r="U88">
        <f>Table3[[#This Row],[Merged.End]]</f>
        <v>23876</v>
      </c>
    </row>
    <row r="89" spans="1:21" x14ac:dyDescent="0.25">
      <c r="A89">
        <v>88</v>
      </c>
      <c r="B89">
        <v>10</v>
      </c>
      <c r="C89" s="1">
        <v>9.1</v>
      </c>
      <c r="D89" t="s">
        <v>2516</v>
      </c>
      <c r="E89" t="s">
        <v>2516</v>
      </c>
      <c r="F89" s="2">
        <v>23877</v>
      </c>
      <c r="G89" s="2">
        <v>23889</v>
      </c>
      <c r="H89">
        <v>0</v>
      </c>
      <c r="K89">
        <f>IF(Table3[[#This Row],[NeedsAttention]]=1,Table3[[#This Row],[Start]],Table3[[#This Row],[StartN]])</f>
        <v>23877</v>
      </c>
      <c r="L89">
        <f>IF(Table3[[#This Row],[NeedsAttention]]=1,Table3[[#This Row],[End]],Table3[[#This Row],[EndN]])</f>
        <v>23889</v>
      </c>
      <c r="M89" t="b">
        <f>Table3[[#This Row],[Merged.Start]]=L88+1</f>
        <v>1</v>
      </c>
      <c r="O89">
        <f>Table3[[#This Row],[Section]]</f>
        <v>88</v>
      </c>
      <c r="P89">
        <f>Table3[[#This Row],[Canon]]</f>
        <v>10</v>
      </c>
      <c r="Q89" s="1">
        <f>Table3[[#This Row],[Reference]]</f>
        <v>9.1</v>
      </c>
      <c r="R89" t="str">
        <f>Table3[[#This Row],[StartR]]</f>
        <v>MRK 9:10</v>
      </c>
      <c r="S89" t="str">
        <f>Table3[[#This Row],[EndR]]</f>
        <v>MRK 9:10</v>
      </c>
      <c r="T89">
        <f>Table3[[#This Row],[Merged.Start]]</f>
        <v>23877</v>
      </c>
      <c r="U89">
        <f>Table3[[#This Row],[Merged.End]]</f>
        <v>23889</v>
      </c>
    </row>
    <row r="90" spans="1:21" x14ac:dyDescent="0.25">
      <c r="A90">
        <v>89</v>
      </c>
      <c r="B90">
        <v>6</v>
      </c>
      <c r="C90" s="1" t="s">
        <v>1000</v>
      </c>
      <c r="D90" t="s">
        <v>1001</v>
      </c>
      <c r="E90" t="s">
        <v>1002</v>
      </c>
      <c r="F90">
        <v>23890</v>
      </c>
      <c r="G90">
        <v>23941</v>
      </c>
      <c r="H90">
        <v>0</v>
      </c>
      <c r="K90">
        <f>IF(Table3[[#This Row],[NeedsAttention]]=1,Table3[[#This Row],[Start]],Table3[[#This Row],[StartN]])</f>
        <v>23890</v>
      </c>
      <c r="L90">
        <f>IF(Table3[[#This Row],[NeedsAttention]]=1,Table3[[#This Row],[End]],Table3[[#This Row],[EndN]])</f>
        <v>23941</v>
      </c>
      <c r="M90" t="b">
        <f>Table3[[#This Row],[Merged.Start]]=L89+1</f>
        <v>1</v>
      </c>
      <c r="O90">
        <f>Table3[[#This Row],[Section]]</f>
        <v>89</v>
      </c>
      <c r="P90">
        <f>Table3[[#This Row],[Canon]]</f>
        <v>6</v>
      </c>
      <c r="Q90" s="1" t="str">
        <f>Table3[[#This Row],[Reference]]</f>
        <v>9.11-13</v>
      </c>
      <c r="R90" t="str">
        <f>Table3[[#This Row],[StartR]]</f>
        <v>MRK 9:11</v>
      </c>
      <c r="S90" t="str">
        <f>Table3[[#This Row],[EndR]]</f>
        <v>MRK 9:13</v>
      </c>
      <c r="T90">
        <f>Table3[[#This Row],[Merged.Start]]</f>
        <v>23890</v>
      </c>
      <c r="U90">
        <f>Table3[[#This Row],[Merged.End]]</f>
        <v>23941</v>
      </c>
    </row>
    <row r="91" spans="1:21" x14ac:dyDescent="0.25">
      <c r="A91">
        <v>90</v>
      </c>
      <c r="B91">
        <v>10</v>
      </c>
      <c r="C91" s="1" t="s">
        <v>1003</v>
      </c>
      <c r="D91" t="s">
        <v>1004</v>
      </c>
      <c r="E91" t="s">
        <v>1005</v>
      </c>
      <c r="F91">
        <v>23942</v>
      </c>
      <c r="G91">
        <v>23975</v>
      </c>
      <c r="H91">
        <v>0</v>
      </c>
      <c r="K91">
        <f>IF(Table3[[#This Row],[NeedsAttention]]=1,Table3[[#This Row],[Start]],Table3[[#This Row],[StartN]])</f>
        <v>23942</v>
      </c>
      <c r="L91">
        <f>IF(Table3[[#This Row],[NeedsAttention]]=1,Table3[[#This Row],[End]],Table3[[#This Row],[EndN]])</f>
        <v>23975</v>
      </c>
      <c r="M91" t="b">
        <f>Table3[[#This Row],[Merged.Start]]=L90+1</f>
        <v>1</v>
      </c>
      <c r="O91">
        <f>Table3[[#This Row],[Section]]</f>
        <v>90</v>
      </c>
      <c r="P91">
        <f>Table3[[#This Row],[Canon]]</f>
        <v>10</v>
      </c>
      <c r="Q91" s="1" t="str">
        <f>Table3[[#This Row],[Reference]]</f>
        <v>9.14-16</v>
      </c>
      <c r="R91" t="str">
        <f>Table3[[#This Row],[StartR]]</f>
        <v>MRK 9:14</v>
      </c>
      <c r="S91" t="str">
        <f>Table3[[#This Row],[EndR]]</f>
        <v>MRK 9:16</v>
      </c>
      <c r="T91">
        <f>Table3[[#This Row],[Merged.Start]]</f>
        <v>23942</v>
      </c>
      <c r="U91">
        <f>Table3[[#This Row],[Merged.End]]</f>
        <v>23975</v>
      </c>
    </row>
    <row r="92" spans="1:21" x14ac:dyDescent="0.25">
      <c r="A92">
        <v>91</v>
      </c>
      <c r="B92">
        <v>2</v>
      </c>
      <c r="C92" s="1" t="s">
        <v>1006</v>
      </c>
      <c r="D92" t="s">
        <v>1007</v>
      </c>
      <c r="E92" t="s">
        <v>1008</v>
      </c>
      <c r="F92">
        <v>23976</v>
      </c>
      <c r="G92">
        <v>24179</v>
      </c>
      <c r="H92">
        <v>0</v>
      </c>
      <c r="K92">
        <f>IF(Table3[[#This Row],[NeedsAttention]]=1,Table3[[#This Row],[Start]],Table3[[#This Row],[StartN]])</f>
        <v>23976</v>
      </c>
      <c r="L92">
        <f>IF(Table3[[#This Row],[NeedsAttention]]=1,Table3[[#This Row],[End]],Table3[[#This Row],[EndN]])</f>
        <v>24179</v>
      </c>
      <c r="M92" t="b">
        <f>Table3[[#This Row],[Merged.Start]]=L91+1</f>
        <v>1</v>
      </c>
      <c r="O92">
        <f>Table3[[#This Row],[Section]]</f>
        <v>91</v>
      </c>
      <c r="P92">
        <f>Table3[[#This Row],[Canon]]</f>
        <v>2</v>
      </c>
      <c r="Q92" s="1" t="str">
        <f>Table3[[#This Row],[Reference]]</f>
        <v>9.17-27</v>
      </c>
      <c r="R92" t="str">
        <f>Table3[[#This Row],[StartR]]</f>
        <v>MRK 9:17</v>
      </c>
      <c r="S92" t="str">
        <f>Table3[[#This Row],[EndR]]</f>
        <v>MRK 9:27</v>
      </c>
      <c r="T92">
        <f>Table3[[#This Row],[Merged.Start]]</f>
        <v>23976</v>
      </c>
      <c r="U92">
        <f>Table3[[#This Row],[Merged.End]]</f>
        <v>24179</v>
      </c>
    </row>
    <row r="93" spans="1:21" x14ac:dyDescent="0.25">
      <c r="A93">
        <v>92</v>
      </c>
      <c r="B93">
        <v>10</v>
      </c>
      <c r="C93" s="1" t="s">
        <v>1009</v>
      </c>
      <c r="D93" t="s">
        <v>1010</v>
      </c>
      <c r="E93" t="s">
        <v>1011</v>
      </c>
      <c r="F93">
        <v>24180</v>
      </c>
      <c r="G93">
        <v>24211</v>
      </c>
      <c r="H93">
        <v>0</v>
      </c>
      <c r="K93">
        <f>IF(Table3[[#This Row],[NeedsAttention]]=1,Table3[[#This Row],[Start]],Table3[[#This Row],[StartN]])</f>
        <v>24180</v>
      </c>
      <c r="L93">
        <f>IF(Table3[[#This Row],[NeedsAttention]]=1,Table3[[#This Row],[End]],Table3[[#This Row],[EndN]])</f>
        <v>24211</v>
      </c>
      <c r="M93" t="b">
        <f>Table3[[#This Row],[Merged.Start]]=L92+1</f>
        <v>1</v>
      </c>
      <c r="O93">
        <f>Table3[[#This Row],[Section]]</f>
        <v>92</v>
      </c>
      <c r="P93">
        <f>Table3[[#This Row],[Canon]]</f>
        <v>10</v>
      </c>
      <c r="Q93" s="1" t="str">
        <f>Table3[[#This Row],[Reference]]</f>
        <v>9.28-29</v>
      </c>
      <c r="R93" t="str">
        <f>Table3[[#This Row],[StartR]]</f>
        <v>MRK 9:28</v>
      </c>
      <c r="S93" t="str">
        <f>Table3[[#This Row],[EndR]]</f>
        <v>MRK 9:29</v>
      </c>
      <c r="T93">
        <f>Table3[[#This Row],[Merged.Start]]</f>
        <v>24180</v>
      </c>
      <c r="U93">
        <f>Table3[[#This Row],[Merged.End]]</f>
        <v>24211</v>
      </c>
    </row>
    <row r="94" spans="1:21" x14ac:dyDescent="0.25">
      <c r="A94">
        <v>93</v>
      </c>
      <c r="B94">
        <v>2</v>
      </c>
      <c r="C94" s="1" t="s">
        <v>1012</v>
      </c>
      <c r="D94" t="s">
        <v>1013</v>
      </c>
      <c r="E94" t="s">
        <v>1014</v>
      </c>
      <c r="F94">
        <v>24212</v>
      </c>
      <c r="G94">
        <v>24258</v>
      </c>
      <c r="H94">
        <v>0</v>
      </c>
      <c r="K94">
        <f>IF(Table3[[#This Row],[NeedsAttention]]=1,Table3[[#This Row],[Start]],Table3[[#This Row],[StartN]])</f>
        <v>24212</v>
      </c>
      <c r="L94">
        <f>IF(Table3[[#This Row],[NeedsAttention]]=1,Table3[[#This Row],[End]],Table3[[#This Row],[EndN]])</f>
        <v>24258</v>
      </c>
      <c r="M94" t="b">
        <f>Table3[[#This Row],[Merged.Start]]=L93+1</f>
        <v>1</v>
      </c>
      <c r="O94">
        <f>Table3[[#This Row],[Section]]</f>
        <v>93</v>
      </c>
      <c r="P94">
        <f>Table3[[#This Row],[Canon]]</f>
        <v>2</v>
      </c>
      <c r="Q94" s="1" t="str">
        <f>Table3[[#This Row],[Reference]]</f>
        <v>9.30-32</v>
      </c>
      <c r="R94" t="str">
        <f>Table3[[#This Row],[StartR]]</f>
        <v>MRK 9:30</v>
      </c>
      <c r="S94" t="str">
        <f>Table3[[#This Row],[EndR]]</f>
        <v>MRK 9:32</v>
      </c>
      <c r="T94">
        <f>Table3[[#This Row],[Merged.Start]]</f>
        <v>24212</v>
      </c>
      <c r="U94">
        <f>Table3[[#This Row],[Merged.End]]</f>
        <v>24258</v>
      </c>
    </row>
    <row r="95" spans="1:21" x14ac:dyDescent="0.25">
      <c r="A95">
        <v>94</v>
      </c>
      <c r="B95">
        <v>10</v>
      </c>
      <c r="C95" s="1">
        <v>9.33</v>
      </c>
      <c r="D95" t="s">
        <v>1015</v>
      </c>
      <c r="E95" t="s">
        <v>1015</v>
      </c>
      <c r="F95">
        <v>24259</v>
      </c>
      <c r="G95">
        <v>24274</v>
      </c>
      <c r="H95">
        <v>0</v>
      </c>
      <c r="K95">
        <f>IF(Table3[[#This Row],[NeedsAttention]]=1,Table3[[#This Row],[Start]],Table3[[#This Row],[StartN]])</f>
        <v>24259</v>
      </c>
      <c r="L95">
        <f>IF(Table3[[#This Row],[NeedsAttention]]=1,Table3[[#This Row],[End]],Table3[[#This Row],[EndN]])</f>
        <v>24274</v>
      </c>
      <c r="M95" t="b">
        <f>Table3[[#This Row],[Merged.Start]]=L94+1</f>
        <v>1</v>
      </c>
      <c r="O95">
        <f>Table3[[#This Row],[Section]]</f>
        <v>94</v>
      </c>
      <c r="P95">
        <f>Table3[[#This Row],[Canon]]</f>
        <v>10</v>
      </c>
      <c r="Q95" s="1">
        <f>Table3[[#This Row],[Reference]]</f>
        <v>9.33</v>
      </c>
      <c r="R95" t="str">
        <f>Table3[[#This Row],[StartR]]</f>
        <v>MRK 9:33</v>
      </c>
      <c r="S95" t="str">
        <f>Table3[[#This Row],[EndR]]</f>
        <v>MRK 9:33</v>
      </c>
      <c r="T95">
        <f>Table3[[#This Row],[Merged.Start]]</f>
        <v>24259</v>
      </c>
      <c r="U95">
        <f>Table3[[#This Row],[Merged.End]]</f>
        <v>24274</v>
      </c>
    </row>
    <row r="96" spans="1:21" x14ac:dyDescent="0.25">
      <c r="A96">
        <v>95</v>
      </c>
      <c r="B96">
        <v>2</v>
      </c>
      <c r="C96" s="1" t="s">
        <v>1016</v>
      </c>
      <c r="D96" t="s">
        <v>1017</v>
      </c>
      <c r="E96" t="s">
        <v>1018</v>
      </c>
      <c r="F96">
        <v>24275</v>
      </c>
      <c r="G96">
        <v>24343</v>
      </c>
      <c r="H96">
        <v>1</v>
      </c>
      <c r="I96">
        <v>24275</v>
      </c>
      <c r="J96">
        <v>24331</v>
      </c>
      <c r="K96">
        <f>IF(Table3[[#This Row],[NeedsAttention]]=1,Table3[[#This Row],[Start]],Table3[[#This Row],[StartN]])</f>
        <v>24275</v>
      </c>
      <c r="L96">
        <f>IF(Table3[[#This Row],[NeedsAttention]]=1,Table3[[#This Row],[End]],Table3[[#This Row],[EndN]])</f>
        <v>24331</v>
      </c>
      <c r="M96" t="b">
        <f>Table3[[#This Row],[Merged.Start]]=L95+1</f>
        <v>1</v>
      </c>
      <c r="O96">
        <f>Table3[[#This Row],[Section]]</f>
        <v>95</v>
      </c>
      <c r="P96">
        <f>Table3[[#This Row],[Canon]]</f>
        <v>2</v>
      </c>
      <c r="Q96" s="1" t="str">
        <f>Table3[[#This Row],[Reference]]</f>
        <v>9.34-37A</v>
      </c>
      <c r="R96" t="str">
        <f>Table3[[#This Row],[StartR]]</f>
        <v>MRK 9:34</v>
      </c>
      <c r="S96" t="str">
        <f>Table3[[#This Row],[EndR]]</f>
        <v>MRK 9:37</v>
      </c>
      <c r="T96">
        <f>Table3[[#This Row],[Merged.Start]]</f>
        <v>24275</v>
      </c>
      <c r="U96">
        <f>Table3[[#This Row],[Merged.End]]</f>
        <v>24331</v>
      </c>
    </row>
    <row r="97" spans="1:21" x14ac:dyDescent="0.25">
      <c r="A97">
        <v>96</v>
      </c>
      <c r="B97">
        <v>1</v>
      </c>
      <c r="C97" s="1" t="s">
        <v>1019</v>
      </c>
      <c r="D97" t="s">
        <v>1018</v>
      </c>
      <c r="E97" t="s">
        <v>1018</v>
      </c>
      <c r="F97">
        <v>24319</v>
      </c>
      <c r="G97">
        <v>24343</v>
      </c>
      <c r="H97">
        <v>1</v>
      </c>
      <c r="I97">
        <v>24332</v>
      </c>
      <c r="J97">
        <v>24343</v>
      </c>
      <c r="K97">
        <f>IF(Table3[[#This Row],[NeedsAttention]]=1,Table3[[#This Row],[Start]],Table3[[#This Row],[StartN]])</f>
        <v>24332</v>
      </c>
      <c r="L97">
        <f>IF(Table3[[#This Row],[NeedsAttention]]=1,Table3[[#This Row],[End]],Table3[[#This Row],[EndN]])</f>
        <v>24343</v>
      </c>
      <c r="M97" t="b">
        <f>Table3[[#This Row],[Merged.Start]]=L96+1</f>
        <v>1</v>
      </c>
      <c r="O97">
        <f>Table3[[#This Row],[Section]]</f>
        <v>96</v>
      </c>
      <c r="P97">
        <f>Table3[[#This Row],[Canon]]</f>
        <v>1</v>
      </c>
      <c r="Q97" s="1" t="str">
        <f>Table3[[#This Row],[Reference]]</f>
        <v>9.37B</v>
      </c>
      <c r="R97" t="str">
        <f>Table3[[#This Row],[StartR]]</f>
        <v>MRK 9:37</v>
      </c>
      <c r="S97" t="str">
        <f>Table3[[#This Row],[EndR]]</f>
        <v>MRK 9:37</v>
      </c>
      <c r="T97">
        <f>Table3[[#This Row],[Merged.Start]]</f>
        <v>24332</v>
      </c>
      <c r="U97">
        <f>Table3[[#This Row],[Merged.End]]</f>
        <v>24343</v>
      </c>
    </row>
    <row r="98" spans="1:21" x14ac:dyDescent="0.25">
      <c r="A98">
        <v>97</v>
      </c>
      <c r="B98">
        <v>8</v>
      </c>
      <c r="C98" s="1" t="s">
        <v>1020</v>
      </c>
      <c r="D98" t="s">
        <v>1021</v>
      </c>
      <c r="E98" t="s">
        <v>1022</v>
      </c>
      <c r="F98">
        <v>24344</v>
      </c>
      <c r="G98">
        <v>24394</v>
      </c>
      <c r="H98">
        <v>0</v>
      </c>
      <c r="K98">
        <f>IF(Table3[[#This Row],[NeedsAttention]]=1,Table3[[#This Row],[Start]],Table3[[#This Row],[StartN]])</f>
        <v>24344</v>
      </c>
      <c r="L98">
        <f>IF(Table3[[#This Row],[NeedsAttention]]=1,Table3[[#This Row],[End]],Table3[[#This Row],[EndN]])</f>
        <v>24394</v>
      </c>
      <c r="M98" t="b">
        <f>Table3[[#This Row],[Merged.Start]]=L97+1</f>
        <v>1</v>
      </c>
      <c r="O98">
        <f>Table3[[#This Row],[Section]]</f>
        <v>97</v>
      </c>
      <c r="P98">
        <f>Table3[[#This Row],[Canon]]</f>
        <v>8</v>
      </c>
      <c r="Q98" s="1" t="str">
        <f>Table3[[#This Row],[Reference]]</f>
        <v>9.38-40</v>
      </c>
      <c r="R98" t="str">
        <f>Table3[[#This Row],[StartR]]</f>
        <v>MRK 9:38</v>
      </c>
      <c r="S98" t="str">
        <f>Table3[[#This Row],[EndR]]</f>
        <v>MRK 9:40</v>
      </c>
      <c r="T98">
        <f>Table3[[#This Row],[Merged.Start]]</f>
        <v>24344</v>
      </c>
      <c r="U98">
        <f>Table3[[#This Row],[Merged.End]]</f>
        <v>24394</v>
      </c>
    </row>
    <row r="99" spans="1:21" x14ac:dyDescent="0.25">
      <c r="A99">
        <v>98</v>
      </c>
      <c r="B99">
        <v>6</v>
      </c>
      <c r="C99" s="1">
        <v>9.41</v>
      </c>
      <c r="D99" t="s">
        <v>1023</v>
      </c>
      <c r="E99" t="s">
        <v>1023</v>
      </c>
      <c r="F99">
        <v>24395</v>
      </c>
      <c r="G99">
        <v>24416</v>
      </c>
      <c r="H99">
        <v>0</v>
      </c>
      <c r="K99">
        <f>IF(Table3[[#This Row],[NeedsAttention]]=1,Table3[[#This Row],[Start]],Table3[[#This Row],[StartN]])</f>
        <v>24395</v>
      </c>
      <c r="L99">
        <f>IF(Table3[[#This Row],[NeedsAttention]]=1,Table3[[#This Row],[End]],Table3[[#This Row],[EndN]])</f>
        <v>24416</v>
      </c>
      <c r="M99" t="b">
        <f>Table3[[#This Row],[Merged.Start]]=L98+1</f>
        <v>1</v>
      </c>
      <c r="O99">
        <f>Table3[[#This Row],[Section]]</f>
        <v>98</v>
      </c>
      <c r="P99">
        <f>Table3[[#This Row],[Canon]]</f>
        <v>6</v>
      </c>
      <c r="Q99" s="1">
        <f>Table3[[#This Row],[Reference]]</f>
        <v>9.41</v>
      </c>
      <c r="R99" t="str">
        <f>Table3[[#This Row],[StartR]]</f>
        <v>MRK 9:41</v>
      </c>
      <c r="S99" t="str">
        <f>Table3[[#This Row],[EndR]]</f>
        <v>MRK 9:41</v>
      </c>
      <c r="T99">
        <f>Table3[[#This Row],[Merged.Start]]</f>
        <v>24395</v>
      </c>
      <c r="U99">
        <f>Table3[[#This Row],[Merged.End]]</f>
        <v>24416</v>
      </c>
    </row>
    <row r="100" spans="1:21" x14ac:dyDescent="0.25">
      <c r="A100">
        <v>99</v>
      </c>
      <c r="B100">
        <v>2</v>
      </c>
      <c r="C100" s="1">
        <v>9.42</v>
      </c>
      <c r="D100" t="s">
        <v>1024</v>
      </c>
      <c r="E100" t="s">
        <v>1024</v>
      </c>
      <c r="F100">
        <v>24417</v>
      </c>
      <c r="G100">
        <v>24445</v>
      </c>
      <c r="H100">
        <v>0</v>
      </c>
      <c r="K100">
        <f>IF(Table3[[#This Row],[NeedsAttention]]=1,Table3[[#This Row],[Start]],Table3[[#This Row],[StartN]])</f>
        <v>24417</v>
      </c>
      <c r="L100">
        <f>IF(Table3[[#This Row],[NeedsAttention]]=1,Table3[[#This Row],[End]],Table3[[#This Row],[EndN]])</f>
        <v>24445</v>
      </c>
      <c r="M100" t="b">
        <f>Table3[[#This Row],[Merged.Start]]=L99+1</f>
        <v>1</v>
      </c>
      <c r="O100">
        <f>Table3[[#This Row],[Section]]</f>
        <v>99</v>
      </c>
      <c r="P100">
        <f>Table3[[#This Row],[Canon]]</f>
        <v>2</v>
      </c>
      <c r="Q100" s="1">
        <f>Table3[[#This Row],[Reference]]</f>
        <v>9.42</v>
      </c>
      <c r="R100" t="str">
        <f>Table3[[#This Row],[StartR]]</f>
        <v>MRK 9:42</v>
      </c>
      <c r="S100" t="str">
        <f>Table3[[#This Row],[EndR]]</f>
        <v>MRK 9:42</v>
      </c>
      <c r="T100">
        <f>Table3[[#This Row],[Merged.Start]]</f>
        <v>24417</v>
      </c>
      <c r="U100">
        <f>Table3[[#This Row],[Merged.End]]</f>
        <v>24445</v>
      </c>
    </row>
    <row r="101" spans="1:21" x14ac:dyDescent="0.25">
      <c r="A101">
        <v>100</v>
      </c>
      <c r="B101">
        <v>6</v>
      </c>
      <c r="C101" s="1" t="s">
        <v>1025</v>
      </c>
      <c r="D101" t="s">
        <v>1026</v>
      </c>
      <c r="E101" t="s">
        <v>1027</v>
      </c>
      <c r="F101">
        <v>24446</v>
      </c>
      <c r="G101">
        <v>24529</v>
      </c>
      <c r="H101">
        <v>0</v>
      </c>
      <c r="K101">
        <f>IF(Table3[[#This Row],[NeedsAttention]]=1,Table3[[#This Row],[Start]],Table3[[#This Row],[StartN]])</f>
        <v>24446</v>
      </c>
      <c r="L101">
        <f>IF(Table3[[#This Row],[NeedsAttention]]=1,Table3[[#This Row],[End]],Table3[[#This Row],[EndN]])</f>
        <v>24529</v>
      </c>
      <c r="M101" t="b">
        <f>Table3[[#This Row],[Merged.Start]]=L100+1</f>
        <v>1</v>
      </c>
      <c r="O101">
        <f>Table3[[#This Row],[Section]]</f>
        <v>100</v>
      </c>
      <c r="P101">
        <f>Table3[[#This Row],[Canon]]</f>
        <v>6</v>
      </c>
      <c r="Q101" s="1" t="str">
        <f>Table3[[#This Row],[Reference]]</f>
        <v>9.43-47</v>
      </c>
      <c r="R101" t="str">
        <f>Table3[[#This Row],[StartR]]</f>
        <v>MRK 9:43</v>
      </c>
      <c r="S101" t="str">
        <f>Table3[[#This Row],[EndR]]</f>
        <v>MRK 9:47</v>
      </c>
      <c r="T101">
        <f>Table3[[#This Row],[Merged.Start]]</f>
        <v>24446</v>
      </c>
      <c r="U101">
        <f>Table3[[#This Row],[Merged.End]]</f>
        <v>24529</v>
      </c>
    </row>
    <row r="102" spans="1:21" x14ac:dyDescent="0.25">
      <c r="A102">
        <v>101</v>
      </c>
      <c r="B102">
        <v>10</v>
      </c>
      <c r="C102" s="1">
        <v>9.49</v>
      </c>
      <c r="D102" t="s">
        <v>2519</v>
      </c>
      <c r="E102" t="s">
        <v>1028</v>
      </c>
      <c r="F102" s="2">
        <v>24530</v>
      </c>
      <c r="G102">
        <v>24544</v>
      </c>
      <c r="H102">
        <v>0</v>
      </c>
      <c r="K102">
        <f>IF(Table3[[#This Row],[NeedsAttention]]=1,Table3[[#This Row],[Start]],Table3[[#This Row],[StartN]])</f>
        <v>24530</v>
      </c>
      <c r="L102">
        <f>IF(Table3[[#This Row],[NeedsAttention]]=1,Table3[[#This Row],[End]],Table3[[#This Row],[EndN]])</f>
        <v>24544</v>
      </c>
      <c r="M102" t="b">
        <f>Table3[[#This Row],[Merged.Start]]=L101+1</f>
        <v>1</v>
      </c>
      <c r="O102">
        <f>Table3[[#This Row],[Section]]</f>
        <v>101</v>
      </c>
      <c r="P102">
        <f>Table3[[#This Row],[Canon]]</f>
        <v>10</v>
      </c>
      <c r="Q102" s="1">
        <f>Table3[[#This Row],[Reference]]</f>
        <v>9.49</v>
      </c>
      <c r="R102" t="str">
        <f>Table3[[#This Row],[StartR]]</f>
        <v>MRK 9:48</v>
      </c>
      <c r="S102" t="str">
        <f>Table3[[#This Row],[EndR]]</f>
        <v>MRK 9:49</v>
      </c>
      <c r="T102">
        <f>Table3[[#This Row],[Merged.Start]]</f>
        <v>24530</v>
      </c>
      <c r="U102">
        <f>Table3[[#This Row],[Merged.End]]</f>
        <v>24544</v>
      </c>
    </row>
    <row r="103" spans="1:21" x14ac:dyDescent="0.25">
      <c r="A103">
        <v>102</v>
      </c>
      <c r="B103">
        <v>2</v>
      </c>
      <c r="C103" s="1">
        <v>9.5</v>
      </c>
      <c r="D103" t="s">
        <v>2517</v>
      </c>
      <c r="E103" t="s">
        <v>2517</v>
      </c>
      <c r="F103" s="2">
        <v>24545</v>
      </c>
      <c r="G103" s="2">
        <v>24565</v>
      </c>
      <c r="H103">
        <v>0</v>
      </c>
      <c r="K103">
        <f>IF(Table3[[#This Row],[NeedsAttention]]=1,Table3[[#This Row],[Start]],Table3[[#This Row],[StartN]])</f>
        <v>24545</v>
      </c>
      <c r="L103">
        <f>IF(Table3[[#This Row],[NeedsAttention]]=1,Table3[[#This Row],[End]],Table3[[#This Row],[EndN]])</f>
        <v>24565</v>
      </c>
      <c r="M103" t="b">
        <f>Table3[[#This Row],[Merged.Start]]=L102+1</f>
        <v>1</v>
      </c>
      <c r="O103">
        <f>Table3[[#This Row],[Section]]</f>
        <v>102</v>
      </c>
      <c r="P103">
        <f>Table3[[#This Row],[Canon]]</f>
        <v>2</v>
      </c>
      <c r="Q103" s="1">
        <f>Table3[[#This Row],[Reference]]</f>
        <v>9.5</v>
      </c>
      <c r="R103" t="str">
        <f>Table3[[#This Row],[StartR]]</f>
        <v>MRK 9:50</v>
      </c>
      <c r="S103" t="str">
        <f>Table3[[#This Row],[EndR]]</f>
        <v>MRK 9:50</v>
      </c>
      <c r="T103">
        <f>Table3[[#This Row],[Merged.Start]]</f>
        <v>24545</v>
      </c>
      <c r="U103">
        <f>Table3[[#This Row],[Merged.End]]</f>
        <v>24565</v>
      </c>
    </row>
    <row r="104" spans="1:21" x14ac:dyDescent="0.25">
      <c r="A104">
        <v>103</v>
      </c>
      <c r="B104">
        <v>6</v>
      </c>
      <c r="C104" s="1" t="s">
        <v>1029</v>
      </c>
      <c r="D104" t="s">
        <v>1030</v>
      </c>
      <c r="E104" t="s">
        <v>1031</v>
      </c>
      <c r="F104">
        <v>24566</v>
      </c>
      <c r="G104">
        <v>24680</v>
      </c>
      <c r="H104">
        <v>0</v>
      </c>
      <c r="K104">
        <f>IF(Table3[[#This Row],[NeedsAttention]]=1,Table3[[#This Row],[Start]],Table3[[#This Row],[StartN]])</f>
        <v>24566</v>
      </c>
      <c r="L104">
        <f>IF(Table3[[#This Row],[NeedsAttention]]=1,Table3[[#This Row],[End]],Table3[[#This Row],[EndN]])</f>
        <v>24680</v>
      </c>
      <c r="M104" t="b">
        <f>Table3[[#This Row],[Merged.Start]]=L103+1</f>
        <v>1</v>
      </c>
      <c r="O104">
        <f>Table3[[#This Row],[Section]]</f>
        <v>103</v>
      </c>
      <c r="P104">
        <f>Table3[[#This Row],[Canon]]</f>
        <v>6</v>
      </c>
      <c r="Q104" s="1" t="str">
        <f>Table3[[#This Row],[Reference]]</f>
        <v>10.1-9</v>
      </c>
      <c r="R104" t="str">
        <f>Table3[[#This Row],[StartR]]</f>
        <v>MRK 10:1</v>
      </c>
      <c r="S104" t="str">
        <f>Table3[[#This Row],[EndR]]</f>
        <v>MRK 10:9</v>
      </c>
      <c r="T104">
        <f>Table3[[#This Row],[Merged.Start]]</f>
        <v>24566</v>
      </c>
      <c r="U104">
        <f>Table3[[#This Row],[Merged.End]]</f>
        <v>24680</v>
      </c>
    </row>
    <row r="105" spans="1:21" x14ac:dyDescent="0.25">
      <c r="A105">
        <v>104</v>
      </c>
      <c r="B105">
        <v>10</v>
      </c>
      <c r="C105" s="1">
        <v>10.1</v>
      </c>
      <c r="D105" t="s">
        <v>2518</v>
      </c>
      <c r="E105" t="s">
        <v>2518</v>
      </c>
      <c r="F105" s="2">
        <v>24681</v>
      </c>
      <c r="G105" s="2">
        <v>24691</v>
      </c>
      <c r="H105">
        <v>0</v>
      </c>
      <c r="K105">
        <f>IF(Table3[[#This Row],[NeedsAttention]]=1,Table3[[#This Row],[Start]],Table3[[#This Row],[StartN]])</f>
        <v>24681</v>
      </c>
      <c r="L105">
        <f>IF(Table3[[#This Row],[NeedsAttention]]=1,Table3[[#This Row],[End]],Table3[[#This Row],[EndN]])</f>
        <v>24691</v>
      </c>
      <c r="M105" t="b">
        <f>Table3[[#This Row],[Merged.Start]]=L104+1</f>
        <v>1</v>
      </c>
      <c r="O105">
        <f>Table3[[#This Row],[Section]]</f>
        <v>104</v>
      </c>
      <c r="P105">
        <f>Table3[[#This Row],[Canon]]</f>
        <v>10</v>
      </c>
      <c r="Q105" s="1">
        <f>Table3[[#This Row],[Reference]]</f>
        <v>10.1</v>
      </c>
      <c r="R105" t="str">
        <f>Table3[[#This Row],[StartR]]</f>
        <v>MRK 10:10</v>
      </c>
      <c r="S105" t="str">
        <f>Table3[[#This Row],[EndR]]</f>
        <v>MRK 10:10</v>
      </c>
      <c r="T105">
        <f>Table3[[#This Row],[Merged.Start]]</f>
        <v>24681</v>
      </c>
      <c r="U105">
        <f>Table3[[#This Row],[Merged.End]]</f>
        <v>24691</v>
      </c>
    </row>
    <row r="106" spans="1:21" x14ac:dyDescent="0.25">
      <c r="A106">
        <v>105</v>
      </c>
      <c r="B106">
        <v>2</v>
      </c>
      <c r="C106" s="1" t="s">
        <v>1032</v>
      </c>
      <c r="D106" t="s">
        <v>1033</v>
      </c>
      <c r="E106" t="s">
        <v>1034</v>
      </c>
      <c r="F106">
        <v>24692</v>
      </c>
      <c r="G106">
        <v>24716</v>
      </c>
      <c r="H106">
        <v>0</v>
      </c>
      <c r="K106">
        <f>IF(Table3[[#This Row],[NeedsAttention]]=1,Table3[[#This Row],[Start]],Table3[[#This Row],[StartN]])</f>
        <v>24692</v>
      </c>
      <c r="L106">
        <f>IF(Table3[[#This Row],[NeedsAttention]]=1,Table3[[#This Row],[End]],Table3[[#This Row],[EndN]])</f>
        <v>24716</v>
      </c>
      <c r="M106" t="b">
        <f>Table3[[#This Row],[Merged.Start]]=L105+1</f>
        <v>1</v>
      </c>
      <c r="O106">
        <f>Table3[[#This Row],[Section]]</f>
        <v>105</v>
      </c>
      <c r="P106">
        <f>Table3[[#This Row],[Canon]]</f>
        <v>2</v>
      </c>
      <c r="Q106" s="1" t="str">
        <f>Table3[[#This Row],[Reference]]</f>
        <v>10.11-12</v>
      </c>
      <c r="R106" t="str">
        <f>Table3[[#This Row],[StartR]]</f>
        <v>MRK 10:11</v>
      </c>
      <c r="S106" t="str">
        <f>Table3[[#This Row],[EndR]]</f>
        <v>MRK 10:12</v>
      </c>
      <c r="T106">
        <f>Table3[[#This Row],[Merged.Start]]</f>
        <v>24692</v>
      </c>
      <c r="U106">
        <f>Table3[[#This Row],[Merged.End]]</f>
        <v>24716</v>
      </c>
    </row>
    <row r="107" spans="1:21" x14ac:dyDescent="0.25">
      <c r="A107">
        <v>106</v>
      </c>
      <c r="B107">
        <v>2</v>
      </c>
      <c r="C107" s="1" t="s">
        <v>1035</v>
      </c>
      <c r="D107" t="s">
        <v>1036</v>
      </c>
      <c r="E107" t="s">
        <v>1037</v>
      </c>
      <c r="F107">
        <v>24717</v>
      </c>
      <c r="G107">
        <v>24780</v>
      </c>
      <c r="H107">
        <v>0</v>
      </c>
      <c r="K107">
        <f>IF(Table3[[#This Row],[NeedsAttention]]=1,Table3[[#This Row],[Start]],Table3[[#This Row],[StartN]])</f>
        <v>24717</v>
      </c>
      <c r="L107">
        <f>IF(Table3[[#This Row],[NeedsAttention]]=1,Table3[[#This Row],[End]],Table3[[#This Row],[EndN]])</f>
        <v>24780</v>
      </c>
      <c r="M107" t="b">
        <f>Table3[[#This Row],[Merged.Start]]=L106+1</f>
        <v>1</v>
      </c>
      <c r="O107">
        <f>Table3[[#This Row],[Section]]</f>
        <v>106</v>
      </c>
      <c r="P107">
        <f>Table3[[#This Row],[Canon]]</f>
        <v>2</v>
      </c>
      <c r="Q107" s="1" t="str">
        <f>Table3[[#This Row],[Reference]]</f>
        <v>10.13-16</v>
      </c>
      <c r="R107" t="str">
        <f>Table3[[#This Row],[StartR]]</f>
        <v>MRK 10:13</v>
      </c>
      <c r="S107" t="str">
        <f>Table3[[#This Row],[EndR]]</f>
        <v>MRK 10:16</v>
      </c>
      <c r="T107">
        <f>Table3[[#This Row],[Merged.Start]]</f>
        <v>24717</v>
      </c>
      <c r="U107">
        <f>Table3[[#This Row],[Merged.End]]</f>
        <v>24780</v>
      </c>
    </row>
    <row r="108" spans="1:21" x14ac:dyDescent="0.25">
      <c r="A108">
        <v>107</v>
      </c>
      <c r="B108">
        <v>2</v>
      </c>
      <c r="C108" s="1" t="s">
        <v>1038</v>
      </c>
      <c r="D108" t="s">
        <v>1039</v>
      </c>
      <c r="E108" t="s">
        <v>1040</v>
      </c>
      <c r="F108">
        <v>24781</v>
      </c>
      <c r="G108">
        <v>24877</v>
      </c>
      <c r="H108">
        <v>1</v>
      </c>
      <c r="I108">
        <v>24781</v>
      </c>
      <c r="J108">
        <v>24857</v>
      </c>
      <c r="K108">
        <f>IF(Table3[[#This Row],[NeedsAttention]]=1,Table3[[#This Row],[Start]],Table3[[#This Row],[StartN]])</f>
        <v>24781</v>
      </c>
      <c r="L108">
        <f>IF(Table3[[#This Row],[NeedsAttention]]=1,Table3[[#This Row],[End]],Table3[[#This Row],[EndN]])</f>
        <v>24857</v>
      </c>
      <c r="M108" t="b">
        <f>Table3[[#This Row],[Merged.Start]]=L107+1</f>
        <v>1</v>
      </c>
      <c r="O108">
        <f>Table3[[#This Row],[Section]]</f>
        <v>107</v>
      </c>
      <c r="P108">
        <f>Table3[[#This Row],[Canon]]</f>
        <v>2</v>
      </c>
      <c r="Q108" s="1" t="str">
        <f>Table3[[#This Row],[Reference]]</f>
        <v>10.17-21A</v>
      </c>
      <c r="R108" t="str">
        <f>Table3[[#This Row],[StartR]]</f>
        <v>MRK 10:17</v>
      </c>
      <c r="S108" t="str">
        <f>Table3[[#This Row],[EndR]]</f>
        <v>MRK 10:21</v>
      </c>
      <c r="T108">
        <f>Table3[[#This Row],[Merged.Start]]</f>
        <v>24781</v>
      </c>
      <c r="U108">
        <f>Table3[[#This Row],[Merged.End]]</f>
        <v>24857</v>
      </c>
    </row>
    <row r="109" spans="1:21" x14ac:dyDescent="0.25">
      <c r="A109">
        <v>108</v>
      </c>
      <c r="B109">
        <v>2</v>
      </c>
      <c r="C109" s="1" t="s">
        <v>1041</v>
      </c>
      <c r="D109" t="s">
        <v>1040</v>
      </c>
      <c r="E109" t="s">
        <v>1040</v>
      </c>
      <c r="F109">
        <v>24848</v>
      </c>
      <c r="G109">
        <v>24877</v>
      </c>
      <c r="H109">
        <v>1</v>
      </c>
      <c r="I109">
        <v>24858</v>
      </c>
      <c r="J109">
        <v>24877</v>
      </c>
      <c r="K109">
        <f>IF(Table3[[#This Row],[NeedsAttention]]=1,Table3[[#This Row],[Start]],Table3[[#This Row],[StartN]])</f>
        <v>24858</v>
      </c>
      <c r="L109">
        <f>IF(Table3[[#This Row],[NeedsAttention]]=1,Table3[[#This Row],[End]],Table3[[#This Row],[EndN]])</f>
        <v>24877</v>
      </c>
      <c r="M109" t="b">
        <f>Table3[[#This Row],[Merged.Start]]=L108+1</f>
        <v>1</v>
      </c>
      <c r="O109">
        <f>Table3[[#This Row],[Section]]</f>
        <v>108</v>
      </c>
      <c r="P109">
        <f>Table3[[#This Row],[Canon]]</f>
        <v>2</v>
      </c>
      <c r="Q109" s="1" t="str">
        <f>Table3[[#This Row],[Reference]]</f>
        <v>10.21B</v>
      </c>
      <c r="R109" t="str">
        <f>Table3[[#This Row],[StartR]]</f>
        <v>MRK 10:21</v>
      </c>
      <c r="S109" t="str">
        <f>Table3[[#This Row],[EndR]]</f>
        <v>MRK 10:21</v>
      </c>
      <c r="T109">
        <f>Table3[[#This Row],[Merged.Start]]</f>
        <v>24858</v>
      </c>
      <c r="U109">
        <f>Table3[[#This Row],[Merged.End]]</f>
        <v>24877</v>
      </c>
    </row>
    <row r="110" spans="1:21" x14ac:dyDescent="0.25">
      <c r="A110">
        <v>109</v>
      </c>
      <c r="B110">
        <v>2</v>
      </c>
      <c r="C110" s="1" t="s">
        <v>1042</v>
      </c>
      <c r="D110" t="s">
        <v>1043</v>
      </c>
      <c r="E110" t="s">
        <v>1044</v>
      </c>
      <c r="F110">
        <v>24878</v>
      </c>
      <c r="G110">
        <v>24993</v>
      </c>
      <c r="H110">
        <v>0</v>
      </c>
      <c r="K110">
        <f>IF(Table3[[#This Row],[NeedsAttention]]=1,Table3[[#This Row],[Start]],Table3[[#This Row],[StartN]])</f>
        <v>24878</v>
      </c>
      <c r="L110">
        <f>IF(Table3[[#This Row],[NeedsAttention]]=1,Table3[[#This Row],[End]],Table3[[#This Row],[EndN]])</f>
        <v>24993</v>
      </c>
      <c r="M110" t="b">
        <f>Table3[[#This Row],[Merged.Start]]=L109+1</f>
        <v>1</v>
      </c>
      <c r="O110">
        <f>Table3[[#This Row],[Section]]</f>
        <v>109</v>
      </c>
      <c r="P110">
        <f>Table3[[#This Row],[Canon]]</f>
        <v>2</v>
      </c>
      <c r="Q110" s="1" t="str">
        <f>Table3[[#This Row],[Reference]]</f>
        <v>10.22-28</v>
      </c>
      <c r="R110" t="str">
        <f>Table3[[#This Row],[StartR]]</f>
        <v>MRK 10:22</v>
      </c>
      <c r="S110" t="str">
        <f>Table3[[#This Row],[EndR]]</f>
        <v>MRK 10:28</v>
      </c>
      <c r="T110">
        <f>Table3[[#This Row],[Merged.Start]]</f>
        <v>24878</v>
      </c>
      <c r="U110">
        <f>Table3[[#This Row],[Merged.End]]</f>
        <v>24993</v>
      </c>
    </row>
    <row r="111" spans="1:21" x14ac:dyDescent="0.25">
      <c r="A111">
        <v>110</v>
      </c>
      <c r="B111">
        <v>2</v>
      </c>
      <c r="C111" s="1" t="s">
        <v>1045</v>
      </c>
      <c r="D111" t="s">
        <v>1046</v>
      </c>
      <c r="E111" t="s">
        <v>1047</v>
      </c>
      <c r="F111">
        <v>24994</v>
      </c>
      <c r="G111">
        <v>25052</v>
      </c>
      <c r="H111">
        <v>0</v>
      </c>
      <c r="K111">
        <f>IF(Table3[[#This Row],[NeedsAttention]]=1,Table3[[#This Row],[Start]],Table3[[#This Row],[StartN]])</f>
        <v>24994</v>
      </c>
      <c r="L111">
        <f>IF(Table3[[#This Row],[NeedsAttention]]=1,Table3[[#This Row],[End]],Table3[[#This Row],[EndN]])</f>
        <v>25052</v>
      </c>
      <c r="M111" t="b">
        <f>Table3[[#This Row],[Merged.Start]]=L110+1</f>
        <v>1</v>
      </c>
      <c r="O111">
        <f>Table3[[#This Row],[Section]]</f>
        <v>110</v>
      </c>
      <c r="P111">
        <f>Table3[[#This Row],[Canon]]</f>
        <v>2</v>
      </c>
      <c r="Q111" s="1" t="str">
        <f>Table3[[#This Row],[Reference]]</f>
        <v>10.29-30</v>
      </c>
      <c r="R111" t="str">
        <f>Table3[[#This Row],[StartR]]</f>
        <v>MRK 10:29</v>
      </c>
      <c r="S111" t="str">
        <f>Table3[[#This Row],[EndR]]</f>
        <v>MRK 10:30</v>
      </c>
      <c r="T111">
        <f>Table3[[#This Row],[Merged.Start]]</f>
        <v>24994</v>
      </c>
      <c r="U111">
        <f>Table3[[#This Row],[Merged.End]]</f>
        <v>25052</v>
      </c>
    </row>
    <row r="112" spans="1:21" x14ac:dyDescent="0.25">
      <c r="A112">
        <v>111</v>
      </c>
      <c r="B112">
        <v>2</v>
      </c>
      <c r="C112" s="1">
        <v>10.31</v>
      </c>
      <c r="D112" t="s">
        <v>1048</v>
      </c>
      <c r="E112" t="s">
        <v>1048</v>
      </c>
      <c r="F112">
        <v>25053</v>
      </c>
      <c r="G112">
        <v>25061</v>
      </c>
      <c r="H112">
        <v>0</v>
      </c>
      <c r="K112">
        <f>IF(Table3[[#This Row],[NeedsAttention]]=1,Table3[[#This Row],[Start]],Table3[[#This Row],[StartN]])</f>
        <v>25053</v>
      </c>
      <c r="L112">
        <f>IF(Table3[[#This Row],[NeedsAttention]]=1,Table3[[#This Row],[End]],Table3[[#This Row],[EndN]])</f>
        <v>25061</v>
      </c>
      <c r="M112" t="b">
        <f>Table3[[#This Row],[Merged.Start]]=L111+1</f>
        <v>1</v>
      </c>
      <c r="O112">
        <f>Table3[[#This Row],[Section]]</f>
        <v>111</v>
      </c>
      <c r="P112">
        <f>Table3[[#This Row],[Canon]]</f>
        <v>2</v>
      </c>
      <c r="Q112" s="1">
        <f>Table3[[#This Row],[Reference]]</f>
        <v>10.31</v>
      </c>
      <c r="R112" t="str">
        <f>Table3[[#This Row],[StartR]]</f>
        <v>MRK 10:31</v>
      </c>
      <c r="S112" t="str">
        <f>Table3[[#This Row],[EndR]]</f>
        <v>MRK 10:31</v>
      </c>
      <c r="T112">
        <f>Table3[[#This Row],[Merged.Start]]</f>
        <v>25053</v>
      </c>
      <c r="U112">
        <f>Table3[[#This Row],[Merged.End]]</f>
        <v>25061</v>
      </c>
    </row>
    <row r="113" spans="1:21" x14ac:dyDescent="0.25">
      <c r="A113">
        <v>112</v>
      </c>
      <c r="B113">
        <v>2</v>
      </c>
      <c r="C113" s="1" t="s">
        <v>1049</v>
      </c>
      <c r="D113" t="s">
        <v>1050</v>
      </c>
      <c r="E113" t="s">
        <v>1051</v>
      </c>
      <c r="F113">
        <v>25062</v>
      </c>
      <c r="G113">
        <v>25134</v>
      </c>
      <c r="H113">
        <v>0</v>
      </c>
      <c r="K113">
        <f>IF(Table3[[#This Row],[NeedsAttention]]=1,Table3[[#This Row],[Start]],Table3[[#This Row],[StartN]])</f>
        <v>25062</v>
      </c>
      <c r="L113">
        <f>IF(Table3[[#This Row],[NeedsAttention]]=1,Table3[[#This Row],[End]],Table3[[#This Row],[EndN]])</f>
        <v>25134</v>
      </c>
      <c r="M113" t="b">
        <f>Table3[[#This Row],[Merged.Start]]=L112+1</f>
        <v>1</v>
      </c>
      <c r="O113">
        <f>Table3[[#This Row],[Section]]</f>
        <v>112</v>
      </c>
      <c r="P113">
        <f>Table3[[#This Row],[Canon]]</f>
        <v>2</v>
      </c>
      <c r="Q113" s="1" t="str">
        <f>Table3[[#This Row],[Reference]]</f>
        <v>10.32-34</v>
      </c>
      <c r="R113" t="str">
        <f>Table3[[#This Row],[StartR]]</f>
        <v>MRK 10:32</v>
      </c>
      <c r="S113" t="str">
        <f>Table3[[#This Row],[EndR]]</f>
        <v>MRK 10:34</v>
      </c>
      <c r="T113">
        <f>Table3[[#This Row],[Merged.Start]]</f>
        <v>25062</v>
      </c>
      <c r="U113">
        <f>Table3[[#This Row],[Merged.End]]</f>
        <v>25134</v>
      </c>
    </row>
    <row r="114" spans="1:21" x14ac:dyDescent="0.25">
      <c r="A114">
        <v>113</v>
      </c>
      <c r="B114">
        <v>6</v>
      </c>
      <c r="C114" s="1" t="s">
        <v>1052</v>
      </c>
      <c r="D114" t="s">
        <v>1053</v>
      </c>
      <c r="E114" t="s">
        <v>1054</v>
      </c>
      <c r="F114">
        <v>25135</v>
      </c>
      <c r="G114">
        <v>25244</v>
      </c>
      <c r="H114">
        <v>0</v>
      </c>
      <c r="K114">
        <f>IF(Table3[[#This Row],[NeedsAttention]]=1,Table3[[#This Row],[Start]],Table3[[#This Row],[StartN]])</f>
        <v>25135</v>
      </c>
      <c r="L114">
        <f>IF(Table3[[#This Row],[NeedsAttention]]=1,Table3[[#This Row],[End]],Table3[[#This Row],[EndN]])</f>
        <v>25244</v>
      </c>
      <c r="M114" t="b">
        <f>Table3[[#This Row],[Merged.Start]]=L113+1</f>
        <v>1</v>
      </c>
      <c r="O114">
        <f>Table3[[#This Row],[Section]]</f>
        <v>113</v>
      </c>
      <c r="P114">
        <f>Table3[[#This Row],[Canon]]</f>
        <v>6</v>
      </c>
      <c r="Q114" s="1" t="str">
        <f>Table3[[#This Row],[Reference]]</f>
        <v>10.35-40</v>
      </c>
      <c r="R114" t="str">
        <f>Table3[[#This Row],[StartR]]</f>
        <v>MRK 10:35</v>
      </c>
      <c r="S114" t="str">
        <f>Table3[[#This Row],[EndR]]</f>
        <v>MRK 10:40</v>
      </c>
      <c r="T114">
        <f>Table3[[#This Row],[Merged.Start]]</f>
        <v>25135</v>
      </c>
      <c r="U114">
        <f>Table3[[#This Row],[Merged.End]]</f>
        <v>25244</v>
      </c>
    </row>
    <row r="115" spans="1:21" x14ac:dyDescent="0.25">
      <c r="A115">
        <v>114</v>
      </c>
      <c r="B115">
        <v>2</v>
      </c>
      <c r="C115" s="1" t="s">
        <v>1055</v>
      </c>
      <c r="D115" t="s">
        <v>1056</v>
      </c>
      <c r="E115" t="s">
        <v>1057</v>
      </c>
      <c r="F115">
        <v>25245</v>
      </c>
      <c r="G115">
        <v>25304</v>
      </c>
      <c r="H115">
        <v>0</v>
      </c>
      <c r="K115">
        <f>IF(Table3[[#This Row],[NeedsAttention]]=1,Table3[[#This Row],[Start]],Table3[[#This Row],[StartN]])</f>
        <v>25245</v>
      </c>
      <c r="L115">
        <f>IF(Table3[[#This Row],[NeedsAttention]]=1,Table3[[#This Row],[End]],Table3[[#This Row],[EndN]])</f>
        <v>25304</v>
      </c>
      <c r="M115" t="b">
        <f>Table3[[#This Row],[Merged.Start]]=L114+1</f>
        <v>1</v>
      </c>
      <c r="O115">
        <f>Table3[[#This Row],[Section]]</f>
        <v>114</v>
      </c>
      <c r="P115">
        <f>Table3[[#This Row],[Canon]]</f>
        <v>2</v>
      </c>
      <c r="Q115" s="1" t="str">
        <f>Table3[[#This Row],[Reference]]</f>
        <v>10.41-44</v>
      </c>
      <c r="R115" t="str">
        <f>Table3[[#This Row],[StartR]]</f>
        <v>MRK 10:41</v>
      </c>
      <c r="S115" t="str">
        <f>Table3[[#This Row],[EndR]]</f>
        <v>MRK 10:44</v>
      </c>
      <c r="T115">
        <f>Table3[[#This Row],[Merged.Start]]</f>
        <v>25245</v>
      </c>
      <c r="U115">
        <f>Table3[[#This Row],[Merged.End]]</f>
        <v>25304</v>
      </c>
    </row>
    <row r="116" spans="1:21" x14ac:dyDescent="0.25">
      <c r="A116">
        <v>115</v>
      </c>
      <c r="B116">
        <v>4</v>
      </c>
      <c r="C116" s="1">
        <v>10.45</v>
      </c>
      <c r="D116" t="s">
        <v>1058</v>
      </c>
      <c r="E116" t="s">
        <v>1058</v>
      </c>
      <c r="F116">
        <v>25305</v>
      </c>
      <c r="G116">
        <v>25323</v>
      </c>
      <c r="H116">
        <v>0</v>
      </c>
      <c r="K116">
        <f>IF(Table3[[#This Row],[NeedsAttention]]=1,Table3[[#This Row],[Start]],Table3[[#This Row],[StartN]])</f>
        <v>25305</v>
      </c>
      <c r="L116">
        <f>IF(Table3[[#This Row],[NeedsAttention]]=1,Table3[[#This Row],[End]],Table3[[#This Row],[EndN]])</f>
        <v>25323</v>
      </c>
      <c r="M116" t="b">
        <f>Table3[[#This Row],[Merged.Start]]=L115+1</f>
        <v>1</v>
      </c>
      <c r="O116">
        <f>Table3[[#This Row],[Section]]</f>
        <v>115</v>
      </c>
      <c r="P116">
        <f>Table3[[#This Row],[Canon]]</f>
        <v>4</v>
      </c>
      <c r="Q116" s="1">
        <f>Table3[[#This Row],[Reference]]</f>
        <v>10.45</v>
      </c>
      <c r="R116" t="str">
        <f>Table3[[#This Row],[StartR]]</f>
        <v>MRK 10:45</v>
      </c>
      <c r="S116" t="str">
        <f>Table3[[#This Row],[EndR]]</f>
        <v>MRK 10:45</v>
      </c>
      <c r="T116">
        <f>Table3[[#This Row],[Merged.Start]]</f>
        <v>25305</v>
      </c>
      <c r="U116">
        <f>Table3[[#This Row],[Merged.End]]</f>
        <v>25323</v>
      </c>
    </row>
    <row r="117" spans="1:21" x14ac:dyDescent="0.25">
      <c r="A117">
        <v>116</v>
      </c>
      <c r="B117">
        <v>2</v>
      </c>
      <c r="C117" s="1" t="s">
        <v>1059</v>
      </c>
      <c r="D117" t="s">
        <v>1060</v>
      </c>
      <c r="E117" t="s">
        <v>1061</v>
      </c>
      <c r="F117">
        <v>25324</v>
      </c>
      <c r="G117">
        <v>25446</v>
      </c>
      <c r="H117">
        <v>0</v>
      </c>
      <c r="K117">
        <f>IF(Table3[[#This Row],[NeedsAttention]]=1,Table3[[#This Row],[Start]],Table3[[#This Row],[StartN]])</f>
        <v>25324</v>
      </c>
      <c r="L117">
        <f>IF(Table3[[#This Row],[NeedsAttention]]=1,Table3[[#This Row],[End]],Table3[[#This Row],[EndN]])</f>
        <v>25446</v>
      </c>
      <c r="M117" t="b">
        <f>Table3[[#This Row],[Merged.Start]]=L116+1</f>
        <v>1</v>
      </c>
      <c r="O117">
        <f>Table3[[#This Row],[Section]]</f>
        <v>116</v>
      </c>
      <c r="P117">
        <f>Table3[[#This Row],[Canon]]</f>
        <v>2</v>
      </c>
      <c r="Q117" s="1" t="str">
        <f>Table3[[#This Row],[Reference]]</f>
        <v>10.46-52</v>
      </c>
      <c r="R117" t="str">
        <f>Table3[[#This Row],[StartR]]</f>
        <v>MRK 10:46</v>
      </c>
      <c r="S117" t="str">
        <f>Table3[[#This Row],[EndR]]</f>
        <v>MRK 10:52</v>
      </c>
      <c r="T117">
        <f>Table3[[#This Row],[Merged.Start]]</f>
        <v>25324</v>
      </c>
      <c r="U117">
        <f>Table3[[#This Row],[Merged.End]]</f>
        <v>25446</v>
      </c>
    </row>
    <row r="118" spans="1:21" x14ac:dyDescent="0.25">
      <c r="A118">
        <v>117</v>
      </c>
      <c r="B118">
        <v>2</v>
      </c>
      <c r="C118" s="1" t="s">
        <v>1062</v>
      </c>
      <c r="D118" t="s">
        <v>1063</v>
      </c>
      <c r="E118" t="s">
        <v>1064</v>
      </c>
      <c r="F118">
        <v>25447</v>
      </c>
      <c r="G118">
        <v>25514</v>
      </c>
      <c r="H118">
        <v>0</v>
      </c>
      <c r="K118">
        <f>IF(Table3[[#This Row],[NeedsAttention]]=1,Table3[[#This Row],[Start]],Table3[[#This Row],[StartN]])</f>
        <v>25447</v>
      </c>
      <c r="L118">
        <f>IF(Table3[[#This Row],[NeedsAttention]]=1,Table3[[#This Row],[End]],Table3[[#This Row],[EndN]])</f>
        <v>25514</v>
      </c>
      <c r="M118" t="b">
        <f>Table3[[#This Row],[Merged.Start]]=L117+1</f>
        <v>1</v>
      </c>
      <c r="O118">
        <f>Table3[[#This Row],[Section]]</f>
        <v>117</v>
      </c>
      <c r="P118">
        <f>Table3[[#This Row],[Canon]]</f>
        <v>2</v>
      </c>
      <c r="Q118" s="1" t="str">
        <f>Table3[[#This Row],[Reference]]</f>
        <v>11.1-3</v>
      </c>
      <c r="R118" t="str">
        <f>Table3[[#This Row],[StartR]]</f>
        <v>MRK 11:1</v>
      </c>
      <c r="S118" t="str">
        <f>Table3[[#This Row],[EndR]]</f>
        <v>MRK 11:3</v>
      </c>
      <c r="T118">
        <f>Table3[[#This Row],[Merged.Start]]</f>
        <v>25447</v>
      </c>
      <c r="U118">
        <f>Table3[[#This Row],[Merged.End]]</f>
        <v>25514</v>
      </c>
    </row>
    <row r="119" spans="1:21" x14ac:dyDescent="0.25">
      <c r="A119">
        <v>118</v>
      </c>
      <c r="B119">
        <v>2</v>
      </c>
      <c r="C119" s="1" t="s">
        <v>1065</v>
      </c>
      <c r="D119" t="s">
        <v>1066</v>
      </c>
      <c r="E119" t="s">
        <v>1067</v>
      </c>
      <c r="F119">
        <v>25515</v>
      </c>
      <c r="G119">
        <v>25585</v>
      </c>
      <c r="H119">
        <v>0</v>
      </c>
      <c r="K119">
        <f>IF(Table3[[#This Row],[NeedsAttention]]=1,Table3[[#This Row],[Start]],Table3[[#This Row],[StartN]])</f>
        <v>25515</v>
      </c>
      <c r="L119">
        <f>IF(Table3[[#This Row],[NeedsAttention]]=1,Table3[[#This Row],[End]],Table3[[#This Row],[EndN]])</f>
        <v>25585</v>
      </c>
      <c r="M119" t="b">
        <f>Table3[[#This Row],[Merged.Start]]=L118+1</f>
        <v>1</v>
      </c>
      <c r="O119">
        <f>Table3[[#This Row],[Section]]</f>
        <v>118</v>
      </c>
      <c r="P119">
        <f>Table3[[#This Row],[Canon]]</f>
        <v>2</v>
      </c>
      <c r="Q119" s="1" t="str">
        <f>Table3[[#This Row],[Reference]]</f>
        <v>11.4-8</v>
      </c>
      <c r="R119" t="str">
        <f>Table3[[#This Row],[StartR]]</f>
        <v>MRK 11:4</v>
      </c>
      <c r="S119" t="str">
        <f>Table3[[#This Row],[EndR]]</f>
        <v>MRK 11:8</v>
      </c>
      <c r="T119">
        <f>Table3[[#This Row],[Merged.Start]]</f>
        <v>25515</v>
      </c>
      <c r="U119">
        <f>Table3[[#This Row],[Merged.End]]</f>
        <v>25585</v>
      </c>
    </row>
    <row r="120" spans="1:21" x14ac:dyDescent="0.25">
      <c r="A120">
        <v>119</v>
      </c>
      <c r="B120">
        <v>1</v>
      </c>
      <c r="C120" s="1" t="s">
        <v>1068</v>
      </c>
      <c r="D120" t="s">
        <v>1069</v>
      </c>
      <c r="E120" t="s">
        <v>1070</v>
      </c>
      <c r="F120">
        <v>25586</v>
      </c>
      <c r="G120">
        <v>25611</v>
      </c>
      <c r="H120">
        <v>0</v>
      </c>
      <c r="K120">
        <f>IF(Table3[[#This Row],[NeedsAttention]]=1,Table3[[#This Row],[Start]],Table3[[#This Row],[StartN]])</f>
        <v>25586</v>
      </c>
      <c r="L120">
        <f>IF(Table3[[#This Row],[NeedsAttention]]=1,Table3[[#This Row],[End]],Table3[[#This Row],[EndN]])</f>
        <v>25611</v>
      </c>
      <c r="M120" t="b">
        <f>Table3[[#This Row],[Merged.Start]]=L119+1</f>
        <v>1</v>
      </c>
      <c r="O120">
        <f>Table3[[#This Row],[Section]]</f>
        <v>119</v>
      </c>
      <c r="P120">
        <f>Table3[[#This Row],[Canon]]</f>
        <v>1</v>
      </c>
      <c r="Q120" s="1" t="str">
        <f>Table3[[#This Row],[Reference]]</f>
        <v>11.9-10</v>
      </c>
      <c r="R120" t="str">
        <f>Table3[[#This Row],[StartR]]</f>
        <v>MRK 11:9</v>
      </c>
      <c r="S120" t="str">
        <f>Table3[[#This Row],[EndR]]</f>
        <v>MRK 11:10</v>
      </c>
      <c r="T120">
        <f>Table3[[#This Row],[Merged.Start]]</f>
        <v>25586</v>
      </c>
      <c r="U120">
        <f>Table3[[#This Row],[Merged.End]]</f>
        <v>25611</v>
      </c>
    </row>
    <row r="121" spans="1:21" x14ac:dyDescent="0.25">
      <c r="A121">
        <v>120</v>
      </c>
      <c r="B121">
        <v>6</v>
      </c>
      <c r="C121" s="1" t="s">
        <v>1071</v>
      </c>
      <c r="D121" t="s">
        <v>1072</v>
      </c>
      <c r="E121" t="s">
        <v>1073</v>
      </c>
      <c r="F121">
        <v>25612</v>
      </c>
      <c r="G121">
        <v>25719</v>
      </c>
      <c r="H121">
        <v>1</v>
      </c>
      <c r="I121">
        <v>25612</v>
      </c>
      <c r="J121">
        <v>25691</v>
      </c>
      <c r="K121">
        <f>IF(Table3[[#This Row],[NeedsAttention]]=1,Table3[[#This Row],[Start]],Table3[[#This Row],[StartN]])</f>
        <v>25612</v>
      </c>
      <c r="L121">
        <f>IF(Table3[[#This Row],[NeedsAttention]]=1,Table3[[#This Row],[End]],Table3[[#This Row],[EndN]])</f>
        <v>25691</v>
      </c>
      <c r="M121" t="b">
        <f>Table3[[#This Row],[Merged.Start]]=L120+1</f>
        <v>1</v>
      </c>
      <c r="O121">
        <f>Table3[[#This Row],[Section]]</f>
        <v>120</v>
      </c>
      <c r="P121">
        <f>Table3[[#This Row],[Canon]]</f>
        <v>6</v>
      </c>
      <c r="Q121" s="1" t="str">
        <f>Table3[[#This Row],[Reference]]</f>
        <v>11.11-15A</v>
      </c>
      <c r="R121" t="str">
        <f>Table3[[#This Row],[StartR]]</f>
        <v>MRK 11:11</v>
      </c>
      <c r="S121" t="str">
        <f>Table3[[#This Row],[EndR]]</f>
        <v>MRK 11:15</v>
      </c>
      <c r="T121">
        <f>Table3[[#This Row],[Merged.Start]]</f>
        <v>25612</v>
      </c>
      <c r="U121">
        <f>Table3[[#This Row],[Merged.End]]</f>
        <v>25691</v>
      </c>
    </row>
    <row r="122" spans="1:21" x14ac:dyDescent="0.25">
      <c r="A122">
        <v>121</v>
      </c>
      <c r="B122">
        <v>1</v>
      </c>
      <c r="C122" s="1" t="s">
        <v>1074</v>
      </c>
      <c r="D122" t="s">
        <v>1073</v>
      </c>
      <c r="E122" t="s">
        <v>1075</v>
      </c>
      <c r="F122">
        <v>25688</v>
      </c>
      <c r="G122">
        <v>25752</v>
      </c>
      <c r="H122">
        <v>1</v>
      </c>
      <c r="I122">
        <v>25692</v>
      </c>
      <c r="J122">
        <v>25752</v>
      </c>
      <c r="K122">
        <f>IF(Table3[[#This Row],[NeedsAttention]]=1,Table3[[#This Row],[Start]],Table3[[#This Row],[StartN]])</f>
        <v>25692</v>
      </c>
      <c r="L122">
        <f>IF(Table3[[#This Row],[NeedsAttention]]=1,Table3[[#This Row],[End]],Table3[[#This Row],[EndN]])</f>
        <v>25752</v>
      </c>
      <c r="M122" t="b">
        <f>Table3[[#This Row],[Merged.Start]]=L121+1</f>
        <v>1</v>
      </c>
      <c r="O122">
        <f>Table3[[#This Row],[Section]]</f>
        <v>121</v>
      </c>
      <c r="P122">
        <f>Table3[[#This Row],[Canon]]</f>
        <v>1</v>
      </c>
      <c r="Q122" s="1" t="str">
        <f>Table3[[#This Row],[Reference]]</f>
        <v>11.15B-17</v>
      </c>
      <c r="R122" t="str">
        <f>Table3[[#This Row],[StartR]]</f>
        <v>MRK 11:15</v>
      </c>
      <c r="S122" t="str">
        <f>Table3[[#This Row],[EndR]]</f>
        <v>MRK 11:17</v>
      </c>
      <c r="T122">
        <f>Table3[[#This Row],[Merged.Start]]</f>
        <v>25692</v>
      </c>
      <c r="U122">
        <f>Table3[[#This Row],[Merged.End]]</f>
        <v>25752</v>
      </c>
    </row>
    <row r="123" spans="1:21" x14ac:dyDescent="0.25">
      <c r="A123">
        <v>122</v>
      </c>
      <c r="B123">
        <v>1</v>
      </c>
      <c r="C123" s="1">
        <v>11.18</v>
      </c>
      <c r="D123" t="s">
        <v>1076</v>
      </c>
      <c r="E123" t="s">
        <v>1076</v>
      </c>
      <c r="F123">
        <v>25753</v>
      </c>
      <c r="G123">
        <v>25776</v>
      </c>
      <c r="H123">
        <v>0</v>
      </c>
      <c r="K123">
        <f>IF(Table3[[#This Row],[NeedsAttention]]=1,Table3[[#This Row],[Start]],Table3[[#This Row],[StartN]])</f>
        <v>25753</v>
      </c>
      <c r="L123">
        <f>IF(Table3[[#This Row],[NeedsAttention]]=1,Table3[[#This Row],[End]],Table3[[#This Row],[EndN]])</f>
        <v>25776</v>
      </c>
      <c r="M123" t="b">
        <f>Table3[[#This Row],[Merged.Start]]=L122+1</f>
        <v>1</v>
      </c>
      <c r="O123">
        <f>Table3[[#This Row],[Section]]</f>
        <v>122</v>
      </c>
      <c r="P123">
        <f>Table3[[#This Row],[Canon]]</f>
        <v>1</v>
      </c>
      <c r="Q123" s="1">
        <f>Table3[[#This Row],[Reference]]</f>
        <v>11.18</v>
      </c>
      <c r="R123" t="str">
        <f>Table3[[#This Row],[StartR]]</f>
        <v>MRK 11:18</v>
      </c>
      <c r="S123" t="str">
        <f>Table3[[#This Row],[EndR]]</f>
        <v>MRK 11:18</v>
      </c>
      <c r="T123">
        <f>Table3[[#This Row],[Merged.Start]]</f>
        <v>25753</v>
      </c>
      <c r="U123">
        <f>Table3[[#This Row],[Merged.End]]</f>
        <v>25776</v>
      </c>
    </row>
    <row r="124" spans="1:21" x14ac:dyDescent="0.25">
      <c r="A124">
        <v>123</v>
      </c>
      <c r="B124">
        <v>10</v>
      </c>
      <c r="C124" s="1" t="s">
        <v>1077</v>
      </c>
      <c r="D124" t="s">
        <v>1078</v>
      </c>
      <c r="E124" t="s">
        <v>1079</v>
      </c>
      <c r="F124">
        <v>25777</v>
      </c>
      <c r="G124">
        <v>25806</v>
      </c>
      <c r="H124">
        <v>0</v>
      </c>
      <c r="K124">
        <f>IF(Table3[[#This Row],[NeedsAttention]]=1,Table3[[#This Row],[Start]],Table3[[#This Row],[StartN]])</f>
        <v>25777</v>
      </c>
      <c r="L124">
        <f>IF(Table3[[#This Row],[NeedsAttention]]=1,Table3[[#This Row],[End]],Table3[[#This Row],[EndN]])</f>
        <v>25806</v>
      </c>
      <c r="M124" t="b">
        <f>Table3[[#This Row],[Merged.Start]]=L123+1</f>
        <v>1</v>
      </c>
      <c r="O124">
        <f>Table3[[#This Row],[Section]]</f>
        <v>123</v>
      </c>
      <c r="P124">
        <f>Table3[[#This Row],[Canon]]</f>
        <v>10</v>
      </c>
      <c r="Q124" s="1" t="str">
        <f>Table3[[#This Row],[Reference]]</f>
        <v>11.19-21</v>
      </c>
      <c r="R124" t="str">
        <f>Table3[[#This Row],[StartR]]</f>
        <v>MRK 11:19</v>
      </c>
      <c r="S124" t="str">
        <f>Table3[[#This Row],[EndR]]</f>
        <v>MRK 11:21</v>
      </c>
      <c r="T124">
        <f>Table3[[#This Row],[Merged.Start]]</f>
        <v>25777</v>
      </c>
      <c r="U124">
        <f>Table3[[#This Row],[Merged.End]]</f>
        <v>25806</v>
      </c>
    </row>
    <row r="125" spans="1:21" x14ac:dyDescent="0.25">
      <c r="A125">
        <v>124</v>
      </c>
      <c r="B125">
        <v>6</v>
      </c>
      <c r="C125" s="1" t="s">
        <v>1080</v>
      </c>
      <c r="D125" t="s">
        <v>1081</v>
      </c>
      <c r="E125" t="s">
        <v>1082</v>
      </c>
      <c r="F125">
        <v>25807</v>
      </c>
      <c r="G125">
        <v>25846</v>
      </c>
      <c r="H125">
        <v>0</v>
      </c>
      <c r="K125">
        <f>IF(Table3[[#This Row],[NeedsAttention]]=1,Table3[[#This Row],[Start]],Table3[[#This Row],[StartN]])</f>
        <v>25807</v>
      </c>
      <c r="L125">
        <f>IF(Table3[[#This Row],[NeedsAttention]]=1,Table3[[#This Row],[End]],Table3[[#This Row],[EndN]])</f>
        <v>25846</v>
      </c>
      <c r="M125" t="b">
        <f>Table3[[#This Row],[Merged.Start]]=L124+1</f>
        <v>1</v>
      </c>
      <c r="O125">
        <f>Table3[[#This Row],[Section]]</f>
        <v>124</v>
      </c>
      <c r="P125">
        <f>Table3[[#This Row],[Canon]]</f>
        <v>6</v>
      </c>
      <c r="Q125" s="1" t="str">
        <f>Table3[[#This Row],[Reference]]</f>
        <v>11.22-23</v>
      </c>
      <c r="R125" t="str">
        <f>Table3[[#This Row],[StartR]]</f>
        <v>MRK 11:22</v>
      </c>
      <c r="S125" t="str">
        <f>Table3[[#This Row],[EndR]]</f>
        <v>MRK 11:23</v>
      </c>
      <c r="T125">
        <f>Table3[[#This Row],[Merged.Start]]</f>
        <v>25807</v>
      </c>
      <c r="U125">
        <f>Table3[[#This Row],[Merged.End]]</f>
        <v>25846</v>
      </c>
    </row>
    <row r="126" spans="1:21" x14ac:dyDescent="0.25">
      <c r="A126">
        <v>125</v>
      </c>
      <c r="B126">
        <v>4</v>
      </c>
      <c r="C126" s="1">
        <v>11.24</v>
      </c>
      <c r="D126" t="s">
        <v>1083</v>
      </c>
      <c r="E126" t="s">
        <v>1083</v>
      </c>
      <c r="F126">
        <v>25847</v>
      </c>
      <c r="G126">
        <v>25861</v>
      </c>
      <c r="H126">
        <v>0</v>
      </c>
      <c r="K126">
        <f>IF(Table3[[#This Row],[NeedsAttention]]=1,Table3[[#This Row],[Start]],Table3[[#This Row],[StartN]])</f>
        <v>25847</v>
      </c>
      <c r="L126">
        <f>IF(Table3[[#This Row],[NeedsAttention]]=1,Table3[[#This Row],[End]],Table3[[#This Row],[EndN]])</f>
        <v>25861</v>
      </c>
      <c r="M126" t="b">
        <f>Table3[[#This Row],[Merged.Start]]=L125+1</f>
        <v>1</v>
      </c>
      <c r="O126">
        <f>Table3[[#This Row],[Section]]</f>
        <v>125</v>
      </c>
      <c r="P126">
        <f>Table3[[#This Row],[Canon]]</f>
        <v>4</v>
      </c>
      <c r="Q126" s="1">
        <f>Table3[[#This Row],[Reference]]</f>
        <v>11.24</v>
      </c>
      <c r="R126" t="str">
        <f>Table3[[#This Row],[StartR]]</f>
        <v>MRK 11:24</v>
      </c>
      <c r="S126" t="str">
        <f>Table3[[#This Row],[EndR]]</f>
        <v>MRK 11:24</v>
      </c>
      <c r="T126">
        <f>Table3[[#This Row],[Merged.Start]]</f>
        <v>25847</v>
      </c>
      <c r="U126">
        <f>Table3[[#This Row],[Merged.End]]</f>
        <v>25861</v>
      </c>
    </row>
    <row r="127" spans="1:21" x14ac:dyDescent="0.25">
      <c r="A127">
        <v>126</v>
      </c>
      <c r="B127">
        <v>6</v>
      </c>
      <c r="C127" s="1" t="s">
        <v>1084</v>
      </c>
      <c r="D127" t="s">
        <v>2549</v>
      </c>
      <c r="E127" t="s">
        <v>2550</v>
      </c>
      <c r="F127">
        <v>0</v>
      </c>
      <c r="G127">
        <v>0</v>
      </c>
      <c r="H127">
        <v>1</v>
      </c>
      <c r="I127">
        <v>25862</v>
      </c>
      <c r="J127">
        <v>25885</v>
      </c>
      <c r="K127">
        <f>IF(Table3[[#This Row],[NeedsAttention]]=1,Table3[[#This Row],[Start]],Table3[[#This Row],[StartN]])</f>
        <v>25862</v>
      </c>
      <c r="L127">
        <f>IF(Table3[[#This Row],[NeedsAttention]]=1,Table3[[#This Row],[End]],Table3[[#This Row],[EndN]])</f>
        <v>25885</v>
      </c>
      <c r="M127" t="b">
        <f>Table3[[#This Row],[Merged.Start]]=L126+1</f>
        <v>1</v>
      </c>
      <c r="O127">
        <f>Table3[[#This Row],[Section]]</f>
        <v>126</v>
      </c>
      <c r="P127">
        <f>Table3[[#This Row],[Canon]]</f>
        <v>6</v>
      </c>
      <c r="Q127" s="1" t="str">
        <f>Table3[[#This Row],[Reference]]</f>
        <v>11.25 (-26, in note)</v>
      </c>
      <c r="R127" t="str">
        <f>Table3[[#This Row],[StartR]]</f>
        <v>MRK 11:25</v>
      </c>
      <c r="S127" t="str">
        <f>Table3[[#This Row],[EndR]]</f>
        <v>MRK 11:26</v>
      </c>
      <c r="T127">
        <f>Table3[[#This Row],[Merged.Start]]</f>
        <v>25862</v>
      </c>
      <c r="U127">
        <f>Table3[[#This Row],[Merged.End]]</f>
        <v>25885</v>
      </c>
    </row>
    <row r="128" spans="1:21" x14ac:dyDescent="0.25">
      <c r="A128">
        <v>127</v>
      </c>
      <c r="B128">
        <v>2</v>
      </c>
      <c r="C128" s="1" t="s">
        <v>1085</v>
      </c>
      <c r="D128" t="s">
        <v>1086</v>
      </c>
      <c r="E128" t="s">
        <v>1087</v>
      </c>
      <c r="F128">
        <v>25886</v>
      </c>
      <c r="G128">
        <v>26012</v>
      </c>
      <c r="H128">
        <v>0</v>
      </c>
      <c r="K128">
        <f>IF(Table3[[#This Row],[NeedsAttention]]=1,Table3[[#This Row],[Start]],Table3[[#This Row],[StartN]])</f>
        <v>25886</v>
      </c>
      <c r="L128">
        <f>IF(Table3[[#This Row],[NeedsAttention]]=1,Table3[[#This Row],[End]],Table3[[#This Row],[EndN]])</f>
        <v>26012</v>
      </c>
      <c r="M128" t="b">
        <f>Table3[[#This Row],[Merged.Start]]=L127+1</f>
        <v>1</v>
      </c>
      <c r="O128">
        <f>Table3[[#This Row],[Section]]</f>
        <v>127</v>
      </c>
      <c r="P128">
        <f>Table3[[#This Row],[Canon]]</f>
        <v>2</v>
      </c>
      <c r="Q128" s="1" t="str">
        <f>Table3[[#This Row],[Reference]]</f>
        <v>11.27-33</v>
      </c>
      <c r="R128" t="str">
        <f>Table3[[#This Row],[StartR]]</f>
        <v>MRK 11:27</v>
      </c>
      <c r="S128" t="str">
        <f>Table3[[#This Row],[EndR]]</f>
        <v>MRK 11:33</v>
      </c>
      <c r="T128">
        <f>Table3[[#This Row],[Merged.Start]]</f>
        <v>25886</v>
      </c>
      <c r="U128">
        <f>Table3[[#This Row],[Merged.End]]</f>
        <v>26012</v>
      </c>
    </row>
    <row r="129" spans="1:21" x14ac:dyDescent="0.25">
      <c r="A129">
        <v>128</v>
      </c>
      <c r="B129">
        <v>2</v>
      </c>
      <c r="C129" s="1" t="s">
        <v>1088</v>
      </c>
      <c r="D129" t="s">
        <v>1089</v>
      </c>
      <c r="E129" t="s">
        <v>1090</v>
      </c>
      <c r="F129">
        <v>26013</v>
      </c>
      <c r="G129">
        <v>26173</v>
      </c>
      <c r="H129">
        <v>0</v>
      </c>
      <c r="K129">
        <f>IF(Table3[[#This Row],[NeedsAttention]]=1,Table3[[#This Row],[Start]],Table3[[#This Row],[StartN]])</f>
        <v>26013</v>
      </c>
      <c r="L129">
        <f>IF(Table3[[#This Row],[NeedsAttention]]=1,Table3[[#This Row],[End]],Table3[[#This Row],[EndN]])</f>
        <v>26173</v>
      </c>
      <c r="M129" t="b">
        <f>Table3[[#This Row],[Merged.Start]]=L128+1</f>
        <v>1</v>
      </c>
      <c r="O129">
        <f>Table3[[#This Row],[Section]]</f>
        <v>128</v>
      </c>
      <c r="P129">
        <f>Table3[[#This Row],[Canon]]</f>
        <v>2</v>
      </c>
      <c r="Q129" s="1" t="str">
        <f>Table3[[#This Row],[Reference]]</f>
        <v>12.1-11</v>
      </c>
      <c r="R129" t="str">
        <f>Table3[[#This Row],[StartR]]</f>
        <v>MRK 12:1</v>
      </c>
      <c r="S129" t="str">
        <f>Table3[[#This Row],[EndR]]</f>
        <v>MRK 12:11</v>
      </c>
      <c r="T129">
        <f>Table3[[#This Row],[Merged.Start]]</f>
        <v>26013</v>
      </c>
      <c r="U129">
        <f>Table3[[#This Row],[Merged.End]]</f>
        <v>26173</v>
      </c>
    </row>
    <row r="130" spans="1:21" x14ac:dyDescent="0.25">
      <c r="A130">
        <v>129</v>
      </c>
      <c r="B130">
        <v>1</v>
      </c>
      <c r="C130" s="1">
        <v>12.12</v>
      </c>
      <c r="D130" t="s">
        <v>1091</v>
      </c>
      <c r="E130" t="s">
        <v>1091</v>
      </c>
      <c r="F130">
        <v>26174</v>
      </c>
      <c r="G130">
        <v>26193</v>
      </c>
      <c r="H130">
        <v>0</v>
      </c>
      <c r="K130">
        <f>IF(Table3[[#This Row],[NeedsAttention]]=1,Table3[[#This Row],[Start]],Table3[[#This Row],[StartN]])</f>
        <v>26174</v>
      </c>
      <c r="L130">
        <f>IF(Table3[[#This Row],[NeedsAttention]]=1,Table3[[#This Row],[End]],Table3[[#This Row],[EndN]])</f>
        <v>26193</v>
      </c>
      <c r="M130" t="b">
        <f>Table3[[#This Row],[Merged.Start]]=L129+1</f>
        <v>1</v>
      </c>
      <c r="O130">
        <f>Table3[[#This Row],[Section]]</f>
        <v>129</v>
      </c>
      <c r="P130">
        <f>Table3[[#This Row],[Canon]]</f>
        <v>1</v>
      </c>
      <c r="Q130" s="1">
        <f>Table3[[#This Row],[Reference]]</f>
        <v>12.12</v>
      </c>
      <c r="R130" t="str">
        <f>Table3[[#This Row],[StartR]]</f>
        <v>MRK 12:12</v>
      </c>
      <c r="S130" t="str">
        <f>Table3[[#This Row],[EndR]]</f>
        <v>MRK 12:12</v>
      </c>
      <c r="T130">
        <f>Table3[[#This Row],[Merged.Start]]</f>
        <v>26174</v>
      </c>
      <c r="U130">
        <f>Table3[[#This Row],[Merged.End]]</f>
        <v>26193</v>
      </c>
    </row>
    <row r="131" spans="1:21" x14ac:dyDescent="0.25">
      <c r="A131">
        <v>130</v>
      </c>
      <c r="B131">
        <v>2</v>
      </c>
      <c r="C131" s="1" t="s">
        <v>1092</v>
      </c>
      <c r="D131" t="s">
        <v>1093</v>
      </c>
      <c r="E131" t="s">
        <v>1094</v>
      </c>
      <c r="F131">
        <v>26194</v>
      </c>
      <c r="G131">
        <v>26470</v>
      </c>
      <c r="H131">
        <v>0</v>
      </c>
      <c r="K131">
        <f>IF(Table3[[#This Row],[NeedsAttention]]=1,Table3[[#This Row],[Start]],Table3[[#This Row],[StartN]])</f>
        <v>26194</v>
      </c>
      <c r="L131">
        <f>IF(Table3[[#This Row],[NeedsAttention]]=1,Table3[[#This Row],[End]],Table3[[#This Row],[EndN]])</f>
        <v>26470</v>
      </c>
      <c r="M131" t="b">
        <f>Table3[[#This Row],[Merged.Start]]=L130+1</f>
        <v>1</v>
      </c>
      <c r="O131">
        <f>Table3[[#This Row],[Section]]</f>
        <v>130</v>
      </c>
      <c r="P131">
        <f>Table3[[#This Row],[Canon]]</f>
        <v>2</v>
      </c>
      <c r="Q131" s="1" t="str">
        <f>Table3[[#This Row],[Reference]]</f>
        <v>12.13-27</v>
      </c>
      <c r="R131" t="str">
        <f>Table3[[#This Row],[StartR]]</f>
        <v>MRK 12:13</v>
      </c>
      <c r="S131" t="str">
        <f>Table3[[#This Row],[EndR]]</f>
        <v>MRK 12:27</v>
      </c>
      <c r="T131">
        <f>Table3[[#This Row],[Merged.Start]]</f>
        <v>26194</v>
      </c>
      <c r="U131">
        <f>Table3[[#This Row],[Merged.End]]</f>
        <v>26470</v>
      </c>
    </row>
    <row r="132" spans="1:21" x14ac:dyDescent="0.25">
      <c r="A132">
        <v>131</v>
      </c>
      <c r="B132">
        <v>6</v>
      </c>
      <c r="C132" s="1" t="s">
        <v>1095</v>
      </c>
      <c r="D132" t="s">
        <v>1096</v>
      </c>
      <c r="E132" t="s">
        <v>1097</v>
      </c>
      <c r="F132">
        <v>26471</v>
      </c>
      <c r="G132">
        <v>26548</v>
      </c>
      <c r="H132">
        <v>0</v>
      </c>
      <c r="K132">
        <f>IF(Table3[[#This Row],[NeedsAttention]]=1,Table3[[#This Row],[Start]],Table3[[#This Row],[StartN]])</f>
        <v>26471</v>
      </c>
      <c r="L132">
        <f>IF(Table3[[#This Row],[NeedsAttention]]=1,Table3[[#This Row],[End]],Table3[[#This Row],[EndN]])</f>
        <v>26548</v>
      </c>
      <c r="M132" t="b">
        <f>Table3[[#This Row],[Merged.Start]]=L131+1</f>
        <v>1</v>
      </c>
      <c r="O132">
        <f>Table3[[#This Row],[Section]]</f>
        <v>131</v>
      </c>
      <c r="P132">
        <f>Table3[[#This Row],[Canon]]</f>
        <v>6</v>
      </c>
      <c r="Q132" s="1" t="str">
        <f>Table3[[#This Row],[Reference]]</f>
        <v>12.28-31</v>
      </c>
      <c r="R132" t="str">
        <f>Table3[[#This Row],[StartR]]</f>
        <v>MRK 12:28</v>
      </c>
      <c r="S132" t="str">
        <f>Table3[[#This Row],[EndR]]</f>
        <v>MRK 12:31</v>
      </c>
      <c r="T132">
        <f>Table3[[#This Row],[Merged.Start]]</f>
        <v>26471</v>
      </c>
      <c r="U132">
        <f>Table3[[#This Row],[Merged.End]]</f>
        <v>26548</v>
      </c>
    </row>
    <row r="133" spans="1:21" x14ac:dyDescent="0.25">
      <c r="A133">
        <v>132</v>
      </c>
      <c r="B133">
        <v>10</v>
      </c>
      <c r="C133" s="1" t="s">
        <v>1098</v>
      </c>
      <c r="D133" t="s">
        <v>1099</v>
      </c>
      <c r="E133" t="s">
        <v>1100</v>
      </c>
      <c r="F133">
        <v>26549</v>
      </c>
      <c r="G133">
        <v>26623</v>
      </c>
      <c r="H133">
        <v>1</v>
      </c>
      <c r="I133">
        <v>26549</v>
      </c>
      <c r="J133">
        <v>26617</v>
      </c>
      <c r="K133">
        <f>IF(Table3[[#This Row],[NeedsAttention]]=1,Table3[[#This Row],[Start]],Table3[[#This Row],[StartN]])</f>
        <v>26549</v>
      </c>
      <c r="L133">
        <f>IF(Table3[[#This Row],[NeedsAttention]]=1,Table3[[#This Row],[End]],Table3[[#This Row],[EndN]])</f>
        <v>26617</v>
      </c>
      <c r="M133" t="b">
        <f>Table3[[#This Row],[Merged.Start]]=L132+1</f>
        <v>1</v>
      </c>
      <c r="O133">
        <f>Table3[[#This Row],[Section]]</f>
        <v>132</v>
      </c>
      <c r="P133">
        <f>Table3[[#This Row],[Canon]]</f>
        <v>10</v>
      </c>
      <c r="Q133" s="1" t="str">
        <f>Table3[[#This Row],[Reference]]</f>
        <v>12.32-34A</v>
      </c>
      <c r="R133" t="str">
        <f>Table3[[#This Row],[StartR]]</f>
        <v>MRK 12:32</v>
      </c>
      <c r="S133" t="str">
        <f>Table3[[#This Row],[EndR]]</f>
        <v>MRK 12:34</v>
      </c>
      <c r="T133">
        <f>Table3[[#This Row],[Merged.Start]]</f>
        <v>26549</v>
      </c>
      <c r="U133">
        <f>Table3[[#This Row],[Merged.End]]</f>
        <v>26617</v>
      </c>
    </row>
    <row r="134" spans="1:21" x14ac:dyDescent="0.25">
      <c r="A134">
        <v>133</v>
      </c>
      <c r="B134">
        <v>2</v>
      </c>
      <c r="C134" s="1" t="s">
        <v>1101</v>
      </c>
      <c r="D134" t="s">
        <v>1100</v>
      </c>
      <c r="E134" t="s">
        <v>1100</v>
      </c>
      <c r="F134">
        <v>26600</v>
      </c>
      <c r="G134">
        <v>26623</v>
      </c>
      <c r="H134">
        <v>1</v>
      </c>
      <c r="I134">
        <v>26618</v>
      </c>
      <c r="J134">
        <v>26623</v>
      </c>
      <c r="K134">
        <f>IF(Table3[[#This Row],[NeedsAttention]]=1,Table3[[#This Row],[Start]],Table3[[#This Row],[StartN]])</f>
        <v>26618</v>
      </c>
      <c r="L134">
        <f>IF(Table3[[#This Row],[NeedsAttention]]=1,Table3[[#This Row],[End]],Table3[[#This Row],[EndN]])</f>
        <v>26623</v>
      </c>
      <c r="M134" t="b">
        <f>Table3[[#This Row],[Merged.Start]]=L133+1</f>
        <v>1</v>
      </c>
      <c r="O134">
        <f>Table3[[#This Row],[Section]]</f>
        <v>133</v>
      </c>
      <c r="P134">
        <f>Table3[[#This Row],[Canon]]</f>
        <v>2</v>
      </c>
      <c r="Q134" s="1" t="str">
        <f>Table3[[#This Row],[Reference]]</f>
        <v>12.34B</v>
      </c>
      <c r="R134" t="str">
        <f>Table3[[#This Row],[StartR]]</f>
        <v>MRK 12:34</v>
      </c>
      <c r="S134" t="str">
        <f>Table3[[#This Row],[EndR]]</f>
        <v>MRK 12:34</v>
      </c>
      <c r="T134">
        <f>Table3[[#This Row],[Merged.Start]]</f>
        <v>26618</v>
      </c>
      <c r="U134">
        <f>Table3[[#This Row],[Merged.End]]</f>
        <v>26623</v>
      </c>
    </row>
    <row r="135" spans="1:21" x14ac:dyDescent="0.25">
      <c r="A135">
        <v>134</v>
      </c>
      <c r="B135">
        <v>2</v>
      </c>
      <c r="C135" s="1" t="s">
        <v>1102</v>
      </c>
      <c r="D135" t="s">
        <v>1103</v>
      </c>
      <c r="E135" t="s">
        <v>1104</v>
      </c>
      <c r="F135">
        <v>26624</v>
      </c>
      <c r="G135">
        <v>26686</v>
      </c>
      <c r="H135">
        <v>0</v>
      </c>
      <c r="K135">
        <f>IF(Table3[[#This Row],[NeedsAttention]]=1,Table3[[#This Row],[Start]],Table3[[#This Row],[StartN]])</f>
        <v>26624</v>
      </c>
      <c r="L135">
        <f>IF(Table3[[#This Row],[NeedsAttention]]=1,Table3[[#This Row],[End]],Table3[[#This Row],[EndN]])</f>
        <v>26686</v>
      </c>
      <c r="M135" t="b">
        <f>Table3[[#This Row],[Merged.Start]]=L134+1</f>
        <v>1</v>
      </c>
      <c r="O135">
        <f>Table3[[#This Row],[Section]]</f>
        <v>134</v>
      </c>
      <c r="P135">
        <f>Table3[[#This Row],[Canon]]</f>
        <v>2</v>
      </c>
      <c r="Q135" s="1" t="str">
        <f>Table3[[#This Row],[Reference]]</f>
        <v>12.35-37</v>
      </c>
      <c r="R135" t="str">
        <f>Table3[[#This Row],[StartR]]</f>
        <v>MRK 12:35</v>
      </c>
      <c r="S135" t="str">
        <f>Table3[[#This Row],[EndR]]</f>
        <v>MRK 12:37</v>
      </c>
      <c r="T135">
        <f>Table3[[#This Row],[Merged.Start]]</f>
        <v>26624</v>
      </c>
      <c r="U135">
        <f>Table3[[#This Row],[Merged.End]]</f>
        <v>26686</v>
      </c>
    </row>
    <row r="136" spans="1:21" x14ac:dyDescent="0.25">
      <c r="A136">
        <v>135</v>
      </c>
      <c r="B136">
        <v>2</v>
      </c>
      <c r="C136" s="1" t="s">
        <v>1105</v>
      </c>
      <c r="D136" t="s">
        <v>1106</v>
      </c>
      <c r="E136" t="s">
        <v>1107</v>
      </c>
      <c r="F136">
        <v>26687</v>
      </c>
      <c r="G136">
        <v>26716</v>
      </c>
      <c r="H136">
        <v>0</v>
      </c>
      <c r="K136">
        <f>IF(Table3[[#This Row],[NeedsAttention]]=1,Table3[[#This Row],[Start]],Table3[[#This Row],[StartN]])</f>
        <v>26687</v>
      </c>
      <c r="L136">
        <f>IF(Table3[[#This Row],[NeedsAttention]]=1,Table3[[#This Row],[End]],Table3[[#This Row],[EndN]])</f>
        <v>26716</v>
      </c>
      <c r="M136" t="b">
        <f>Table3[[#This Row],[Merged.Start]]=L135+1</f>
        <v>1</v>
      </c>
      <c r="O136">
        <f>Table3[[#This Row],[Section]]</f>
        <v>135</v>
      </c>
      <c r="P136">
        <f>Table3[[#This Row],[Canon]]</f>
        <v>2</v>
      </c>
      <c r="Q136" s="1" t="str">
        <f>Table3[[#This Row],[Reference]]</f>
        <v>12.38-39</v>
      </c>
      <c r="R136" t="str">
        <f>Table3[[#This Row],[StartR]]</f>
        <v>MRK 12:38</v>
      </c>
      <c r="S136" t="str">
        <f>Table3[[#This Row],[EndR]]</f>
        <v>MRK 12:39</v>
      </c>
      <c r="T136">
        <f>Table3[[#This Row],[Merged.Start]]</f>
        <v>26687</v>
      </c>
      <c r="U136">
        <f>Table3[[#This Row],[Merged.End]]</f>
        <v>26716</v>
      </c>
    </row>
    <row r="137" spans="1:21" x14ac:dyDescent="0.25">
      <c r="A137">
        <v>136</v>
      </c>
      <c r="B137">
        <v>8</v>
      </c>
      <c r="C137" s="1" t="s">
        <v>1108</v>
      </c>
      <c r="D137" t="s">
        <v>1109</v>
      </c>
      <c r="E137" t="s">
        <v>1110</v>
      </c>
      <c r="F137">
        <v>26717</v>
      </c>
      <c r="G137">
        <v>26805</v>
      </c>
      <c r="H137">
        <v>0</v>
      </c>
      <c r="K137">
        <f>IF(Table3[[#This Row],[NeedsAttention]]=1,Table3[[#This Row],[Start]],Table3[[#This Row],[StartN]])</f>
        <v>26717</v>
      </c>
      <c r="L137">
        <f>IF(Table3[[#This Row],[NeedsAttention]]=1,Table3[[#This Row],[End]],Table3[[#This Row],[EndN]])</f>
        <v>26805</v>
      </c>
      <c r="M137" t="b">
        <f>Table3[[#This Row],[Merged.Start]]=L136+1</f>
        <v>1</v>
      </c>
      <c r="O137">
        <f>Table3[[#This Row],[Section]]</f>
        <v>136</v>
      </c>
      <c r="P137">
        <f>Table3[[#This Row],[Canon]]</f>
        <v>8</v>
      </c>
      <c r="Q137" s="1" t="str">
        <f>Table3[[#This Row],[Reference]]</f>
        <v>12.40-44</v>
      </c>
      <c r="R137" t="str">
        <f>Table3[[#This Row],[StartR]]</f>
        <v>MRK 12:40</v>
      </c>
      <c r="S137" t="str">
        <f>Table3[[#This Row],[EndR]]</f>
        <v>MRK 12:44</v>
      </c>
      <c r="T137">
        <f>Table3[[#This Row],[Merged.Start]]</f>
        <v>26717</v>
      </c>
      <c r="U137">
        <f>Table3[[#This Row],[Merged.End]]</f>
        <v>26805</v>
      </c>
    </row>
    <row r="138" spans="1:21" x14ac:dyDescent="0.25">
      <c r="A138">
        <v>137</v>
      </c>
      <c r="B138">
        <v>2</v>
      </c>
      <c r="C138" s="1" t="s">
        <v>1111</v>
      </c>
      <c r="D138" t="s">
        <v>1112</v>
      </c>
      <c r="E138" t="s">
        <v>1113</v>
      </c>
      <c r="F138">
        <v>26806</v>
      </c>
      <c r="G138">
        <v>26845</v>
      </c>
      <c r="H138">
        <v>0</v>
      </c>
      <c r="K138">
        <f>IF(Table3[[#This Row],[NeedsAttention]]=1,Table3[[#This Row],[Start]],Table3[[#This Row],[StartN]])</f>
        <v>26806</v>
      </c>
      <c r="L138">
        <f>IF(Table3[[#This Row],[NeedsAttention]]=1,Table3[[#This Row],[End]],Table3[[#This Row],[EndN]])</f>
        <v>26845</v>
      </c>
      <c r="M138" t="b">
        <f>Table3[[#This Row],[Merged.Start]]=L137+1</f>
        <v>1</v>
      </c>
      <c r="O138">
        <f>Table3[[#This Row],[Section]]</f>
        <v>137</v>
      </c>
      <c r="P138">
        <f>Table3[[#This Row],[Canon]]</f>
        <v>2</v>
      </c>
      <c r="Q138" s="1" t="str">
        <f>Table3[[#This Row],[Reference]]</f>
        <v>13.1-2</v>
      </c>
      <c r="R138" t="str">
        <f>Table3[[#This Row],[StartR]]</f>
        <v>MRK 13:1</v>
      </c>
      <c r="S138" t="str">
        <f>Table3[[#This Row],[EndR]]</f>
        <v>MRK 13:2</v>
      </c>
      <c r="T138">
        <f>Table3[[#This Row],[Merged.Start]]</f>
        <v>26806</v>
      </c>
      <c r="U138">
        <f>Table3[[#This Row],[Merged.End]]</f>
        <v>26845</v>
      </c>
    </row>
    <row r="139" spans="1:21" x14ac:dyDescent="0.25">
      <c r="A139">
        <v>138</v>
      </c>
      <c r="B139">
        <v>2</v>
      </c>
      <c r="C139" s="1" t="s">
        <v>1114</v>
      </c>
      <c r="D139" t="s">
        <v>1115</v>
      </c>
      <c r="E139" t="s">
        <v>1116</v>
      </c>
      <c r="F139">
        <v>26846</v>
      </c>
      <c r="G139">
        <v>26938</v>
      </c>
      <c r="H139">
        <v>0</v>
      </c>
      <c r="K139">
        <f>IF(Table3[[#This Row],[NeedsAttention]]=1,Table3[[#This Row],[Start]],Table3[[#This Row],[StartN]])</f>
        <v>26846</v>
      </c>
      <c r="L139">
        <f>IF(Table3[[#This Row],[NeedsAttention]]=1,Table3[[#This Row],[End]],Table3[[#This Row],[EndN]])</f>
        <v>26938</v>
      </c>
      <c r="M139" t="b">
        <f>Table3[[#This Row],[Merged.Start]]=L138+1</f>
        <v>1</v>
      </c>
      <c r="O139">
        <f>Table3[[#This Row],[Section]]</f>
        <v>138</v>
      </c>
      <c r="P139">
        <f>Table3[[#This Row],[Canon]]</f>
        <v>2</v>
      </c>
      <c r="Q139" s="1" t="str">
        <f>Table3[[#This Row],[Reference]]</f>
        <v>13.3-8</v>
      </c>
      <c r="R139" t="str">
        <f>Table3[[#This Row],[StartR]]</f>
        <v>MRK 13:3</v>
      </c>
      <c r="S139" t="str">
        <f>Table3[[#This Row],[EndR]]</f>
        <v>MRK 13:8</v>
      </c>
      <c r="T139">
        <f>Table3[[#This Row],[Merged.Start]]</f>
        <v>26846</v>
      </c>
      <c r="U139">
        <f>Table3[[#This Row],[Merged.End]]</f>
        <v>26938</v>
      </c>
    </row>
    <row r="140" spans="1:21" x14ac:dyDescent="0.25">
      <c r="A140">
        <v>139</v>
      </c>
      <c r="B140">
        <v>1</v>
      </c>
      <c r="C140" s="1">
        <v>13.9</v>
      </c>
      <c r="D140" t="s">
        <v>1117</v>
      </c>
      <c r="E140" t="s">
        <v>1117</v>
      </c>
      <c r="F140">
        <v>26939</v>
      </c>
      <c r="G140">
        <v>26961</v>
      </c>
      <c r="H140">
        <v>0</v>
      </c>
      <c r="K140">
        <f>IF(Table3[[#This Row],[NeedsAttention]]=1,Table3[[#This Row],[Start]],Table3[[#This Row],[StartN]])</f>
        <v>26939</v>
      </c>
      <c r="L140">
        <f>IF(Table3[[#This Row],[NeedsAttention]]=1,Table3[[#This Row],[End]],Table3[[#This Row],[EndN]])</f>
        <v>26961</v>
      </c>
      <c r="M140" t="b">
        <f>Table3[[#This Row],[Merged.Start]]=L139+1</f>
        <v>1</v>
      </c>
      <c r="O140">
        <f>Table3[[#This Row],[Section]]</f>
        <v>139</v>
      </c>
      <c r="P140">
        <f>Table3[[#This Row],[Canon]]</f>
        <v>1</v>
      </c>
      <c r="Q140" s="1">
        <f>Table3[[#This Row],[Reference]]</f>
        <v>13.9</v>
      </c>
      <c r="R140" t="str">
        <f>Table3[[#This Row],[StartR]]</f>
        <v>MRK 13:9</v>
      </c>
      <c r="S140" t="str">
        <f>Table3[[#This Row],[EndR]]</f>
        <v>MRK 13:9</v>
      </c>
      <c r="T140">
        <f>Table3[[#This Row],[Merged.Start]]</f>
        <v>26939</v>
      </c>
      <c r="U140">
        <f>Table3[[#This Row],[Merged.End]]</f>
        <v>26961</v>
      </c>
    </row>
    <row r="141" spans="1:21" x14ac:dyDescent="0.25">
      <c r="A141">
        <v>140</v>
      </c>
      <c r="B141">
        <v>6</v>
      </c>
      <c r="C141" s="1">
        <v>13.1</v>
      </c>
      <c r="D141" t="s">
        <v>2520</v>
      </c>
      <c r="E141" t="s">
        <v>2520</v>
      </c>
      <c r="F141" s="2">
        <v>26962</v>
      </c>
      <c r="G141" s="2">
        <v>26971</v>
      </c>
      <c r="H141">
        <v>0</v>
      </c>
      <c r="K141">
        <f>IF(Table3[[#This Row],[NeedsAttention]]=1,Table3[[#This Row],[Start]],Table3[[#This Row],[StartN]])</f>
        <v>26962</v>
      </c>
      <c r="L141">
        <f>IF(Table3[[#This Row],[NeedsAttention]]=1,Table3[[#This Row],[End]],Table3[[#This Row],[EndN]])</f>
        <v>26971</v>
      </c>
      <c r="M141" t="b">
        <f>Table3[[#This Row],[Merged.Start]]=L140+1</f>
        <v>1</v>
      </c>
      <c r="O141">
        <f>Table3[[#This Row],[Section]]</f>
        <v>140</v>
      </c>
      <c r="P141">
        <f>Table3[[#This Row],[Canon]]</f>
        <v>6</v>
      </c>
      <c r="Q141" s="1">
        <f>Table3[[#This Row],[Reference]]</f>
        <v>13.1</v>
      </c>
      <c r="R141" t="str">
        <f>Table3[[#This Row],[StartR]]</f>
        <v>MRK 13:10</v>
      </c>
      <c r="S141" t="str">
        <f>Table3[[#This Row],[EndR]]</f>
        <v>MRK 13:10</v>
      </c>
      <c r="T141">
        <f>Table3[[#This Row],[Merged.Start]]</f>
        <v>26962</v>
      </c>
      <c r="U141">
        <f>Table3[[#This Row],[Merged.End]]</f>
        <v>26971</v>
      </c>
    </row>
    <row r="142" spans="1:21" x14ac:dyDescent="0.25">
      <c r="A142">
        <v>141</v>
      </c>
      <c r="B142">
        <v>2</v>
      </c>
      <c r="C142" s="1" t="s">
        <v>1118</v>
      </c>
      <c r="D142" t="s">
        <v>1119</v>
      </c>
      <c r="E142" t="s">
        <v>1120</v>
      </c>
      <c r="F142">
        <v>26972</v>
      </c>
      <c r="G142">
        <v>27035</v>
      </c>
      <c r="H142">
        <v>0</v>
      </c>
      <c r="K142">
        <f>IF(Table3[[#This Row],[NeedsAttention]]=1,Table3[[#This Row],[Start]],Table3[[#This Row],[StartN]])</f>
        <v>26972</v>
      </c>
      <c r="L142">
        <f>IF(Table3[[#This Row],[NeedsAttention]]=1,Table3[[#This Row],[End]],Table3[[#This Row],[EndN]])</f>
        <v>27035</v>
      </c>
      <c r="M142" t="b">
        <f>Table3[[#This Row],[Merged.Start]]=L141+1</f>
        <v>1</v>
      </c>
      <c r="O142">
        <f>Table3[[#This Row],[Section]]</f>
        <v>141</v>
      </c>
      <c r="P142">
        <f>Table3[[#This Row],[Canon]]</f>
        <v>2</v>
      </c>
      <c r="Q142" s="1" t="str">
        <f>Table3[[#This Row],[Reference]]</f>
        <v>13.11-13</v>
      </c>
      <c r="R142" t="str">
        <f>Table3[[#This Row],[StartR]]</f>
        <v>MRK 13:11</v>
      </c>
      <c r="S142" t="str">
        <f>Table3[[#This Row],[EndR]]</f>
        <v>MRK 13:13</v>
      </c>
      <c r="T142">
        <f>Table3[[#This Row],[Merged.Start]]</f>
        <v>26972</v>
      </c>
      <c r="U142">
        <f>Table3[[#This Row],[Merged.End]]</f>
        <v>27035</v>
      </c>
    </row>
    <row r="143" spans="1:21" x14ac:dyDescent="0.25">
      <c r="A143">
        <v>142</v>
      </c>
      <c r="B143">
        <v>6</v>
      </c>
      <c r="C143" s="1" t="s">
        <v>1121</v>
      </c>
      <c r="D143" t="s">
        <v>1122</v>
      </c>
      <c r="E143" t="s">
        <v>1122</v>
      </c>
      <c r="F143">
        <v>27036</v>
      </c>
      <c r="G143">
        <v>27058</v>
      </c>
      <c r="H143">
        <v>1</v>
      </c>
      <c r="I143">
        <v>27036</v>
      </c>
      <c r="J143">
        <v>27049</v>
      </c>
      <c r="K143">
        <f>IF(Table3[[#This Row],[NeedsAttention]]=1,Table3[[#This Row],[Start]],Table3[[#This Row],[StartN]])</f>
        <v>27036</v>
      </c>
      <c r="L143">
        <f>IF(Table3[[#This Row],[NeedsAttention]]=1,Table3[[#This Row],[End]],Table3[[#This Row],[EndN]])</f>
        <v>27049</v>
      </c>
      <c r="M143" t="b">
        <f>Table3[[#This Row],[Merged.Start]]=L142+1</f>
        <v>1</v>
      </c>
      <c r="O143">
        <f>Table3[[#This Row],[Section]]</f>
        <v>142</v>
      </c>
      <c r="P143">
        <f>Table3[[#This Row],[Canon]]</f>
        <v>6</v>
      </c>
      <c r="Q143" s="1" t="str">
        <f>Table3[[#This Row],[Reference]]</f>
        <v>13.14A</v>
      </c>
      <c r="R143" t="str">
        <f>Table3[[#This Row],[StartR]]</f>
        <v>MRK 13:14</v>
      </c>
      <c r="S143" t="str">
        <f>Table3[[#This Row],[EndR]]</f>
        <v>MRK 13:14</v>
      </c>
      <c r="T143">
        <f>Table3[[#This Row],[Merged.Start]]</f>
        <v>27036</v>
      </c>
      <c r="U143">
        <f>Table3[[#This Row],[Merged.End]]</f>
        <v>27049</v>
      </c>
    </row>
    <row r="144" spans="1:21" x14ac:dyDescent="0.25">
      <c r="A144">
        <v>143</v>
      </c>
      <c r="B144">
        <v>2</v>
      </c>
      <c r="C144" s="1" t="s">
        <v>1123</v>
      </c>
      <c r="D144" t="s">
        <v>1122</v>
      </c>
      <c r="E144" t="s">
        <v>1124</v>
      </c>
      <c r="F144">
        <v>27036</v>
      </c>
      <c r="G144">
        <v>27086</v>
      </c>
      <c r="H144">
        <v>1</v>
      </c>
      <c r="I144">
        <v>27050</v>
      </c>
      <c r="J144">
        <v>27086</v>
      </c>
      <c r="K144">
        <f>IF(Table3[[#This Row],[NeedsAttention]]=1,Table3[[#This Row],[Start]],Table3[[#This Row],[StartN]])</f>
        <v>27050</v>
      </c>
      <c r="L144">
        <f>IF(Table3[[#This Row],[NeedsAttention]]=1,Table3[[#This Row],[End]],Table3[[#This Row],[EndN]])</f>
        <v>27086</v>
      </c>
      <c r="M144" t="b">
        <f>Table3[[#This Row],[Merged.Start]]=L143+1</f>
        <v>1</v>
      </c>
      <c r="O144">
        <f>Table3[[#This Row],[Section]]</f>
        <v>143</v>
      </c>
      <c r="P144">
        <f>Table3[[#This Row],[Canon]]</f>
        <v>2</v>
      </c>
      <c r="Q144" s="1" t="str">
        <f>Table3[[#This Row],[Reference]]</f>
        <v>13.14B-16</v>
      </c>
      <c r="R144" t="str">
        <f>Table3[[#This Row],[StartR]]</f>
        <v>MRK 13:14</v>
      </c>
      <c r="S144" t="str">
        <f>Table3[[#This Row],[EndR]]</f>
        <v>MRK 13:16</v>
      </c>
      <c r="T144">
        <f>Table3[[#This Row],[Merged.Start]]</f>
        <v>27050</v>
      </c>
      <c r="U144">
        <f>Table3[[#This Row],[Merged.End]]</f>
        <v>27086</v>
      </c>
    </row>
    <row r="145" spans="1:21" x14ac:dyDescent="0.25">
      <c r="A145">
        <v>144</v>
      </c>
      <c r="B145">
        <v>2</v>
      </c>
      <c r="C145" s="1">
        <v>13.17</v>
      </c>
      <c r="D145" t="s">
        <v>1125</v>
      </c>
      <c r="E145" t="s">
        <v>1125</v>
      </c>
      <c r="F145">
        <v>27087</v>
      </c>
      <c r="G145">
        <v>27099</v>
      </c>
      <c r="H145">
        <v>0</v>
      </c>
      <c r="K145">
        <f>IF(Table3[[#This Row],[NeedsAttention]]=1,Table3[[#This Row],[Start]],Table3[[#This Row],[StartN]])</f>
        <v>27087</v>
      </c>
      <c r="L145">
        <f>IF(Table3[[#This Row],[NeedsAttention]]=1,Table3[[#This Row],[End]],Table3[[#This Row],[EndN]])</f>
        <v>27099</v>
      </c>
      <c r="M145" t="b">
        <f>Table3[[#This Row],[Merged.Start]]=L144+1</f>
        <v>1</v>
      </c>
      <c r="O145">
        <f>Table3[[#This Row],[Section]]</f>
        <v>144</v>
      </c>
      <c r="P145">
        <f>Table3[[#This Row],[Canon]]</f>
        <v>2</v>
      </c>
      <c r="Q145" s="1">
        <f>Table3[[#This Row],[Reference]]</f>
        <v>13.17</v>
      </c>
      <c r="R145" t="str">
        <f>Table3[[#This Row],[StartR]]</f>
        <v>MRK 13:17</v>
      </c>
      <c r="S145" t="str">
        <f>Table3[[#This Row],[EndR]]</f>
        <v>MRK 13:17</v>
      </c>
      <c r="T145">
        <f>Table3[[#This Row],[Merged.Start]]</f>
        <v>27087</v>
      </c>
      <c r="U145">
        <f>Table3[[#This Row],[Merged.End]]</f>
        <v>27099</v>
      </c>
    </row>
    <row r="146" spans="1:21" x14ac:dyDescent="0.25">
      <c r="A146">
        <v>145</v>
      </c>
      <c r="B146">
        <v>6</v>
      </c>
      <c r="C146" s="1">
        <v>13.18</v>
      </c>
      <c r="D146" t="s">
        <v>1126</v>
      </c>
      <c r="E146" t="s">
        <v>1126</v>
      </c>
      <c r="F146">
        <v>27100</v>
      </c>
      <c r="G146">
        <v>27105</v>
      </c>
      <c r="H146">
        <v>0</v>
      </c>
      <c r="K146">
        <f>IF(Table3[[#This Row],[NeedsAttention]]=1,Table3[[#This Row],[Start]],Table3[[#This Row],[StartN]])</f>
        <v>27100</v>
      </c>
      <c r="L146">
        <f>IF(Table3[[#This Row],[NeedsAttention]]=1,Table3[[#This Row],[End]],Table3[[#This Row],[EndN]])</f>
        <v>27105</v>
      </c>
      <c r="M146" t="b">
        <f>Table3[[#This Row],[Merged.Start]]=L145+1</f>
        <v>1</v>
      </c>
      <c r="O146">
        <f>Table3[[#This Row],[Section]]</f>
        <v>145</v>
      </c>
      <c r="P146">
        <f>Table3[[#This Row],[Canon]]</f>
        <v>6</v>
      </c>
      <c r="Q146" s="1">
        <f>Table3[[#This Row],[Reference]]</f>
        <v>13.18</v>
      </c>
      <c r="R146" t="str">
        <f>Table3[[#This Row],[StartR]]</f>
        <v>MRK 13:18</v>
      </c>
      <c r="S146" t="str">
        <f>Table3[[#This Row],[EndR]]</f>
        <v>MRK 13:18</v>
      </c>
      <c r="T146">
        <f>Table3[[#This Row],[Merged.Start]]</f>
        <v>27100</v>
      </c>
      <c r="U146">
        <f>Table3[[#This Row],[Merged.End]]</f>
        <v>27105</v>
      </c>
    </row>
    <row r="147" spans="1:21" x14ac:dyDescent="0.25">
      <c r="A147">
        <v>146</v>
      </c>
      <c r="B147">
        <v>2</v>
      </c>
      <c r="C147" s="1">
        <v>13.19</v>
      </c>
      <c r="D147" t="s">
        <v>1127</v>
      </c>
      <c r="E147" t="s">
        <v>1127</v>
      </c>
      <c r="F147">
        <v>27106</v>
      </c>
      <c r="G147">
        <v>27129</v>
      </c>
      <c r="H147">
        <v>0</v>
      </c>
      <c r="K147">
        <f>IF(Table3[[#This Row],[NeedsAttention]]=1,Table3[[#This Row],[Start]],Table3[[#This Row],[StartN]])</f>
        <v>27106</v>
      </c>
      <c r="L147">
        <f>IF(Table3[[#This Row],[NeedsAttention]]=1,Table3[[#This Row],[End]],Table3[[#This Row],[EndN]])</f>
        <v>27129</v>
      </c>
      <c r="M147" t="b">
        <f>Table3[[#This Row],[Merged.Start]]=L146+1</f>
        <v>1</v>
      </c>
      <c r="O147">
        <f>Table3[[#This Row],[Section]]</f>
        <v>146</v>
      </c>
      <c r="P147">
        <f>Table3[[#This Row],[Canon]]</f>
        <v>2</v>
      </c>
      <c r="Q147" s="1">
        <f>Table3[[#This Row],[Reference]]</f>
        <v>13.19</v>
      </c>
      <c r="R147" t="str">
        <f>Table3[[#This Row],[StartR]]</f>
        <v>MRK 13:19</v>
      </c>
      <c r="S147" t="str">
        <f>Table3[[#This Row],[EndR]]</f>
        <v>MRK 13:19</v>
      </c>
      <c r="T147">
        <f>Table3[[#This Row],[Merged.Start]]</f>
        <v>27106</v>
      </c>
      <c r="U147">
        <f>Table3[[#This Row],[Merged.End]]</f>
        <v>27129</v>
      </c>
    </row>
    <row r="148" spans="1:21" x14ac:dyDescent="0.25">
      <c r="A148">
        <v>147</v>
      </c>
      <c r="B148">
        <v>6</v>
      </c>
      <c r="C148" s="1">
        <v>13.2</v>
      </c>
      <c r="D148" t="s">
        <v>2521</v>
      </c>
      <c r="E148" t="s">
        <v>2521</v>
      </c>
      <c r="F148" s="2">
        <v>27130</v>
      </c>
      <c r="G148" s="2">
        <v>27150</v>
      </c>
      <c r="H148">
        <v>0</v>
      </c>
      <c r="K148">
        <f>IF(Table3[[#This Row],[NeedsAttention]]=1,Table3[[#This Row],[Start]],Table3[[#This Row],[StartN]])</f>
        <v>27130</v>
      </c>
      <c r="L148">
        <f>IF(Table3[[#This Row],[NeedsAttention]]=1,Table3[[#This Row],[End]],Table3[[#This Row],[EndN]])</f>
        <v>27150</v>
      </c>
      <c r="M148" t="b">
        <f>Table3[[#This Row],[Merged.Start]]=L147+1</f>
        <v>1</v>
      </c>
      <c r="O148">
        <f>Table3[[#This Row],[Section]]</f>
        <v>147</v>
      </c>
      <c r="P148">
        <f>Table3[[#This Row],[Canon]]</f>
        <v>6</v>
      </c>
      <c r="Q148" s="1">
        <f>Table3[[#This Row],[Reference]]</f>
        <v>13.2</v>
      </c>
      <c r="R148" t="str">
        <f>Table3[[#This Row],[StartR]]</f>
        <v>MRK 13:20</v>
      </c>
      <c r="S148" t="str">
        <f>Table3[[#This Row],[EndR]]</f>
        <v>MRK 13:20</v>
      </c>
      <c r="T148">
        <f>Table3[[#This Row],[Merged.Start]]</f>
        <v>27130</v>
      </c>
      <c r="U148">
        <f>Table3[[#This Row],[Merged.End]]</f>
        <v>27150</v>
      </c>
    </row>
    <row r="149" spans="1:21" x14ac:dyDescent="0.25">
      <c r="A149">
        <v>148</v>
      </c>
      <c r="B149">
        <v>2</v>
      </c>
      <c r="C149" s="1">
        <v>13.21</v>
      </c>
      <c r="D149" t="s">
        <v>1128</v>
      </c>
      <c r="E149" t="s">
        <v>1128</v>
      </c>
      <c r="F149">
        <v>27151</v>
      </c>
      <c r="G149">
        <v>27164</v>
      </c>
      <c r="H149">
        <v>0</v>
      </c>
      <c r="K149">
        <f>IF(Table3[[#This Row],[NeedsAttention]]=1,Table3[[#This Row],[Start]],Table3[[#This Row],[StartN]])</f>
        <v>27151</v>
      </c>
      <c r="L149">
        <f>IF(Table3[[#This Row],[NeedsAttention]]=1,Table3[[#This Row],[End]],Table3[[#This Row],[EndN]])</f>
        <v>27164</v>
      </c>
      <c r="M149" t="b">
        <f>Table3[[#This Row],[Merged.Start]]=L148+1</f>
        <v>1</v>
      </c>
      <c r="O149">
        <f>Table3[[#This Row],[Section]]</f>
        <v>148</v>
      </c>
      <c r="P149">
        <f>Table3[[#This Row],[Canon]]</f>
        <v>2</v>
      </c>
      <c r="Q149" s="1">
        <f>Table3[[#This Row],[Reference]]</f>
        <v>13.21</v>
      </c>
      <c r="R149" t="str">
        <f>Table3[[#This Row],[StartR]]</f>
        <v>MRK 13:21</v>
      </c>
      <c r="S149" t="str">
        <f>Table3[[#This Row],[EndR]]</f>
        <v>MRK 13:21</v>
      </c>
      <c r="T149">
        <f>Table3[[#This Row],[Merged.Start]]</f>
        <v>27151</v>
      </c>
      <c r="U149">
        <f>Table3[[#This Row],[Merged.End]]</f>
        <v>27164</v>
      </c>
    </row>
    <row r="150" spans="1:21" x14ac:dyDescent="0.25">
      <c r="A150">
        <v>149</v>
      </c>
      <c r="B150">
        <v>6</v>
      </c>
      <c r="C150" s="1" t="s">
        <v>1129</v>
      </c>
      <c r="D150" t="s">
        <v>1130</v>
      </c>
      <c r="E150" t="s">
        <v>1131</v>
      </c>
      <c r="F150">
        <v>27165</v>
      </c>
      <c r="G150">
        <v>27187</v>
      </c>
      <c r="H150">
        <v>0</v>
      </c>
      <c r="K150">
        <f>IF(Table3[[#This Row],[NeedsAttention]]=1,Table3[[#This Row],[Start]],Table3[[#This Row],[StartN]])</f>
        <v>27165</v>
      </c>
      <c r="L150">
        <f>IF(Table3[[#This Row],[NeedsAttention]]=1,Table3[[#This Row],[End]],Table3[[#This Row],[EndN]])</f>
        <v>27187</v>
      </c>
      <c r="M150" t="b">
        <f>Table3[[#This Row],[Merged.Start]]=L149+1</f>
        <v>1</v>
      </c>
      <c r="O150">
        <f>Table3[[#This Row],[Section]]</f>
        <v>149</v>
      </c>
      <c r="P150">
        <f>Table3[[#This Row],[Canon]]</f>
        <v>6</v>
      </c>
      <c r="Q150" s="1" t="str">
        <f>Table3[[#This Row],[Reference]]</f>
        <v>13.22-23</v>
      </c>
      <c r="R150" t="str">
        <f>Table3[[#This Row],[StartR]]</f>
        <v>MRK 13:22</v>
      </c>
      <c r="S150" t="str">
        <f>Table3[[#This Row],[EndR]]</f>
        <v>MRK 13:23</v>
      </c>
      <c r="T150">
        <f>Table3[[#This Row],[Merged.Start]]</f>
        <v>27165</v>
      </c>
      <c r="U150">
        <f>Table3[[#This Row],[Merged.End]]</f>
        <v>27187</v>
      </c>
    </row>
    <row r="151" spans="1:21" x14ac:dyDescent="0.25">
      <c r="A151">
        <v>150</v>
      </c>
      <c r="B151">
        <v>2</v>
      </c>
      <c r="C151" s="1" t="s">
        <v>1132</v>
      </c>
      <c r="D151" t="s">
        <v>1133</v>
      </c>
      <c r="E151" t="s">
        <v>1134</v>
      </c>
      <c r="F151">
        <v>27188</v>
      </c>
      <c r="G151">
        <v>27223</v>
      </c>
      <c r="H151">
        <v>0</v>
      </c>
      <c r="K151">
        <f>IF(Table3[[#This Row],[NeedsAttention]]=1,Table3[[#This Row],[Start]],Table3[[#This Row],[StartN]])</f>
        <v>27188</v>
      </c>
      <c r="L151">
        <f>IF(Table3[[#This Row],[NeedsAttention]]=1,Table3[[#This Row],[End]],Table3[[#This Row],[EndN]])</f>
        <v>27223</v>
      </c>
      <c r="M151" t="b">
        <f>Table3[[#This Row],[Merged.Start]]=L150+1</f>
        <v>1</v>
      </c>
      <c r="O151">
        <f>Table3[[#This Row],[Section]]</f>
        <v>150</v>
      </c>
      <c r="P151">
        <f>Table3[[#This Row],[Canon]]</f>
        <v>2</v>
      </c>
      <c r="Q151" s="1" t="str">
        <f>Table3[[#This Row],[Reference]]</f>
        <v>13.24-25</v>
      </c>
      <c r="R151" t="str">
        <f>Table3[[#This Row],[StartR]]</f>
        <v>MRK 13:24</v>
      </c>
      <c r="S151" t="str">
        <f>Table3[[#This Row],[EndR]]</f>
        <v>MRK 13:25</v>
      </c>
      <c r="T151">
        <f>Table3[[#This Row],[Merged.Start]]</f>
        <v>27188</v>
      </c>
      <c r="U151">
        <f>Table3[[#This Row],[Merged.End]]</f>
        <v>27223</v>
      </c>
    </row>
    <row r="152" spans="1:21" x14ac:dyDescent="0.25">
      <c r="A152">
        <v>151</v>
      </c>
      <c r="B152">
        <v>2</v>
      </c>
      <c r="C152" s="1" t="s">
        <v>1135</v>
      </c>
      <c r="D152" t="s">
        <v>1136</v>
      </c>
      <c r="E152" t="s">
        <v>1137</v>
      </c>
      <c r="F152">
        <v>27224</v>
      </c>
      <c r="G152">
        <v>27322</v>
      </c>
      <c r="H152">
        <v>0</v>
      </c>
      <c r="K152">
        <f>IF(Table3[[#This Row],[NeedsAttention]]=1,Table3[[#This Row],[Start]],Table3[[#This Row],[StartN]])</f>
        <v>27224</v>
      </c>
      <c r="L152">
        <f>IF(Table3[[#This Row],[NeedsAttention]]=1,Table3[[#This Row],[End]],Table3[[#This Row],[EndN]])</f>
        <v>27322</v>
      </c>
      <c r="M152" t="b">
        <f>Table3[[#This Row],[Merged.Start]]=L151+1</f>
        <v>1</v>
      </c>
      <c r="O152">
        <f>Table3[[#This Row],[Section]]</f>
        <v>151</v>
      </c>
      <c r="P152">
        <f>Table3[[#This Row],[Canon]]</f>
        <v>2</v>
      </c>
      <c r="Q152" s="1" t="str">
        <f>Table3[[#This Row],[Reference]]</f>
        <v>13.26-31</v>
      </c>
      <c r="R152" t="str">
        <f>Table3[[#This Row],[StartR]]</f>
        <v>MRK 13:26</v>
      </c>
      <c r="S152" t="str">
        <f>Table3[[#This Row],[EndR]]</f>
        <v>MRK 13:31</v>
      </c>
      <c r="T152">
        <f>Table3[[#This Row],[Merged.Start]]</f>
        <v>27224</v>
      </c>
      <c r="U152">
        <f>Table3[[#This Row],[Merged.End]]</f>
        <v>27322</v>
      </c>
    </row>
    <row r="153" spans="1:21" x14ac:dyDescent="0.25">
      <c r="A153">
        <v>152</v>
      </c>
      <c r="B153">
        <v>6</v>
      </c>
      <c r="C153" s="1">
        <v>13.32</v>
      </c>
      <c r="D153" t="s">
        <v>1138</v>
      </c>
      <c r="E153" t="s">
        <v>1138</v>
      </c>
      <c r="F153">
        <v>27323</v>
      </c>
      <c r="G153">
        <v>27344</v>
      </c>
      <c r="H153">
        <v>0</v>
      </c>
      <c r="K153">
        <f>IF(Table3[[#This Row],[NeedsAttention]]=1,Table3[[#This Row],[Start]],Table3[[#This Row],[StartN]])</f>
        <v>27323</v>
      </c>
      <c r="L153">
        <f>IF(Table3[[#This Row],[NeedsAttention]]=1,Table3[[#This Row],[End]],Table3[[#This Row],[EndN]])</f>
        <v>27344</v>
      </c>
      <c r="M153" t="b">
        <f>Table3[[#This Row],[Merged.Start]]=L152+1</f>
        <v>1</v>
      </c>
      <c r="O153">
        <f>Table3[[#This Row],[Section]]</f>
        <v>152</v>
      </c>
      <c r="P153">
        <f>Table3[[#This Row],[Canon]]</f>
        <v>6</v>
      </c>
      <c r="Q153" s="1">
        <f>Table3[[#This Row],[Reference]]</f>
        <v>13.32</v>
      </c>
      <c r="R153" t="str">
        <f>Table3[[#This Row],[StartR]]</f>
        <v>MRK 13:32</v>
      </c>
      <c r="S153" t="str">
        <f>Table3[[#This Row],[EndR]]</f>
        <v>MRK 13:32</v>
      </c>
      <c r="T153">
        <f>Table3[[#This Row],[Merged.Start]]</f>
        <v>27323</v>
      </c>
      <c r="U153">
        <f>Table3[[#This Row],[Merged.End]]</f>
        <v>27344</v>
      </c>
    </row>
    <row r="154" spans="1:21" x14ac:dyDescent="0.25">
      <c r="A154">
        <v>153</v>
      </c>
      <c r="B154">
        <v>6</v>
      </c>
      <c r="C154" s="1">
        <v>13.33</v>
      </c>
      <c r="D154" t="s">
        <v>1139</v>
      </c>
      <c r="E154" t="s">
        <v>1139</v>
      </c>
      <c r="F154">
        <v>27345</v>
      </c>
      <c r="G154">
        <v>27353</v>
      </c>
      <c r="H154">
        <v>0</v>
      </c>
      <c r="K154">
        <f>IF(Table3[[#This Row],[NeedsAttention]]=1,Table3[[#This Row],[Start]],Table3[[#This Row],[StartN]])</f>
        <v>27345</v>
      </c>
      <c r="L154">
        <f>IF(Table3[[#This Row],[NeedsAttention]]=1,Table3[[#This Row],[End]],Table3[[#This Row],[EndN]])</f>
        <v>27353</v>
      </c>
      <c r="M154" t="b">
        <f>Table3[[#This Row],[Merged.Start]]=L153+1</f>
        <v>1</v>
      </c>
      <c r="O154">
        <f>Table3[[#This Row],[Section]]</f>
        <v>153</v>
      </c>
      <c r="P154">
        <f>Table3[[#This Row],[Canon]]</f>
        <v>6</v>
      </c>
      <c r="Q154" s="1">
        <f>Table3[[#This Row],[Reference]]</f>
        <v>13.33</v>
      </c>
      <c r="R154" t="str">
        <f>Table3[[#This Row],[StartR]]</f>
        <v>MRK 13:33</v>
      </c>
      <c r="S154" t="str">
        <f>Table3[[#This Row],[EndR]]</f>
        <v>MRK 13:33</v>
      </c>
      <c r="T154">
        <f>Table3[[#This Row],[Merged.Start]]</f>
        <v>27345</v>
      </c>
      <c r="U154">
        <f>Table3[[#This Row],[Merged.End]]</f>
        <v>27353</v>
      </c>
    </row>
    <row r="155" spans="1:21" x14ac:dyDescent="0.25">
      <c r="A155">
        <v>154</v>
      </c>
      <c r="B155">
        <v>2</v>
      </c>
      <c r="C155" s="1">
        <v>13.34</v>
      </c>
      <c r="D155" t="s">
        <v>1140</v>
      </c>
      <c r="E155" t="s">
        <v>1140</v>
      </c>
      <c r="F155">
        <v>27354</v>
      </c>
      <c r="G155">
        <v>27377</v>
      </c>
      <c r="H155">
        <v>0</v>
      </c>
      <c r="K155">
        <f>IF(Table3[[#This Row],[NeedsAttention]]=1,Table3[[#This Row],[Start]],Table3[[#This Row],[StartN]])</f>
        <v>27354</v>
      </c>
      <c r="L155">
        <f>IF(Table3[[#This Row],[NeedsAttention]]=1,Table3[[#This Row],[End]],Table3[[#This Row],[EndN]])</f>
        <v>27377</v>
      </c>
      <c r="M155" t="b">
        <f>Table3[[#This Row],[Merged.Start]]=L154+1</f>
        <v>1</v>
      </c>
      <c r="O155">
        <f>Table3[[#This Row],[Section]]</f>
        <v>154</v>
      </c>
      <c r="P155">
        <f>Table3[[#This Row],[Canon]]</f>
        <v>2</v>
      </c>
      <c r="Q155" s="1">
        <f>Table3[[#This Row],[Reference]]</f>
        <v>13.34</v>
      </c>
      <c r="R155" t="str">
        <f>Table3[[#This Row],[StartR]]</f>
        <v>MRK 13:34</v>
      </c>
      <c r="S155" t="str">
        <f>Table3[[#This Row],[EndR]]</f>
        <v>MRK 13:34</v>
      </c>
      <c r="T155">
        <f>Table3[[#This Row],[Merged.Start]]</f>
        <v>27354</v>
      </c>
      <c r="U155">
        <f>Table3[[#This Row],[Merged.End]]</f>
        <v>27377</v>
      </c>
    </row>
    <row r="156" spans="1:21" x14ac:dyDescent="0.25">
      <c r="A156">
        <v>155</v>
      </c>
      <c r="B156">
        <v>2</v>
      </c>
      <c r="C156" s="1" t="s">
        <v>1141</v>
      </c>
      <c r="D156" t="s">
        <v>1142</v>
      </c>
      <c r="E156" t="s">
        <v>1143</v>
      </c>
      <c r="F156">
        <v>27378</v>
      </c>
      <c r="G156">
        <v>27409</v>
      </c>
      <c r="H156">
        <v>0</v>
      </c>
      <c r="K156">
        <f>IF(Table3[[#This Row],[NeedsAttention]]=1,Table3[[#This Row],[Start]],Table3[[#This Row],[StartN]])</f>
        <v>27378</v>
      </c>
      <c r="L156">
        <f>IF(Table3[[#This Row],[NeedsAttention]]=1,Table3[[#This Row],[End]],Table3[[#This Row],[EndN]])</f>
        <v>27409</v>
      </c>
      <c r="M156" t="b">
        <f>Table3[[#This Row],[Merged.Start]]=L155+1</f>
        <v>1</v>
      </c>
      <c r="O156">
        <f>Table3[[#This Row],[Section]]</f>
        <v>155</v>
      </c>
      <c r="P156">
        <f>Table3[[#This Row],[Canon]]</f>
        <v>2</v>
      </c>
      <c r="Q156" s="1" t="str">
        <f>Table3[[#This Row],[Reference]]</f>
        <v>13.35-37</v>
      </c>
      <c r="R156" t="str">
        <f>Table3[[#This Row],[StartR]]</f>
        <v>MRK 13:35</v>
      </c>
      <c r="S156" t="str">
        <f>Table3[[#This Row],[EndR]]</f>
        <v>MRK 13:37</v>
      </c>
      <c r="T156">
        <f>Table3[[#This Row],[Merged.Start]]</f>
        <v>27378</v>
      </c>
      <c r="U156">
        <f>Table3[[#This Row],[Merged.End]]</f>
        <v>27409</v>
      </c>
    </row>
    <row r="157" spans="1:21" x14ac:dyDescent="0.25">
      <c r="A157">
        <v>156</v>
      </c>
      <c r="B157">
        <v>1</v>
      </c>
      <c r="C157" s="1" t="s">
        <v>1144</v>
      </c>
      <c r="D157" t="s">
        <v>1145</v>
      </c>
      <c r="E157" t="s">
        <v>1145</v>
      </c>
      <c r="F157">
        <v>27410</v>
      </c>
      <c r="G157">
        <v>27432</v>
      </c>
      <c r="H157">
        <v>1</v>
      </c>
      <c r="I157">
        <v>27410</v>
      </c>
      <c r="J157">
        <v>27419</v>
      </c>
      <c r="K157">
        <f>IF(Table3[[#This Row],[NeedsAttention]]=1,Table3[[#This Row],[Start]],Table3[[#This Row],[StartN]])</f>
        <v>27410</v>
      </c>
      <c r="L157">
        <f>IF(Table3[[#This Row],[NeedsAttention]]=1,Table3[[#This Row],[End]],Table3[[#This Row],[EndN]])</f>
        <v>27419</v>
      </c>
      <c r="M157" t="b">
        <f>Table3[[#This Row],[Merged.Start]]=L156+1</f>
        <v>1</v>
      </c>
      <c r="O157">
        <f>Table3[[#This Row],[Section]]</f>
        <v>156</v>
      </c>
      <c r="P157">
        <f>Table3[[#This Row],[Canon]]</f>
        <v>1</v>
      </c>
      <c r="Q157" s="1" t="str">
        <f>Table3[[#This Row],[Reference]]</f>
        <v>14.1A</v>
      </c>
      <c r="R157" t="str">
        <f>Table3[[#This Row],[StartR]]</f>
        <v>MRK 14:1</v>
      </c>
      <c r="S157" t="str">
        <f>Table3[[#This Row],[EndR]]</f>
        <v>MRK 14:1</v>
      </c>
      <c r="T157">
        <f>Table3[[#This Row],[Merged.Start]]</f>
        <v>27410</v>
      </c>
      <c r="U157">
        <f>Table3[[#This Row],[Merged.End]]</f>
        <v>27419</v>
      </c>
    </row>
    <row r="158" spans="1:21" x14ac:dyDescent="0.25">
      <c r="A158">
        <v>157</v>
      </c>
      <c r="B158">
        <v>6</v>
      </c>
      <c r="C158" s="1" t="s">
        <v>1146</v>
      </c>
      <c r="D158" t="s">
        <v>1145</v>
      </c>
      <c r="E158" t="s">
        <v>1147</v>
      </c>
      <c r="F158">
        <v>27410</v>
      </c>
      <c r="G158">
        <v>27443</v>
      </c>
      <c r="H158">
        <v>1</v>
      </c>
      <c r="I158">
        <v>27420</v>
      </c>
      <c r="J158">
        <v>27443</v>
      </c>
      <c r="K158">
        <f>IF(Table3[[#This Row],[NeedsAttention]]=1,Table3[[#This Row],[Start]],Table3[[#This Row],[StartN]])</f>
        <v>27420</v>
      </c>
      <c r="L158">
        <f>IF(Table3[[#This Row],[NeedsAttention]]=1,Table3[[#This Row],[End]],Table3[[#This Row],[EndN]])</f>
        <v>27443</v>
      </c>
      <c r="M158" t="b">
        <f>Table3[[#This Row],[Merged.Start]]=L157+1</f>
        <v>1</v>
      </c>
      <c r="O158">
        <f>Table3[[#This Row],[Section]]</f>
        <v>157</v>
      </c>
      <c r="P158">
        <f>Table3[[#This Row],[Canon]]</f>
        <v>6</v>
      </c>
      <c r="Q158" s="1" t="str">
        <f>Table3[[#This Row],[Reference]]</f>
        <v>14.1B-2</v>
      </c>
      <c r="R158" t="str">
        <f>Table3[[#This Row],[StartR]]</f>
        <v>MRK 14:1</v>
      </c>
      <c r="S158" t="str">
        <f>Table3[[#This Row],[EndR]]</f>
        <v>MRK 14:2</v>
      </c>
      <c r="T158">
        <f>Table3[[#This Row],[Merged.Start]]</f>
        <v>27420</v>
      </c>
      <c r="U158">
        <f>Table3[[#This Row],[Merged.End]]</f>
        <v>27443</v>
      </c>
    </row>
    <row r="159" spans="1:21" x14ac:dyDescent="0.25">
      <c r="A159">
        <v>158</v>
      </c>
      <c r="B159">
        <v>1</v>
      </c>
      <c r="C159" s="1" t="s">
        <v>1148</v>
      </c>
      <c r="D159" t="s">
        <v>1149</v>
      </c>
      <c r="E159" t="s">
        <v>1150</v>
      </c>
      <c r="F159">
        <v>27444</v>
      </c>
      <c r="G159">
        <v>27535</v>
      </c>
      <c r="H159">
        <v>0</v>
      </c>
      <c r="K159">
        <f>IF(Table3[[#This Row],[NeedsAttention]]=1,Table3[[#This Row],[Start]],Table3[[#This Row],[StartN]])</f>
        <v>27444</v>
      </c>
      <c r="L159">
        <f>IF(Table3[[#This Row],[NeedsAttention]]=1,Table3[[#This Row],[End]],Table3[[#This Row],[EndN]])</f>
        <v>27535</v>
      </c>
      <c r="M159" t="b">
        <f>Table3[[#This Row],[Merged.Start]]=L158+1</f>
        <v>1</v>
      </c>
      <c r="O159">
        <f>Table3[[#This Row],[Section]]</f>
        <v>158</v>
      </c>
      <c r="P159">
        <f>Table3[[#This Row],[Canon]]</f>
        <v>1</v>
      </c>
      <c r="Q159" s="1" t="str">
        <f>Table3[[#This Row],[Reference]]</f>
        <v>14.3-7</v>
      </c>
      <c r="R159" t="str">
        <f>Table3[[#This Row],[StartR]]</f>
        <v>MRK 14:3</v>
      </c>
      <c r="S159" t="str">
        <f>Table3[[#This Row],[EndR]]</f>
        <v>MRK 14:7</v>
      </c>
      <c r="T159">
        <f>Table3[[#This Row],[Merged.Start]]</f>
        <v>27444</v>
      </c>
      <c r="U159">
        <f>Table3[[#This Row],[Merged.End]]</f>
        <v>27535</v>
      </c>
    </row>
    <row r="160" spans="1:21" x14ac:dyDescent="0.25">
      <c r="A160">
        <v>159</v>
      </c>
      <c r="B160">
        <v>4</v>
      </c>
      <c r="C160" s="1" t="s">
        <v>1151</v>
      </c>
      <c r="D160" t="s">
        <v>1152</v>
      </c>
      <c r="E160" t="s">
        <v>1153</v>
      </c>
      <c r="F160">
        <v>27536</v>
      </c>
      <c r="G160">
        <v>27567</v>
      </c>
      <c r="H160">
        <v>0</v>
      </c>
      <c r="K160">
        <f>IF(Table3[[#This Row],[NeedsAttention]]=1,Table3[[#This Row],[Start]],Table3[[#This Row],[StartN]])</f>
        <v>27536</v>
      </c>
      <c r="L160">
        <f>IF(Table3[[#This Row],[NeedsAttention]]=1,Table3[[#This Row],[End]],Table3[[#This Row],[EndN]])</f>
        <v>27567</v>
      </c>
      <c r="M160" t="b">
        <f>Table3[[#This Row],[Merged.Start]]=L159+1</f>
        <v>1</v>
      </c>
      <c r="O160">
        <f>Table3[[#This Row],[Section]]</f>
        <v>159</v>
      </c>
      <c r="P160">
        <f>Table3[[#This Row],[Canon]]</f>
        <v>4</v>
      </c>
      <c r="Q160" s="1" t="str">
        <f>Table3[[#This Row],[Reference]]</f>
        <v>14.8-9</v>
      </c>
      <c r="R160" t="str">
        <f>Table3[[#This Row],[StartR]]</f>
        <v>MRK 14:8</v>
      </c>
      <c r="S160" t="str">
        <f>Table3[[#This Row],[EndR]]</f>
        <v>MRK 14:9</v>
      </c>
      <c r="T160">
        <f>Table3[[#This Row],[Merged.Start]]</f>
        <v>27536</v>
      </c>
      <c r="U160">
        <f>Table3[[#This Row],[Merged.End]]</f>
        <v>27567</v>
      </c>
    </row>
    <row r="161" spans="1:21" x14ac:dyDescent="0.25">
      <c r="A161">
        <v>160</v>
      </c>
      <c r="B161">
        <v>2</v>
      </c>
      <c r="C161" s="1" t="s">
        <v>1154</v>
      </c>
      <c r="D161" t="s">
        <v>1155</v>
      </c>
      <c r="E161" t="s">
        <v>1156</v>
      </c>
      <c r="F161">
        <v>27568</v>
      </c>
      <c r="G161">
        <v>27696</v>
      </c>
      <c r="H161">
        <v>0</v>
      </c>
      <c r="K161">
        <f>IF(Table3[[#This Row],[NeedsAttention]]=1,Table3[[#This Row],[Start]],Table3[[#This Row],[StartN]])</f>
        <v>27568</v>
      </c>
      <c r="L161">
        <f>IF(Table3[[#This Row],[NeedsAttention]]=1,Table3[[#This Row],[End]],Table3[[#This Row],[EndN]])</f>
        <v>27696</v>
      </c>
      <c r="M161" t="b">
        <f>Table3[[#This Row],[Merged.Start]]=L160+1</f>
        <v>1</v>
      </c>
      <c r="O161">
        <f>Table3[[#This Row],[Section]]</f>
        <v>160</v>
      </c>
      <c r="P161">
        <f>Table3[[#This Row],[Canon]]</f>
        <v>2</v>
      </c>
      <c r="Q161" s="1" t="str">
        <f>Table3[[#This Row],[Reference]]</f>
        <v>14.10-16</v>
      </c>
      <c r="R161" t="str">
        <f>Table3[[#This Row],[StartR]]</f>
        <v>MRK 14:10</v>
      </c>
      <c r="S161" t="str">
        <f>Table3[[#This Row],[EndR]]</f>
        <v>MRK 14:16</v>
      </c>
      <c r="T161">
        <f>Table3[[#This Row],[Merged.Start]]</f>
        <v>27568</v>
      </c>
      <c r="U161">
        <f>Table3[[#This Row],[Merged.End]]</f>
        <v>27696</v>
      </c>
    </row>
    <row r="162" spans="1:21" x14ac:dyDescent="0.25">
      <c r="A162">
        <v>161</v>
      </c>
      <c r="B162">
        <v>4</v>
      </c>
      <c r="C162" s="1" t="s">
        <v>1157</v>
      </c>
      <c r="D162" t="s">
        <v>1158</v>
      </c>
      <c r="E162" t="s">
        <v>1159</v>
      </c>
      <c r="F162">
        <v>27697</v>
      </c>
      <c r="G162">
        <v>27724</v>
      </c>
      <c r="H162">
        <v>0</v>
      </c>
      <c r="K162">
        <f>IF(Table3[[#This Row],[NeedsAttention]]=1,Table3[[#This Row],[Start]],Table3[[#This Row],[StartN]])</f>
        <v>27697</v>
      </c>
      <c r="L162">
        <f>IF(Table3[[#This Row],[NeedsAttention]]=1,Table3[[#This Row],[End]],Table3[[#This Row],[EndN]])</f>
        <v>27724</v>
      </c>
      <c r="M162" t="b">
        <f>Table3[[#This Row],[Merged.Start]]=L161+1</f>
        <v>1</v>
      </c>
      <c r="O162">
        <f>Table3[[#This Row],[Section]]</f>
        <v>161</v>
      </c>
      <c r="P162">
        <f>Table3[[#This Row],[Canon]]</f>
        <v>4</v>
      </c>
      <c r="Q162" s="1" t="str">
        <f>Table3[[#This Row],[Reference]]</f>
        <v>14.17-18</v>
      </c>
      <c r="R162" t="str">
        <f>Table3[[#This Row],[StartR]]</f>
        <v>MRK 14:17</v>
      </c>
      <c r="S162" t="str">
        <f>Table3[[#This Row],[EndR]]</f>
        <v>MRK 14:18</v>
      </c>
      <c r="T162">
        <f>Table3[[#This Row],[Merged.Start]]</f>
        <v>27697</v>
      </c>
      <c r="U162">
        <f>Table3[[#This Row],[Merged.End]]</f>
        <v>27724</v>
      </c>
    </row>
    <row r="163" spans="1:21" x14ac:dyDescent="0.25">
      <c r="A163">
        <v>162</v>
      </c>
      <c r="B163">
        <v>1</v>
      </c>
      <c r="C163" s="1">
        <v>14.19</v>
      </c>
      <c r="D163" t="s">
        <v>1160</v>
      </c>
      <c r="E163" t="s">
        <v>1160</v>
      </c>
      <c r="F163">
        <v>27725</v>
      </c>
      <c r="G163">
        <v>27734</v>
      </c>
      <c r="H163">
        <v>0</v>
      </c>
      <c r="K163">
        <f>IF(Table3[[#This Row],[NeedsAttention]]=1,Table3[[#This Row],[Start]],Table3[[#This Row],[StartN]])</f>
        <v>27725</v>
      </c>
      <c r="L163">
        <f>IF(Table3[[#This Row],[NeedsAttention]]=1,Table3[[#This Row],[End]],Table3[[#This Row],[EndN]])</f>
        <v>27734</v>
      </c>
      <c r="M163" t="b">
        <f>Table3[[#This Row],[Merged.Start]]=L162+1</f>
        <v>1</v>
      </c>
      <c r="O163">
        <f>Table3[[#This Row],[Section]]</f>
        <v>162</v>
      </c>
      <c r="P163">
        <f>Table3[[#This Row],[Canon]]</f>
        <v>1</v>
      </c>
      <c r="Q163" s="1">
        <f>Table3[[#This Row],[Reference]]</f>
        <v>14.19</v>
      </c>
      <c r="R163" t="str">
        <f>Table3[[#This Row],[StartR]]</f>
        <v>MRK 14:19</v>
      </c>
      <c r="S163" t="str">
        <f>Table3[[#This Row],[EndR]]</f>
        <v>MRK 14:19</v>
      </c>
      <c r="T163">
        <f>Table3[[#This Row],[Merged.Start]]</f>
        <v>27725</v>
      </c>
      <c r="U163">
        <f>Table3[[#This Row],[Merged.End]]</f>
        <v>27734</v>
      </c>
    </row>
    <row r="164" spans="1:21" x14ac:dyDescent="0.25">
      <c r="A164">
        <v>163</v>
      </c>
      <c r="B164">
        <v>2</v>
      </c>
      <c r="C164" s="1" t="s">
        <v>1161</v>
      </c>
      <c r="D164" t="s">
        <v>1162</v>
      </c>
      <c r="E164" t="s">
        <v>1163</v>
      </c>
      <c r="F164">
        <v>27735</v>
      </c>
      <c r="G164">
        <v>27779</v>
      </c>
      <c r="H164">
        <v>1</v>
      </c>
      <c r="I164">
        <v>27735</v>
      </c>
      <c r="J164">
        <v>27771</v>
      </c>
      <c r="K164">
        <f>IF(Table3[[#This Row],[NeedsAttention]]=1,Table3[[#This Row],[Start]],Table3[[#This Row],[StartN]])</f>
        <v>27735</v>
      </c>
      <c r="L164">
        <f>IF(Table3[[#This Row],[NeedsAttention]]=1,Table3[[#This Row],[End]],Table3[[#This Row],[EndN]])</f>
        <v>27771</v>
      </c>
      <c r="M164" t="b">
        <f>Table3[[#This Row],[Merged.Start]]=L163+1</f>
        <v>1</v>
      </c>
      <c r="O164">
        <f>Table3[[#This Row],[Section]]</f>
        <v>163</v>
      </c>
      <c r="P164">
        <f>Table3[[#This Row],[Canon]]</f>
        <v>2</v>
      </c>
      <c r="Q164" s="1" t="str">
        <f>Table3[[#This Row],[Reference]]</f>
        <v>14.20-21A</v>
      </c>
      <c r="R164" t="str">
        <f>Table3[[#This Row],[StartR]]</f>
        <v>MRK 14:20</v>
      </c>
      <c r="S164" t="str">
        <f>Table3[[#This Row],[EndR]]</f>
        <v>MRK 14:21</v>
      </c>
      <c r="T164">
        <f>Table3[[#This Row],[Merged.Start]]</f>
        <v>27735</v>
      </c>
      <c r="U164">
        <f>Table3[[#This Row],[Merged.End]]</f>
        <v>27771</v>
      </c>
    </row>
    <row r="165" spans="1:21" x14ac:dyDescent="0.25">
      <c r="A165">
        <v>164</v>
      </c>
      <c r="B165">
        <v>6</v>
      </c>
      <c r="C165" s="1" t="s">
        <v>1164</v>
      </c>
      <c r="D165" t="s">
        <v>1163</v>
      </c>
      <c r="E165" t="s">
        <v>1163</v>
      </c>
      <c r="F165">
        <v>27749</v>
      </c>
      <c r="G165">
        <v>27779</v>
      </c>
      <c r="H165">
        <v>1</v>
      </c>
      <c r="I165">
        <v>27772</v>
      </c>
      <c r="J165">
        <v>27779</v>
      </c>
      <c r="K165">
        <f>IF(Table3[[#This Row],[NeedsAttention]]=1,Table3[[#This Row],[Start]],Table3[[#This Row],[StartN]])</f>
        <v>27772</v>
      </c>
      <c r="L165">
        <f>IF(Table3[[#This Row],[NeedsAttention]]=1,Table3[[#This Row],[End]],Table3[[#This Row],[EndN]])</f>
        <v>27779</v>
      </c>
      <c r="M165" t="b">
        <f>Table3[[#This Row],[Merged.Start]]=L164+1</f>
        <v>1</v>
      </c>
      <c r="O165">
        <f>Table3[[#This Row],[Section]]</f>
        <v>164</v>
      </c>
      <c r="P165">
        <f>Table3[[#This Row],[Canon]]</f>
        <v>6</v>
      </c>
      <c r="Q165" s="1" t="str">
        <f>Table3[[#This Row],[Reference]]</f>
        <v>14.21B</v>
      </c>
      <c r="R165" t="str">
        <f>Table3[[#This Row],[StartR]]</f>
        <v>MRK 14:21</v>
      </c>
      <c r="S165" t="str">
        <f>Table3[[#This Row],[EndR]]</f>
        <v>MRK 14:21</v>
      </c>
      <c r="T165">
        <f>Table3[[#This Row],[Merged.Start]]</f>
        <v>27772</v>
      </c>
      <c r="U165">
        <f>Table3[[#This Row],[Merged.End]]</f>
        <v>27779</v>
      </c>
    </row>
    <row r="166" spans="1:21" x14ac:dyDescent="0.25">
      <c r="A166">
        <v>165</v>
      </c>
      <c r="B166">
        <v>1</v>
      </c>
      <c r="C166" s="1">
        <v>14.22</v>
      </c>
      <c r="D166" t="s">
        <v>1165</v>
      </c>
      <c r="E166" t="s">
        <v>1165</v>
      </c>
      <c r="F166">
        <v>27780</v>
      </c>
      <c r="G166">
        <v>27797</v>
      </c>
      <c r="H166">
        <v>0</v>
      </c>
      <c r="K166">
        <f>IF(Table3[[#This Row],[NeedsAttention]]=1,Table3[[#This Row],[Start]],Table3[[#This Row],[StartN]])</f>
        <v>27780</v>
      </c>
      <c r="L166">
        <f>IF(Table3[[#This Row],[NeedsAttention]]=1,Table3[[#This Row],[End]],Table3[[#This Row],[EndN]])</f>
        <v>27797</v>
      </c>
      <c r="M166" t="b">
        <f>Table3[[#This Row],[Merged.Start]]=L165+1</f>
        <v>1</v>
      </c>
      <c r="O166">
        <f>Table3[[#This Row],[Section]]</f>
        <v>165</v>
      </c>
      <c r="P166">
        <f>Table3[[#This Row],[Canon]]</f>
        <v>1</v>
      </c>
      <c r="Q166" s="1">
        <f>Table3[[#This Row],[Reference]]</f>
        <v>14.22</v>
      </c>
      <c r="R166" t="str">
        <f>Table3[[#This Row],[StartR]]</f>
        <v>MRK 14:22</v>
      </c>
      <c r="S166" t="str">
        <f>Table3[[#This Row],[EndR]]</f>
        <v>MRK 14:22</v>
      </c>
      <c r="T166">
        <f>Table3[[#This Row],[Merged.Start]]</f>
        <v>27780</v>
      </c>
      <c r="U166">
        <f>Table3[[#This Row],[Merged.End]]</f>
        <v>27797</v>
      </c>
    </row>
    <row r="167" spans="1:21" x14ac:dyDescent="0.25">
      <c r="A167">
        <v>166</v>
      </c>
      <c r="B167">
        <v>2</v>
      </c>
      <c r="C167" s="1" t="s">
        <v>1166</v>
      </c>
      <c r="D167" t="s">
        <v>1167</v>
      </c>
      <c r="E167" t="s">
        <v>1168</v>
      </c>
      <c r="F167">
        <v>27798</v>
      </c>
      <c r="G167">
        <v>27848</v>
      </c>
      <c r="H167">
        <v>0</v>
      </c>
      <c r="K167">
        <f>IF(Table3[[#This Row],[NeedsAttention]]=1,Table3[[#This Row],[Start]],Table3[[#This Row],[StartN]])</f>
        <v>27798</v>
      </c>
      <c r="L167">
        <f>IF(Table3[[#This Row],[NeedsAttention]]=1,Table3[[#This Row],[End]],Table3[[#This Row],[EndN]])</f>
        <v>27848</v>
      </c>
      <c r="M167" t="b">
        <f>Table3[[#This Row],[Merged.Start]]=L166+1</f>
        <v>1</v>
      </c>
      <c r="O167">
        <f>Table3[[#This Row],[Section]]</f>
        <v>166</v>
      </c>
      <c r="P167">
        <f>Table3[[#This Row],[Canon]]</f>
        <v>2</v>
      </c>
      <c r="Q167" s="1" t="str">
        <f>Table3[[#This Row],[Reference]]</f>
        <v>14.23-25</v>
      </c>
      <c r="R167" t="str">
        <f>Table3[[#This Row],[StartR]]</f>
        <v>MRK 14:23</v>
      </c>
      <c r="S167" t="str">
        <f>Table3[[#This Row],[EndR]]</f>
        <v>MRK 14:25</v>
      </c>
      <c r="T167">
        <f>Table3[[#This Row],[Merged.Start]]</f>
        <v>27798</v>
      </c>
      <c r="U167">
        <f>Table3[[#This Row],[Merged.End]]</f>
        <v>27848</v>
      </c>
    </row>
    <row r="168" spans="1:21" x14ac:dyDescent="0.25">
      <c r="A168">
        <v>167</v>
      </c>
      <c r="B168">
        <v>6</v>
      </c>
      <c r="C168" s="1" t="s">
        <v>1169</v>
      </c>
      <c r="D168" t="s">
        <v>1170</v>
      </c>
      <c r="E168" t="s">
        <v>1171</v>
      </c>
      <c r="F168">
        <v>27849</v>
      </c>
      <c r="G168">
        <v>27873</v>
      </c>
      <c r="H168">
        <v>1</v>
      </c>
      <c r="I168">
        <v>27849</v>
      </c>
      <c r="J168">
        <v>27861</v>
      </c>
      <c r="K168">
        <f>IF(Table3[[#This Row],[NeedsAttention]]=1,Table3[[#This Row],[Start]],Table3[[#This Row],[StartN]])</f>
        <v>27849</v>
      </c>
      <c r="L168">
        <f>IF(Table3[[#This Row],[NeedsAttention]]=1,Table3[[#This Row],[End]],Table3[[#This Row],[EndN]])</f>
        <v>27861</v>
      </c>
      <c r="M168" t="b">
        <f>Table3[[#This Row],[Merged.Start]]=L167+1</f>
        <v>1</v>
      </c>
      <c r="O168">
        <f>Table3[[#This Row],[Section]]</f>
        <v>167</v>
      </c>
      <c r="P168">
        <f>Table3[[#This Row],[Canon]]</f>
        <v>6</v>
      </c>
      <c r="Q168" s="1" t="str">
        <f>Table3[[#This Row],[Reference]]</f>
        <v>14.26-27A</v>
      </c>
      <c r="R168" t="str">
        <f>Table3[[#This Row],[StartR]]</f>
        <v>MRK 14:26</v>
      </c>
      <c r="S168" t="str">
        <f>Table3[[#This Row],[EndR]]</f>
        <v>MRK 14:27</v>
      </c>
      <c r="T168">
        <f>Table3[[#This Row],[Merged.Start]]</f>
        <v>27849</v>
      </c>
      <c r="U168">
        <f>Table3[[#This Row],[Merged.End]]</f>
        <v>27861</v>
      </c>
    </row>
    <row r="169" spans="1:21" x14ac:dyDescent="0.25">
      <c r="A169">
        <v>168</v>
      </c>
      <c r="B169">
        <v>4</v>
      </c>
      <c r="C169" s="1" t="s">
        <v>1172</v>
      </c>
      <c r="D169" t="s">
        <v>1171</v>
      </c>
      <c r="E169" t="s">
        <v>1171</v>
      </c>
      <c r="F169">
        <v>27857</v>
      </c>
      <c r="G169">
        <v>27873</v>
      </c>
      <c r="H169">
        <v>1</v>
      </c>
      <c r="I169">
        <v>27862</v>
      </c>
      <c r="J169">
        <v>27864</v>
      </c>
      <c r="K169">
        <f>IF(Table3[[#This Row],[NeedsAttention]]=1,Table3[[#This Row],[Start]],Table3[[#This Row],[StartN]])</f>
        <v>27862</v>
      </c>
      <c r="L169">
        <f>IF(Table3[[#This Row],[NeedsAttention]]=1,Table3[[#This Row],[End]],Table3[[#This Row],[EndN]])</f>
        <v>27864</v>
      </c>
      <c r="M169" t="b">
        <f>Table3[[#This Row],[Merged.Start]]=L168+1</f>
        <v>1</v>
      </c>
      <c r="O169">
        <f>Table3[[#This Row],[Section]]</f>
        <v>168</v>
      </c>
      <c r="P169">
        <f>Table3[[#This Row],[Canon]]</f>
        <v>4</v>
      </c>
      <c r="Q169" s="1" t="str">
        <f>Table3[[#This Row],[Reference]]</f>
        <v>14.27B</v>
      </c>
      <c r="R169" t="str">
        <f>Table3[[#This Row],[StartR]]</f>
        <v>MRK 14:27</v>
      </c>
      <c r="S169" t="str">
        <f>Table3[[#This Row],[EndR]]</f>
        <v>MRK 14:27</v>
      </c>
      <c r="T169">
        <f>Table3[[#This Row],[Merged.Start]]</f>
        <v>27862</v>
      </c>
      <c r="U169">
        <f>Table3[[#This Row],[Merged.End]]</f>
        <v>27864</v>
      </c>
    </row>
    <row r="170" spans="1:21" x14ac:dyDescent="0.25">
      <c r="A170">
        <v>169</v>
      </c>
      <c r="B170">
        <v>6</v>
      </c>
      <c r="C170" s="1" t="s">
        <v>1173</v>
      </c>
      <c r="D170" t="s">
        <v>1171</v>
      </c>
      <c r="E170" t="s">
        <v>1174</v>
      </c>
      <c r="F170">
        <v>27857</v>
      </c>
      <c r="G170">
        <v>27883</v>
      </c>
      <c r="H170">
        <v>1</v>
      </c>
      <c r="I170">
        <v>27865</v>
      </c>
      <c r="J170">
        <v>27883</v>
      </c>
      <c r="K170">
        <f>IF(Table3[[#This Row],[NeedsAttention]]=1,Table3[[#This Row],[Start]],Table3[[#This Row],[StartN]])</f>
        <v>27865</v>
      </c>
      <c r="L170">
        <f>IF(Table3[[#This Row],[NeedsAttention]]=1,Table3[[#This Row],[End]],Table3[[#This Row],[EndN]])</f>
        <v>27883</v>
      </c>
      <c r="M170" t="b">
        <f>Table3[[#This Row],[Merged.Start]]=L169+1</f>
        <v>1</v>
      </c>
      <c r="O170">
        <f>Table3[[#This Row],[Section]]</f>
        <v>169</v>
      </c>
      <c r="P170">
        <f>Table3[[#This Row],[Canon]]</f>
        <v>6</v>
      </c>
      <c r="Q170" s="1" t="str">
        <f>Table3[[#This Row],[Reference]]</f>
        <v>14.27C-28</v>
      </c>
      <c r="R170" t="str">
        <f>Table3[[#This Row],[StartR]]</f>
        <v>MRK 14:27</v>
      </c>
      <c r="S170" t="str">
        <f>Table3[[#This Row],[EndR]]</f>
        <v>MRK 14:28</v>
      </c>
      <c r="T170">
        <f>Table3[[#This Row],[Merged.Start]]</f>
        <v>27865</v>
      </c>
      <c r="U170">
        <f>Table3[[#This Row],[Merged.End]]</f>
        <v>27883</v>
      </c>
    </row>
    <row r="171" spans="1:21" x14ac:dyDescent="0.25">
      <c r="A171">
        <v>170</v>
      </c>
      <c r="B171">
        <v>1</v>
      </c>
      <c r="C171" s="1" t="s">
        <v>1175</v>
      </c>
      <c r="D171" t="s">
        <v>1176</v>
      </c>
      <c r="E171" t="s">
        <v>1177</v>
      </c>
      <c r="F171">
        <v>27884</v>
      </c>
      <c r="G171">
        <v>27917</v>
      </c>
      <c r="H171">
        <v>0</v>
      </c>
      <c r="K171">
        <f>IF(Table3[[#This Row],[NeedsAttention]]=1,Table3[[#This Row],[Start]],Table3[[#This Row],[StartN]])</f>
        <v>27884</v>
      </c>
      <c r="L171">
        <f>IF(Table3[[#This Row],[NeedsAttention]]=1,Table3[[#This Row],[End]],Table3[[#This Row],[EndN]])</f>
        <v>27917</v>
      </c>
      <c r="M171" t="b">
        <f>Table3[[#This Row],[Merged.Start]]=L170+1</f>
        <v>1</v>
      </c>
      <c r="O171">
        <f>Table3[[#This Row],[Section]]</f>
        <v>170</v>
      </c>
      <c r="P171">
        <f>Table3[[#This Row],[Canon]]</f>
        <v>1</v>
      </c>
      <c r="Q171" s="1" t="str">
        <f>Table3[[#This Row],[Reference]]</f>
        <v>14.29-30</v>
      </c>
      <c r="R171" t="str">
        <f>Table3[[#This Row],[StartR]]</f>
        <v>MRK 14:29</v>
      </c>
      <c r="S171" t="str">
        <f>Table3[[#This Row],[EndR]]</f>
        <v>MRK 14:30</v>
      </c>
      <c r="T171">
        <f>Table3[[#This Row],[Merged.Start]]</f>
        <v>27884</v>
      </c>
      <c r="U171">
        <f>Table3[[#This Row],[Merged.End]]</f>
        <v>27917</v>
      </c>
    </row>
    <row r="172" spans="1:21" x14ac:dyDescent="0.25">
      <c r="A172">
        <v>171</v>
      </c>
      <c r="B172">
        <v>6</v>
      </c>
      <c r="C172" s="1">
        <v>14.31</v>
      </c>
      <c r="D172" t="s">
        <v>1178</v>
      </c>
      <c r="E172" t="s">
        <v>1178</v>
      </c>
      <c r="F172">
        <v>27918</v>
      </c>
      <c r="G172">
        <v>27935</v>
      </c>
      <c r="H172">
        <v>0</v>
      </c>
      <c r="K172">
        <f>IF(Table3[[#This Row],[NeedsAttention]]=1,Table3[[#This Row],[Start]],Table3[[#This Row],[StartN]])</f>
        <v>27918</v>
      </c>
      <c r="L172">
        <f>IF(Table3[[#This Row],[NeedsAttention]]=1,Table3[[#This Row],[End]],Table3[[#This Row],[EndN]])</f>
        <v>27935</v>
      </c>
      <c r="M172" t="b">
        <f>Table3[[#This Row],[Merged.Start]]=L171+1</f>
        <v>1</v>
      </c>
      <c r="O172">
        <f>Table3[[#This Row],[Section]]</f>
        <v>171</v>
      </c>
      <c r="P172">
        <f>Table3[[#This Row],[Canon]]</f>
        <v>6</v>
      </c>
      <c r="Q172" s="1">
        <f>Table3[[#This Row],[Reference]]</f>
        <v>14.31</v>
      </c>
      <c r="R172" t="str">
        <f>Table3[[#This Row],[StartR]]</f>
        <v>MRK 14:31</v>
      </c>
      <c r="S172" t="str">
        <f>Table3[[#This Row],[EndR]]</f>
        <v>MRK 14:31</v>
      </c>
      <c r="T172">
        <f>Table3[[#This Row],[Merged.Start]]</f>
        <v>27918</v>
      </c>
      <c r="U172">
        <f>Table3[[#This Row],[Merged.End]]</f>
        <v>27935</v>
      </c>
    </row>
    <row r="173" spans="1:21" x14ac:dyDescent="0.25">
      <c r="A173">
        <v>172</v>
      </c>
      <c r="B173">
        <v>1</v>
      </c>
      <c r="C173" s="1" t="s">
        <v>1179</v>
      </c>
      <c r="D173" t="s">
        <v>1180</v>
      </c>
      <c r="E173" t="s">
        <v>1180</v>
      </c>
      <c r="F173">
        <v>27936</v>
      </c>
      <c r="G173">
        <v>27952</v>
      </c>
      <c r="H173">
        <v>1</v>
      </c>
      <c r="I173">
        <v>27936</v>
      </c>
      <c r="J173">
        <v>27943</v>
      </c>
      <c r="K173">
        <f>IF(Table3[[#This Row],[NeedsAttention]]=1,Table3[[#This Row],[Start]],Table3[[#This Row],[StartN]])</f>
        <v>27936</v>
      </c>
      <c r="L173">
        <f>IF(Table3[[#This Row],[NeedsAttention]]=1,Table3[[#This Row],[End]],Table3[[#This Row],[EndN]])</f>
        <v>27943</v>
      </c>
      <c r="M173" t="b">
        <f>Table3[[#This Row],[Merged.Start]]=L172+1</f>
        <v>1</v>
      </c>
      <c r="O173">
        <f>Table3[[#This Row],[Section]]</f>
        <v>172</v>
      </c>
      <c r="P173">
        <f>Table3[[#This Row],[Canon]]</f>
        <v>1</v>
      </c>
      <c r="Q173" s="1" t="str">
        <f>Table3[[#This Row],[Reference]]</f>
        <v>14.32A</v>
      </c>
      <c r="R173" t="str">
        <f>Table3[[#This Row],[StartR]]</f>
        <v>MRK 14:32</v>
      </c>
      <c r="S173" t="str">
        <f>Table3[[#This Row],[EndR]]</f>
        <v>MRK 14:32</v>
      </c>
      <c r="T173">
        <f>Table3[[#This Row],[Merged.Start]]</f>
        <v>27936</v>
      </c>
      <c r="U173">
        <f>Table3[[#This Row],[Merged.End]]</f>
        <v>27943</v>
      </c>
    </row>
    <row r="174" spans="1:21" x14ac:dyDescent="0.25">
      <c r="A174">
        <v>173</v>
      </c>
      <c r="B174">
        <v>6</v>
      </c>
      <c r="C174" s="1" t="s">
        <v>1181</v>
      </c>
      <c r="D174" t="s">
        <v>1180</v>
      </c>
      <c r="E174" t="s">
        <v>1182</v>
      </c>
      <c r="F174">
        <v>27936</v>
      </c>
      <c r="G174">
        <v>27967</v>
      </c>
      <c r="H174">
        <v>1</v>
      </c>
      <c r="I174">
        <v>27944</v>
      </c>
      <c r="J174">
        <v>27967</v>
      </c>
      <c r="K174">
        <f>IF(Table3[[#This Row],[NeedsAttention]]=1,Table3[[#This Row],[Start]],Table3[[#This Row],[StartN]])</f>
        <v>27944</v>
      </c>
      <c r="L174">
        <f>IF(Table3[[#This Row],[NeedsAttention]]=1,Table3[[#This Row],[End]],Table3[[#This Row],[EndN]])</f>
        <v>27967</v>
      </c>
      <c r="M174" t="b">
        <f>Table3[[#This Row],[Merged.Start]]=L173+1</f>
        <v>1</v>
      </c>
      <c r="O174">
        <f>Table3[[#This Row],[Section]]</f>
        <v>173</v>
      </c>
      <c r="P174">
        <f>Table3[[#This Row],[Canon]]</f>
        <v>6</v>
      </c>
      <c r="Q174" s="1" t="str">
        <f>Table3[[#This Row],[Reference]]</f>
        <v>14.32B-33</v>
      </c>
      <c r="R174" t="str">
        <f>Table3[[#This Row],[StartR]]</f>
        <v>MRK 14:32</v>
      </c>
      <c r="S174" t="str">
        <f>Table3[[#This Row],[EndR]]</f>
        <v>MRK 14:33</v>
      </c>
      <c r="T174">
        <f>Table3[[#This Row],[Merged.Start]]</f>
        <v>27944</v>
      </c>
      <c r="U174">
        <f>Table3[[#This Row],[Merged.End]]</f>
        <v>27967</v>
      </c>
    </row>
    <row r="175" spans="1:21" x14ac:dyDescent="0.25">
      <c r="A175">
        <v>174</v>
      </c>
      <c r="B175">
        <v>4</v>
      </c>
      <c r="C175" s="1">
        <v>14.34</v>
      </c>
      <c r="D175" t="s">
        <v>1183</v>
      </c>
      <c r="E175" t="s">
        <v>1183</v>
      </c>
      <c r="F175">
        <v>27968</v>
      </c>
      <c r="G175">
        <v>27981</v>
      </c>
      <c r="H175">
        <v>0</v>
      </c>
      <c r="K175">
        <f>IF(Table3[[#This Row],[NeedsAttention]]=1,Table3[[#This Row],[Start]],Table3[[#This Row],[StartN]])</f>
        <v>27968</v>
      </c>
      <c r="L175">
        <f>IF(Table3[[#This Row],[NeedsAttention]]=1,Table3[[#This Row],[End]],Table3[[#This Row],[EndN]])</f>
        <v>27981</v>
      </c>
      <c r="M175" t="b">
        <f>Table3[[#This Row],[Merged.Start]]=L174+1</f>
        <v>1</v>
      </c>
      <c r="O175">
        <f>Table3[[#This Row],[Section]]</f>
        <v>174</v>
      </c>
      <c r="P175">
        <f>Table3[[#This Row],[Canon]]</f>
        <v>4</v>
      </c>
      <c r="Q175" s="1">
        <f>Table3[[#This Row],[Reference]]</f>
        <v>14.34</v>
      </c>
      <c r="R175" t="str">
        <f>Table3[[#This Row],[StartR]]</f>
        <v>MRK 14:34</v>
      </c>
      <c r="S175" t="str">
        <f>Table3[[#This Row],[EndR]]</f>
        <v>MRK 14:34</v>
      </c>
      <c r="T175">
        <f>Table3[[#This Row],[Merged.Start]]</f>
        <v>27968</v>
      </c>
      <c r="U175">
        <f>Table3[[#This Row],[Merged.End]]</f>
        <v>27981</v>
      </c>
    </row>
    <row r="176" spans="1:21" x14ac:dyDescent="0.25">
      <c r="A176">
        <v>175</v>
      </c>
      <c r="B176">
        <v>1</v>
      </c>
      <c r="C176" s="1" t="s">
        <v>1184</v>
      </c>
      <c r="D176" t="s">
        <v>1185</v>
      </c>
      <c r="E176" t="s">
        <v>1186</v>
      </c>
      <c r="F176">
        <v>27982</v>
      </c>
      <c r="G176">
        <v>28021</v>
      </c>
      <c r="H176">
        <v>1</v>
      </c>
      <c r="I176">
        <v>27982</v>
      </c>
      <c r="J176">
        <v>28013</v>
      </c>
      <c r="K176">
        <f>IF(Table3[[#This Row],[NeedsAttention]]=1,Table3[[#This Row],[Start]],Table3[[#This Row],[StartN]])</f>
        <v>27982</v>
      </c>
      <c r="L176">
        <f>IF(Table3[[#This Row],[NeedsAttention]]=1,Table3[[#This Row],[End]],Table3[[#This Row],[EndN]])</f>
        <v>28013</v>
      </c>
      <c r="M176" t="b">
        <f>Table3[[#This Row],[Merged.Start]]=L175+1</f>
        <v>1</v>
      </c>
      <c r="O176">
        <f>Table3[[#This Row],[Section]]</f>
        <v>175</v>
      </c>
      <c r="P176">
        <f>Table3[[#This Row],[Canon]]</f>
        <v>1</v>
      </c>
      <c r="Q176" s="1" t="str">
        <f>Table3[[#This Row],[Reference]]</f>
        <v>14.35-36B</v>
      </c>
      <c r="R176" t="str">
        <f>Table3[[#This Row],[StartR]]</f>
        <v>MRK 14:35</v>
      </c>
      <c r="S176" t="str">
        <f>Table3[[#This Row],[EndR]]</f>
        <v>MRK 14:36</v>
      </c>
      <c r="T176">
        <f>Table3[[#This Row],[Merged.Start]]</f>
        <v>27982</v>
      </c>
      <c r="U176">
        <f>Table3[[#This Row],[Merged.End]]</f>
        <v>28013</v>
      </c>
    </row>
    <row r="177" spans="1:21" x14ac:dyDescent="0.25">
      <c r="A177">
        <v>176</v>
      </c>
      <c r="B177">
        <v>1</v>
      </c>
      <c r="C177" s="1" t="s">
        <v>1187</v>
      </c>
      <c r="D177" t="s">
        <v>1186</v>
      </c>
      <c r="E177" t="s">
        <v>1186</v>
      </c>
      <c r="F177">
        <v>28000</v>
      </c>
      <c r="G177">
        <v>28021</v>
      </c>
      <c r="H177">
        <v>1</v>
      </c>
      <c r="I177">
        <v>28014</v>
      </c>
      <c r="J177">
        <v>28021</v>
      </c>
      <c r="K177">
        <f>IF(Table3[[#This Row],[NeedsAttention]]=1,Table3[[#This Row],[Start]],Table3[[#This Row],[StartN]])</f>
        <v>28014</v>
      </c>
      <c r="L177">
        <f>IF(Table3[[#This Row],[NeedsAttention]]=1,Table3[[#This Row],[End]],Table3[[#This Row],[EndN]])</f>
        <v>28021</v>
      </c>
      <c r="M177" t="b">
        <f>Table3[[#This Row],[Merged.Start]]=L176+1</f>
        <v>1</v>
      </c>
      <c r="O177">
        <f>Table3[[#This Row],[Section]]</f>
        <v>176</v>
      </c>
      <c r="P177">
        <f>Table3[[#This Row],[Canon]]</f>
        <v>1</v>
      </c>
      <c r="Q177" s="1" t="str">
        <f>Table3[[#This Row],[Reference]]</f>
        <v>14.36C</v>
      </c>
      <c r="R177" t="str">
        <f>Table3[[#This Row],[StartR]]</f>
        <v>MRK 14:36</v>
      </c>
      <c r="S177" t="str">
        <f>Table3[[#This Row],[EndR]]</f>
        <v>MRK 14:36</v>
      </c>
      <c r="T177">
        <f>Table3[[#This Row],[Merged.Start]]</f>
        <v>28014</v>
      </c>
      <c r="U177">
        <f>Table3[[#This Row],[Merged.End]]</f>
        <v>28021</v>
      </c>
    </row>
    <row r="178" spans="1:21" x14ac:dyDescent="0.25">
      <c r="A178">
        <v>177</v>
      </c>
      <c r="B178">
        <v>2</v>
      </c>
      <c r="C178" s="1" t="s">
        <v>1188</v>
      </c>
      <c r="D178" t="s">
        <v>1189</v>
      </c>
      <c r="E178" t="s">
        <v>1190</v>
      </c>
      <c r="F178">
        <v>28022</v>
      </c>
      <c r="G178">
        <v>28054</v>
      </c>
      <c r="H178">
        <v>1</v>
      </c>
      <c r="I178">
        <v>28022</v>
      </c>
      <c r="J178">
        <v>28041</v>
      </c>
      <c r="K178">
        <f>IF(Table3[[#This Row],[NeedsAttention]]=1,Table3[[#This Row],[Start]],Table3[[#This Row],[StartN]])</f>
        <v>28022</v>
      </c>
      <c r="L178">
        <f>IF(Table3[[#This Row],[NeedsAttention]]=1,Table3[[#This Row],[End]],Table3[[#This Row],[EndN]])</f>
        <v>28041</v>
      </c>
      <c r="M178" t="b">
        <f>Table3[[#This Row],[Merged.Start]]=L177+1</f>
        <v>1</v>
      </c>
      <c r="O178">
        <f>Table3[[#This Row],[Section]]</f>
        <v>177</v>
      </c>
      <c r="P178">
        <f>Table3[[#This Row],[Canon]]</f>
        <v>2</v>
      </c>
      <c r="Q178" s="1" t="str">
        <f>Table3[[#This Row],[Reference]]</f>
        <v>14.37-38A</v>
      </c>
      <c r="R178" t="str">
        <f>Table3[[#This Row],[StartR]]</f>
        <v>MRK 14:37</v>
      </c>
      <c r="S178" t="str">
        <f>Table3[[#This Row],[EndR]]</f>
        <v>MRK 14:38</v>
      </c>
      <c r="T178">
        <f>Table3[[#This Row],[Merged.Start]]</f>
        <v>28022</v>
      </c>
      <c r="U178">
        <f>Table3[[#This Row],[Merged.End]]</f>
        <v>28041</v>
      </c>
    </row>
    <row r="179" spans="1:21" x14ac:dyDescent="0.25">
      <c r="A179">
        <v>178</v>
      </c>
      <c r="B179">
        <v>4</v>
      </c>
      <c r="C179" s="1" t="s">
        <v>1191</v>
      </c>
      <c r="D179" t="s">
        <v>1190</v>
      </c>
      <c r="E179" t="s">
        <v>1190</v>
      </c>
      <c r="F179">
        <v>28039</v>
      </c>
      <c r="G179">
        <v>28054</v>
      </c>
      <c r="H179">
        <v>1</v>
      </c>
      <c r="I179">
        <v>28042</v>
      </c>
      <c r="J179">
        <v>28054</v>
      </c>
      <c r="K179">
        <f>IF(Table3[[#This Row],[NeedsAttention]]=1,Table3[[#This Row],[Start]],Table3[[#This Row],[StartN]])</f>
        <v>28042</v>
      </c>
      <c r="L179">
        <f>IF(Table3[[#This Row],[NeedsAttention]]=1,Table3[[#This Row],[End]],Table3[[#This Row],[EndN]])</f>
        <v>28054</v>
      </c>
      <c r="M179" t="b">
        <f>Table3[[#This Row],[Merged.Start]]=L178+1</f>
        <v>1</v>
      </c>
      <c r="O179">
        <f>Table3[[#This Row],[Section]]</f>
        <v>178</v>
      </c>
      <c r="P179">
        <f>Table3[[#This Row],[Canon]]</f>
        <v>4</v>
      </c>
      <c r="Q179" s="1" t="str">
        <f>Table3[[#This Row],[Reference]]</f>
        <v>14.38B</v>
      </c>
      <c r="R179" t="str">
        <f>Table3[[#This Row],[StartR]]</f>
        <v>MRK 14:38</v>
      </c>
      <c r="S179" t="str">
        <f>Table3[[#This Row],[EndR]]</f>
        <v>MRK 14:38</v>
      </c>
      <c r="T179">
        <f>Table3[[#This Row],[Merged.Start]]</f>
        <v>28042</v>
      </c>
      <c r="U179">
        <f>Table3[[#This Row],[Merged.End]]</f>
        <v>28054</v>
      </c>
    </row>
    <row r="180" spans="1:21" x14ac:dyDescent="0.25">
      <c r="A180">
        <v>179</v>
      </c>
      <c r="B180">
        <v>6</v>
      </c>
      <c r="C180" s="1" t="s">
        <v>1192</v>
      </c>
      <c r="D180" t="s">
        <v>1193</v>
      </c>
      <c r="E180" t="s">
        <v>1194</v>
      </c>
      <c r="F180">
        <v>28055</v>
      </c>
      <c r="G180">
        <v>28080</v>
      </c>
      <c r="H180">
        <v>0</v>
      </c>
      <c r="K180">
        <f>IF(Table3[[#This Row],[NeedsAttention]]=1,Table3[[#This Row],[Start]],Table3[[#This Row],[StartN]])</f>
        <v>28055</v>
      </c>
      <c r="L180">
        <f>IF(Table3[[#This Row],[NeedsAttention]]=1,Table3[[#This Row],[End]],Table3[[#This Row],[EndN]])</f>
        <v>28080</v>
      </c>
      <c r="M180" t="b">
        <f>Table3[[#This Row],[Merged.Start]]=L179+1</f>
        <v>1</v>
      </c>
      <c r="O180">
        <f>Table3[[#This Row],[Section]]</f>
        <v>179</v>
      </c>
      <c r="P180">
        <f>Table3[[#This Row],[Canon]]</f>
        <v>6</v>
      </c>
      <c r="Q180" s="1" t="str">
        <f>Table3[[#This Row],[Reference]]</f>
        <v>14.39-40</v>
      </c>
      <c r="R180" t="str">
        <f>Table3[[#This Row],[StartR]]</f>
        <v>MRK 14:39</v>
      </c>
      <c r="S180" t="str">
        <f>Table3[[#This Row],[EndR]]</f>
        <v>MRK 14:40</v>
      </c>
      <c r="T180">
        <f>Table3[[#This Row],[Merged.Start]]</f>
        <v>28055</v>
      </c>
      <c r="U180">
        <f>Table3[[#This Row],[Merged.End]]</f>
        <v>28080</v>
      </c>
    </row>
    <row r="181" spans="1:21" x14ac:dyDescent="0.25">
      <c r="A181">
        <v>180</v>
      </c>
      <c r="B181">
        <v>4</v>
      </c>
      <c r="C181" s="1" t="s">
        <v>1195</v>
      </c>
      <c r="D181" t="s">
        <v>1196</v>
      </c>
      <c r="E181" t="s">
        <v>1197</v>
      </c>
      <c r="F181">
        <v>28081</v>
      </c>
      <c r="G181">
        <v>28114</v>
      </c>
      <c r="H181">
        <v>0</v>
      </c>
      <c r="K181">
        <f>IF(Table3[[#This Row],[NeedsAttention]]=1,Table3[[#This Row],[Start]],Table3[[#This Row],[StartN]])</f>
        <v>28081</v>
      </c>
      <c r="L181">
        <f>IF(Table3[[#This Row],[NeedsAttention]]=1,Table3[[#This Row],[End]],Table3[[#This Row],[EndN]])</f>
        <v>28114</v>
      </c>
      <c r="M181" t="b">
        <f>Table3[[#This Row],[Merged.Start]]=L180+1</f>
        <v>1</v>
      </c>
      <c r="O181">
        <f>Table3[[#This Row],[Section]]</f>
        <v>180</v>
      </c>
      <c r="P181">
        <f>Table3[[#This Row],[Canon]]</f>
        <v>4</v>
      </c>
      <c r="Q181" s="1" t="str">
        <f>Table3[[#This Row],[Reference]]</f>
        <v>14.41-42</v>
      </c>
      <c r="R181" t="str">
        <f>Table3[[#This Row],[StartR]]</f>
        <v>MRK 14:41</v>
      </c>
      <c r="S181" t="str">
        <f>Table3[[#This Row],[EndR]]</f>
        <v>MRK 14:42</v>
      </c>
      <c r="T181">
        <f>Table3[[#This Row],[Merged.Start]]</f>
        <v>28081</v>
      </c>
      <c r="U181">
        <f>Table3[[#This Row],[Merged.End]]</f>
        <v>28114</v>
      </c>
    </row>
    <row r="182" spans="1:21" x14ac:dyDescent="0.25">
      <c r="A182">
        <v>181</v>
      </c>
      <c r="B182">
        <v>1</v>
      </c>
      <c r="C182" s="1">
        <v>14.43</v>
      </c>
      <c r="D182" t="s">
        <v>1198</v>
      </c>
      <c r="E182" t="s">
        <v>1198</v>
      </c>
      <c r="F182">
        <v>28115</v>
      </c>
      <c r="G182">
        <v>28141</v>
      </c>
      <c r="H182">
        <v>0</v>
      </c>
      <c r="K182">
        <f>IF(Table3[[#This Row],[NeedsAttention]]=1,Table3[[#This Row],[Start]],Table3[[#This Row],[StartN]])</f>
        <v>28115</v>
      </c>
      <c r="L182">
        <f>IF(Table3[[#This Row],[NeedsAttention]]=1,Table3[[#This Row],[End]],Table3[[#This Row],[EndN]])</f>
        <v>28141</v>
      </c>
      <c r="M182" t="b">
        <f>Table3[[#This Row],[Merged.Start]]=L181+1</f>
        <v>1</v>
      </c>
      <c r="O182">
        <f>Table3[[#This Row],[Section]]</f>
        <v>181</v>
      </c>
      <c r="P182">
        <f>Table3[[#This Row],[Canon]]</f>
        <v>1</v>
      </c>
      <c r="Q182" s="1">
        <f>Table3[[#This Row],[Reference]]</f>
        <v>14.43</v>
      </c>
      <c r="R182" t="str">
        <f>Table3[[#This Row],[StartR]]</f>
        <v>MRK 14:43</v>
      </c>
      <c r="S182" t="str">
        <f>Table3[[#This Row],[EndR]]</f>
        <v>MRK 14:43</v>
      </c>
      <c r="T182">
        <f>Table3[[#This Row],[Merged.Start]]</f>
        <v>28115</v>
      </c>
      <c r="U182">
        <f>Table3[[#This Row],[Merged.End]]</f>
        <v>28141</v>
      </c>
    </row>
    <row r="183" spans="1:21" x14ac:dyDescent="0.25">
      <c r="A183">
        <v>182</v>
      </c>
      <c r="B183">
        <v>2</v>
      </c>
      <c r="C183" s="1" t="s">
        <v>1199</v>
      </c>
      <c r="D183" t="s">
        <v>1200</v>
      </c>
      <c r="E183" t="s">
        <v>1201</v>
      </c>
      <c r="F183">
        <v>28142</v>
      </c>
      <c r="G183">
        <v>28178</v>
      </c>
      <c r="H183">
        <v>0</v>
      </c>
      <c r="K183">
        <f>IF(Table3[[#This Row],[NeedsAttention]]=1,Table3[[#This Row],[Start]],Table3[[#This Row],[StartN]])</f>
        <v>28142</v>
      </c>
      <c r="L183">
        <f>IF(Table3[[#This Row],[NeedsAttention]]=1,Table3[[#This Row],[End]],Table3[[#This Row],[EndN]])</f>
        <v>28178</v>
      </c>
      <c r="M183" t="b">
        <f>Table3[[#This Row],[Merged.Start]]=L182+1</f>
        <v>1</v>
      </c>
      <c r="O183">
        <f>Table3[[#This Row],[Section]]</f>
        <v>182</v>
      </c>
      <c r="P183">
        <f>Table3[[#This Row],[Canon]]</f>
        <v>2</v>
      </c>
      <c r="Q183" s="1" t="str">
        <f>Table3[[#This Row],[Reference]]</f>
        <v>14.44-46</v>
      </c>
      <c r="R183" t="str">
        <f>Table3[[#This Row],[StartR]]</f>
        <v>MRK 14:44</v>
      </c>
      <c r="S183" t="str">
        <f>Table3[[#This Row],[EndR]]</f>
        <v>MRK 14:46</v>
      </c>
      <c r="T183">
        <f>Table3[[#This Row],[Merged.Start]]</f>
        <v>28142</v>
      </c>
      <c r="U183">
        <f>Table3[[#This Row],[Merged.End]]</f>
        <v>28178</v>
      </c>
    </row>
    <row r="184" spans="1:21" x14ac:dyDescent="0.25">
      <c r="A184">
        <v>183</v>
      </c>
      <c r="B184">
        <v>1</v>
      </c>
      <c r="C184" s="1">
        <v>14.47</v>
      </c>
      <c r="D184" t="s">
        <v>1202</v>
      </c>
      <c r="E184" t="s">
        <v>1202</v>
      </c>
      <c r="F184">
        <v>28179</v>
      </c>
      <c r="G184">
        <v>28196</v>
      </c>
      <c r="H184">
        <v>0</v>
      </c>
      <c r="K184">
        <f>IF(Table3[[#This Row],[NeedsAttention]]=1,Table3[[#This Row],[Start]],Table3[[#This Row],[StartN]])</f>
        <v>28179</v>
      </c>
      <c r="L184">
        <f>IF(Table3[[#This Row],[NeedsAttention]]=1,Table3[[#This Row],[End]],Table3[[#This Row],[EndN]])</f>
        <v>28196</v>
      </c>
      <c r="M184" t="b">
        <f>Table3[[#This Row],[Merged.Start]]=L183+1</f>
        <v>1</v>
      </c>
      <c r="O184">
        <f>Table3[[#This Row],[Section]]</f>
        <v>183</v>
      </c>
      <c r="P184">
        <f>Table3[[#This Row],[Canon]]</f>
        <v>1</v>
      </c>
      <c r="Q184" s="1">
        <f>Table3[[#This Row],[Reference]]</f>
        <v>14.47</v>
      </c>
      <c r="R184" t="str">
        <f>Table3[[#This Row],[StartR]]</f>
        <v>MRK 14:47</v>
      </c>
      <c r="S184" t="str">
        <f>Table3[[#This Row],[EndR]]</f>
        <v>MRK 14:47</v>
      </c>
      <c r="T184">
        <f>Table3[[#This Row],[Merged.Start]]</f>
        <v>28179</v>
      </c>
      <c r="U184">
        <f>Table3[[#This Row],[Merged.End]]</f>
        <v>28196</v>
      </c>
    </row>
    <row r="185" spans="1:21" x14ac:dyDescent="0.25">
      <c r="A185">
        <v>184</v>
      </c>
      <c r="B185">
        <v>1</v>
      </c>
      <c r="C185" s="1" t="s">
        <v>1203</v>
      </c>
      <c r="D185" t="s">
        <v>1204</v>
      </c>
      <c r="E185" t="s">
        <v>1205</v>
      </c>
      <c r="F185">
        <v>28197</v>
      </c>
      <c r="G185">
        <v>28230</v>
      </c>
      <c r="H185">
        <v>1</v>
      </c>
      <c r="I185">
        <v>28197</v>
      </c>
      <c r="J185">
        <v>28225</v>
      </c>
      <c r="K185">
        <f>IF(Table3[[#This Row],[NeedsAttention]]=1,Table3[[#This Row],[Start]],Table3[[#This Row],[StartN]])</f>
        <v>28197</v>
      </c>
      <c r="L185">
        <f>IF(Table3[[#This Row],[NeedsAttention]]=1,Table3[[#This Row],[End]],Table3[[#This Row],[EndN]])</f>
        <v>28225</v>
      </c>
      <c r="M185" t="b">
        <f>Table3[[#This Row],[Merged.Start]]=L184+1</f>
        <v>1</v>
      </c>
      <c r="O185">
        <f>Table3[[#This Row],[Section]]</f>
        <v>184</v>
      </c>
      <c r="P185">
        <f>Table3[[#This Row],[Canon]]</f>
        <v>1</v>
      </c>
      <c r="Q185" s="1" t="str">
        <f>Table3[[#This Row],[Reference]]</f>
        <v>14.48-49A</v>
      </c>
      <c r="R185" t="str">
        <f>Table3[[#This Row],[StartR]]</f>
        <v>MRK 14:48</v>
      </c>
      <c r="S185" t="str">
        <f>Table3[[#This Row],[EndR]]</f>
        <v>MRK 14:49</v>
      </c>
      <c r="T185">
        <f>Table3[[#This Row],[Merged.Start]]</f>
        <v>28197</v>
      </c>
      <c r="U185">
        <f>Table3[[#This Row],[Merged.End]]</f>
        <v>28225</v>
      </c>
    </row>
    <row r="186" spans="1:21" x14ac:dyDescent="0.25">
      <c r="A186">
        <v>185</v>
      </c>
      <c r="B186">
        <v>6</v>
      </c>
      <c r="C186" s="1" t="s">
        <v>1206</v>
      </c>
      <c r="D186" t="s">
        <v>1205</v>
      </c>
      <c r="E186" t="s">
        <v>1207</v>
      </c>
      <c r="F186">
        <v>28213</v>
      </c>
      <c r="G186">
        <v>28235</v>
      </c>
      <c r="H186">
        <v>1</v>
      </c>
      <c r="I186">
        <v>28226</v>
      </c>
      <c r="J186">
        <v>28235</v>
      </c>
      <c r="K186">
        <f>IF(Table3[[#This Row],[NeedsAttention]]=1,Table3[[#This Row],[Start]],Table3[[#This Row],[StartN]])</f>
        <v>28226</v>
      </c>
      <c r="L186">
        <f>IF(Table3[[#This Row],[NeedsAttention]]=1,Table3[[#This Row],[End]],Table3[[#This Row],[EndN]])</f>
        <v>28235</v>
      </c>
      <c r="M186" t="b">
        <f>Table3[[#This Row],[Merged.Start]]=L185+1</f>
        <v>1</v>
      </c>
      <c r="O186">
        <f>Table3[[#This Row],[Section]]</f>
        <v>185</v>
      </c>
      <c r="P186">
        <f>Table3[[#This Row],[Canon]]</f>
        <v>6</v>
      </c>
      <c r="Q186" s="1" t="str">
        <f>Table3[[#This Row],[Reference]]</f>
        <v>14.49B-50</v>
      </c>
      <c r="R186" t="str">
        <f>Table3[[#This Row],[StartR]]</f>
        <v>MRK 14:49</v>
      </c>
      <c r="S186" t="str">
        <f>Table3[[#This Row],[EndR]]</f>
        <v>MRK 14:50</v>
      </c>
      <c r="T186">
        <f>Table3[[#This Row],[Merged.Start]]</f>
        <v>28226</v>
      </c>
      <c r="U186">
        <f>Table3[[#This Row],[Merged.End]]</f>
        <v>28235</v>
      </c>
    </row>
    <row r="187" spans="1:21" x14ac:dyDescent="0.25">
      <c r="A187">
        <v>186</v>
      </c>
      <c r="B187">
        <v>10</v>
      </c>
      <c r="C187" s="1" t="s">
        <v>1208</v>
      </c>
      <c r="D187" t="s">
        <v>1209</v>
      </c>
      <c r="E187" t="s">
        <v>1210</v>
      </c>
      <c r="F187">
        <v>28236</v>
      </c>
      <c r="G187">
        <v>28254</v>
      </c>
      <c r="H187">
        <v>0</v>
      </c>
      <c r="K187">
        <f>IF(Table3[[#This Row],[NeedsAttention]]=1,Table3[[#This Row],[Start]],Table3[[#This Row],[StartN]])</f>
        <v>28236</v>
      </c>
      <c r="L187">
        <f>IF(Table3[[#This Row],[NeedsAttention]]=1,Table3[[#This Row],[End]],Table3[[#This Row],[EndN]])</f>
        <v>28254</v>
      </c>
      <c r="M187" t="b">
        <f>Table3[[#This Row],[Merged.Start]]=L186+1</f>
        <v>1</v>
      </c>
      <c r="O187">
        <f>Table3[[#This Row],[Section]]</f>
        <v>186</v>
      </c>
      <c r="P187">
        <f>Table3[[#This Row],[Canon]]</f>
        <v>10</v>
      </c>
      <c r="Q187" s="1" t="str">
        <f>Table3[[#This Row],[Reference]]</f>
        <v>14.51-52</v>
      </c>
      <c r="R187" t="str">
        <f>Table3[[#This Row],[StartR]]</f>
        <v>MRK 14:51</v>
      </c>
      <c r="S187" t="str">
        <f>Table3[[#This Row],[EndR]]</f>
        <v>MRK 14:52</v>
      </c>
      <c r="T187">
        <f>Table3[[#This Row],[Merged.Start]]</f>
        <v>28236</v>
      </c>
      <c r="U187">
        <f>Table3[[#This Row],[Merged.End]]</f>
        <v>28254</v>
      </c>
    </row>
    <row r="188" spans="1:21" x14ac:dyDescent="0.25">
      <c r="A188">
        <v>187</v>
      </c>
      <c r="B188">
        <v>1</v>
      </c>
      <c r="C188" s="1">
        <v>14.53</v>
      </c>
      <c r="D188" t="s">
        <v>1211</v>
      </c>
      <c r="E188" t="s">
        <v>1211</v>
      </c>
      <c r="F188">
        <v>28255</v>
      </c>
      <c r="G188">
        <v>28272</v>
      </c>
      <c r="H188">
        <v>0</v>
      </c>
      <c r="K188">
        <f>IF(Table3[[#This Row],[NeedsAttention]]=1,Table3[[#This Row],[Start]],Table3[[#This Row],[StartN]])</f>
        <v>28255</v>
      </c>
      <c r="L188">
        <f>IF(Table3[[#This Row],[NeedsAttention]]=1,Table3[[#This Row],[End]],Table3[[#This Row],[EndN]])</f>
        <v>28272</v>
      </c>
      <c r="M188" t="b">
        <f>Table3[[#This Row],[Merged.Start]]=L187+1</f>
        <v>1</v>
      </c>
      <c r="O188">
        <f>Table3[[#This Row],[Section]]</f>
        <v>187</v>
      </c>
      <c r="P188">
        <f>Table3[[#This Row],[Canon]]</f>
        <v>1</v>
      </c>
      <c r="Q188" s="1">
        <f>Table3[[#This Row],[Reference]]</f>
        <v>14.53</v>
      </c>
      <c r="R188" t="str">
        <f>Table3[[#This Row],[StartR]]</f>
        <v>MRK 14:53</v>
      </c>
      <c r="S188" t="str">
        <f>Table3[[#This Row],[EndR]]</f>
        <v>MRK 14:53</v>
      </c>
      <c r="T188">
        <f>Table3[[#This Row],[Merged.Start]]</f>
        <v>28255</v>
      </c>
      <c r="U188">
        <f>Table3[[#This Row],[Merged.End]]</f>
        <v>28272</v>
      </c>
    </row>
    <row r="189" spans="1:21" x14ac:dyDescent="0.25">
      <c r="A189">
        <v>188</v>
      </c>
      <c r="B189">
        <v>4</v>
      </c>
      <c r="C189" s="1">
        <v>14.54</v>
      </c>
      <c r="D189" t="s">
        <v>1212</v>
      </c>
      <c r="E189" t="s">
        <v>1212</v>
      </c>
      <c r="F189">
        <v>28273</v>
      </c>
      <c r="G189">
        <v>28297</v>
      </c>
      <c r="H189">
        <v>0</v>
      </c>
      <c r="K189">
        <f>IF(Table3[[#This Row],[NeedsAttention]]=1,Table3[[#This Row],[Start]],Table3[[#This Row],[StartN]])</f>
        <v>28273</v>
      </c>
      <c r="L189">
        <f>IF(Table3[[#This Row],[NeedsAttention]]=1,Table3[[#This Row],[End]],Table3[[#This Row],[EndN]])</f>
        <v>28297</v>
      </c>
      <c r="M189" t="b">
        <f>Table3[[#This Row],[Merged.Start]]=L188+1</f>
        <v>1</v>
      </c>
      <c r="O189">
        <f>Table3[[#This Row],[Section]]</f>
        <v>188</v>
      </c>
      <c r="P189">
        <f>Table3[[#This Row],[Canon]]</f>
        <v>4</v>
      </c>
      <c r="Q189" s="1">
        <f>Table3[[#This Row],[Reference]]</f>
        <v>14.54</v>
      </c>
      <c r="R189" t="str">
        <f>Table3[[#This Row],[StartR]]</f>
        <v>MRK 14:54</v>
      </c>
      <c r="S189" t="str">
        <f>Table3[[#This Row],[EndR]]</f>
        <v>MRK 14:54</v>
      </c>
      <c r="T189">
        <f>Table3[[#This Row],[Merged.Start]]</f>
        <v>28273</v>
      </c>
      <c r="U189">
        <f>Table3[[#This Row],[Merged.End]]</f>
        <v>28297</v>
      </c>
    </row>
    <row r="190" spans="1:21" x14ac:dyDescent="0.25">
      <c r="A190">
        <v>189</v>
      </c>
      <c r="B190">
        <v>2</v>
      </c>
      <c r="C190" s="1" t="s">
        <v>1213</v>
      </c>
      <c r="D190" t="s">
        <v>1214</v>
      </c>
      <c r="E190" t="s">
        <v>1215</v>
      </c>
      <c r="F190">
        <v>28298</v>
      </c>
      <c r="G190">
        <v>28327</v>
      </c>
      <c r="H190">
        <v>0</v>
      </c>
      <c r="K190">
        <f>IF(Table3[[#This Row],[NeedsAttention]]=1,Table3[[#This Row],[Start]],Table3[[#This Row],[StartN]])</f>
        <v>28298</v>
      </c>
      <c r="L190">
        <f>IF(Table3[[#This Row],[NeedsAttention]]=1,Table3[[#This Row],[End]],Table3[[#This Row],[EndN]])</f>
        <v>28327</v>
      </c>
      <c r="M190" t="b">
        <f>Table3[[#This Row],[Merged.Start]]=L189+1</f>
        <v>1</v>
      </c>
      <c r="O190">
        <f>Table3[[#This Row],[Section]]</f>
        <v>189</v>
      </c>
      <c r="P190">
        <f>Table3[[#This Row],[Canon]]</f>
        <v>2</v>
      </c>
      <c r="Q190" s="1" t="str">
        <f>Table3[[#This Row],[Reference]]</f>
        <v>14.55-56</v>
      </c>
      <c r="R190" t="str">
        <f>Table3[[#This Row],[StartR]]</f>
        <v>MRK 14:55</v>
      </c>
      <c r="S190" t="str">
        <f>Table3[[#This Row],[EndR]]</f>
        <v>MRK 14:56</v>
      </c>
      <c r="T190">
        <f>Table3[[#This Row],[Merged.Start]]</f>
        <v>28298</v>
      </c>
      <c r="U190">
        <f>Table3[[#This Row],[Merged.End]]</f>
        <v>28327</v>
      </c>
    </row>
    <row r="191" spans="1:21" x14ac:dyDescent="0.25">
      <c r="A191">
        <v>190</v>
      </c>
      <c r="B191">
        <v>6</v>
      </c>
      <c r="C191" s="1" t="s">
        <v>1216</v>
      </c>
      <c r="D191" t="s">
        <v>1217</v>
      </c>
      <c r="E191" t="s">
        <v>1218</v>
      </c>
      <c r="F191">
        <v>28328</v>
      </c>
      <c r="G191">
        <v>28402</v>
      </c>
      <c r="H191">
        <v>0</v>
      </c>
      <c r="K191">
        <f>IF(Table3[[#This Row],[NeedsAttention]]=1,Table3[[#This Row],[Start]],Table3[[#This Row],[StartN]])</f>
        <v>28328</v>
      </c>
      <c r="L191">
        <f>IF(Table3[[#This Row],[NeedsAttention]]=1,Table3[[#This Row],[End]],Table3[[#This Row],[EndN]])</f>
        <v>28402</v>
      </c>
      <c r="M191" t="b">
        <f>Table3[[#This Row],[Merged.Start]]=L190+1</f>
        <v>1</v>
      </c>
      <c r="O191">
        <f>Table3[[#This Row],[Section]]</f>
        <v>190</v>
      </c>
      <c r="P191">
        <f>Table3[[#This Row],[Canon]]</f>
        <v>6</v>
      </c>
      <c r="Q191" s="1" t="str">
        <f>Table3[[#This Row],[Reference]]</f>
        <v>14.57-61</v>
      </c>
      <c r="R191" t="str">
        <f>Table3[[#This Row],[StartR]]</f>
        <v>MRK 14:57</v>
      </c>
      <c r="S191" t="str">
        <f>Table3[[#This Row],[EndR]]</f>
        <v>MRK 14:61</v>
      </c>
      <c r="T191">
        <f>Table3[[#This Row],[Merged.Start]]</f>
        <v>28328</v>
      </c>
      <c r="U191">
        <f>Table3[[#This Row],[Merged.End]]</f>
        <v>28402</v>
      </c>
    </row>
    <row r="192" spans="1:21" x14ac:dyDescent="0.25">
      <c r="A192">
        <v>191</v>
      </c>
      <c r="B192">
        <v>1</v>
      </c>
      <c r="C192" s="1">
        <v>14.62</v>
      </c>
      <c r="D192" t="s">
        <v>1219</v>
      </c>
      <c r="E192" t="s">
        <v>1219</v>
      </c>
      <c r="F192">
        <v>28403</v>
      </c>
      <c r="G192">
        <v>28426</v>
      </c>
      <c r="H192">
        <v>0</v>
      </c>
      <c r="K192">
        <f>IF(Table3[[#This Row],[NeedsAttention]]=1,Table3[[#This Row],[Start]],Table3[[#This Row],[StartN]])</f>
        <v>28403</v>
      </c>
      <c r="L192">
        <f>IF(Table3[[#This Row],[NeedsAttention]]=1,Table3[[#This Row],[End]],Table3[[#This Row],[EndN]])</f>
        <v>28426</v>
      </c>
      <c r="M192" t="b">
        <f>Table3[[#This Row],[Merged.Start]]=L191+1</f>
        <v>1</v>
      </c>
      <c r="O192">
        <f>Table3[[#This Row],[Section]]</f>
        <v>191</v>
      </c>
      <c r="P192">
        <f>Table3[[#This Row],[Canon]]</f>
        <v>1</v>
      </c>
      <c r="Q192" s="1">
        <f>Table3[[#This Row],[Reference]]</f>
        <v>14.62</v>
      </c>
      <c r="R192" t="str">
        <f>Table3[[#This Row],[StartR]]</f>
        <v>MRK 14:62</v>
      </c>
      <c r="S192" t="str">
        <f>Table3[[#This Row],[EndR]]</f>
        <v>MRK 14:62</v>
      </c>
      <c r="T192">
        <f>Table3[[#This Row],[Merged.Start]]</f>
        <v>28403</v>
      </c>
      <c r="U192">
        <f>Table3[[#This Row],[Merged.End]]</f>
        <v>28426</v>
      </c>
    </row>
    <row r="193" spans="1:21" x14ac:dyDescent="0.25">
      <c r="A193">
        <v>192</v>
      </c>
      <c r="B193">
        <v>6</v>
      </c>
      <c r="C193" s="1" t="s">
        <v>1220</v>
      </c>
      <c r="D193" t="s">
        <v>1221</v>
      </c>
      <c r="E193" t="s">
        <v>1221</v>
      </c>
      <c r="F193">
        <v>28427</v>
      </c>
      <c r="G193">
        <v>28439</v>
      </c>
      <c r="H193">
        <v>1</v>
      </c>
      <c r="I193">
        <v>28427</v>
      </c>
      <c r="J193">
        <v>28434</v>
      </c>
      <c r="K193">
        <f>IF(Table3[[#This Row],[NeedsAttention]]=1,Table3[[#This Row],[Start]],Table3[[#This Row],[StartN]])</f>
        <v>28427</v>
      </c>
      <c r="L193">
        <f>IF(Table3[[#This Row],[NeedsAttention]]=1,Table3[[#This Row],[End]],Table3[[#This Row],[EndN]])</f>
        <v>28434</v>
      </c>
      <c r="M193" t="b">
        <f>Table3[[#This Row],[Merged.Start]]=L192+1</f>
        <v>1</v>
      </c>
      <c r="O193">
        <f>Table3[[#This Row],[Section]]</f>
        <v>192</v>
      </c>
      <c r="P193">
        <f>Table3[[#This Row],[Canon]]</f>
        <v>6</v>
      </c>
      <c r="Q193" s="1" t="str">
        <f>Table3[[#This Row],[Reference]]</f>
        <v>14.63A</v>
      </c>
      <c r="R193" t="str">
        <f>Table3[[#This Row],[StartR]]</f>
        <v>MRK 14:63</v>
      </c>
      <c r="S193" t="str">
        <f>Table3[[#This Row],[EndR]]</f>
        <v>MRK 14:63</v>
      </c>
      <c r="T193">
        <f>Table3[[#This Row],[Merged.Start]]</f>
        <v>28427</v>
      </c>
      <c r="U193">
        <f>Table3[[#This Row],[Merged.End]]</f>
        <v>28434</v>
      </c>
    </row>
    <row r="194" spans="1:21" x14ac:dyDescent="0.25">
      <c r="A194">
        <v>193</v>
      </c>
      <c r="B194">
        <v>2</v>
      </c>
      <c r="C194" s="1" t="s">
        <v>1222</v>
      </c>
      <c r="D194" t="s">
        <v>1221</v>
      </c>
      <c r="E194" t="s">
        <v>1223</v>
      </c>
      <c r="F194">
        <v>28427</v>
      </c>
      <c r="G194">
        <v>28453</v>
      </c>
      <c r="H194">
        <v>1</v>
      </c>
      <c r="I194">
        <v>28435</v>
      </c>
      <c r="J194">
        <v>28453</v>
      </c>
      <c r="K194">
        <f>IF(Table3[[#This Row],[NeedsAttention]]=1,Table3[[#This Row],[Start]],Table3[[#This Row],[StartN]])</f>
        <v>28435</v>
      </c>
      <c r="L194">
        <f>IF(Table3[[#This Row],[NeedsAttention]]=1,Table3[[#This Row],[End]],Table3[[#This Row],[EndN]])</f>
        <v>28453</v>
      </c>
      <c r="M194" t="b">
        <f>Table3[[#This Row],[Merged.Start]]=L193+1</f>
        <v>1</v>
      </c>
      <c r="O194">
        <f>Table3[[#This Row],[Section]]</f>
        <v>193</v>
      </c>
      <c r="P194">
        <f>Table3[[#This Row],[Canon]]</f>
        <v>2</v>
      </c>
      <c r="Q194" s="1" t="str">
        <f>Table3[[#This Row],[Reference]]</f>
        <v>14.63B-64</v>
      </c>
      <c r="R194" t="str">
        <f>Table3[[#This Row],[StartR]]</f>
        <v>MRK 14:63</v>
      </c>
      <c r="S194" t="str">
        <f>Table3[[#This Row],[EndR]]</f>
        <v>MRK 14:64</v>
      </c>
      <c r="T194">
        <f>Table3[[#This Row],[Merged.Start]]</f>
        <v>28435</v>
      </c>
      <c r="U194">
        <f>Table3[[#This Row],[Merged.End]]</f>
        <v>28453</v>
      </c>
    </row>
    <row r="195" spans="1:21" x14ac:dyDescent="0.25">
      <c r="A195">
        <v>194</v>
      </c>
      <c r="B195">
        <v>1</v>
      </c>
      <c r="C195" s="1">
        <v>14.65</v>
      </c>
      <c r="D195" t="s">
        <v>1224</v>
      </c>
      <c r="E195" t="s">
        <v>1224</v>
      </c>
      <c r="F195">
        <v>28454</v>
      </c>
      <c r="G195">
        <v>28476</v>
      </c>
      <c r="H195">
        <v>0</v>
      </c>
      <c r="K195">
        <f>IF(Table3[[#This Row],[NeedsAttention]]=1,Table3[[#This Row],[Start]],Table3[[#This Row],[StartN]])</f>
        <v>28454</v>
      </c>
      <c r="L195">
        <f>IF(Table3[[#This Row],[NeedsAttention]]=1,Table3[[#This Row],[End]],Table3[[#This Row],[EndN]])</f>
        <v>28476</v>
      </c>
      <c r="M195" t="b">
        <f>Table3[[#This Row],[Merged.Start]]=L194+1</f>
        <v>1</v>
      </c>
      <c r="O195">
        <f>Table3[[#This Row],[Section]]</f>
        <v>194</v>
      </c>
      <c r="P195">
        <f>Table3[[#This Row],[Canon]]</f>
        <v>1</v>
      </c>
      <c r="Q195" s="1">
        <f>Table3[[#This Row],[Reference]]</f>
        <v>14.65</v>
      </c>
      <c r="R195" t="str">
        <f>Table3[[#This Row],[StartR]]</f>
        <v>MRK 14:65</v>
      </c>
      <c r="S195" t="str">
        <f>Table3[[#This Row],[EndR]]</f>
        <v>MRK 14:65</v>
      </c>
      <c r="T195">
        <f>Table3[[#This Row],[Merged.Start]]</f>
        <v>28454</v>
      </c>
      <c r="U195">
        <f>Table3[[#This Row],[Merged.End]]</f>
        <v>28476</v>
      </c>
    </row>
    <row r="196" spans="1:21" x14ac:dyDescent="0.25">
      <c r="A196">
        <v>195</v>
      </c>
      <c r="B196">
        <v>1</v>
      </c>
      <c r="C196" s="1" t="s">
        <v>1225</v>
      </c>
      <c r="D196" t="s">
        <v>1226</v>
      </c>
      <c r="E196" t="s">
        <v>1227</v>
      </c>
      <c r="F196">
        <v>28477</v>
      </c>
      <c r="G196">
        <v>28526</v>
      </c>
      <c r="H196">
        <v>1</v>
      </c>
      <c r="I196">
        <v>28477</v>
      </c>
      <c r="J196">
        <v>28517</v>
      </c>
      <c r="K196">
        <f>IF(Table3[[#This Row],[NeedsAttention]]=1,Table3[[#This Row],[Start]],Table3[[#This Row],[StartN]])</f>
        <v>28477</v>
      </c>
      <c r="L196">
        <f>IF(Table3[[#This Row],[NeedsAttention]]=1,Table3[[#This Row],[End]],Table3[[#This Row],[EndN]])</f>
        <v>28517</v>
      </c>
      <c r="M196" t="b">
        <f>Table3[[#This Row],[Merged.Start]]=L195+1</f>
        <v>1</v>
      </c>
      <c r="O196">
        <f>Table3[[#This Row],[Section]]</f>
        <v>195</v>
      </c>
      <c r="P196">
        <f>Table3[[#This Row],[Canon]]</f>
        <v>1</v>
      </c>
      <c r="Q196" s="1" t="str">
        <f>Table3[[#This Row],[Reference]]</f>
        <v>14.66-68A</v>
      </c>
      <c r="R196" t="str">
        <f>Table3[[#This Row],[StartR]]</f>
        <v>MRK 14:66</v>
      </c>
      <c r="S196" t="str">
        <f>Table3[[#This Row],[EndR]]</f>
        <v>MRK 14:68</v>
      </c>
      <c r="T196">
        <f>Table3[[#This Row],[Merged.Start]]</f>
        <v>28477</v>
      </c>
      <c r="U196">
        <f>Table3[[#This Row],[Merged.End]]</f>
        <v>28517</v>
      </c>
    </row>
    <row r="197" spans="1:21" x14ac:dyDescent="0.25">
      <c r="A197">
        <v>196</v>
      </c>
      <c r="B197">
        <v>1</v>
      </c>
      <c r="C197" s="1" t="s">
        <v>1228</v>
      </c>
      <c r="D197" t="s">
        <v>1227</v>
      </c>
      <c r="E197" t="s">
        <v>1229</v>
      </c>
      <c r="F197">
        <v>28507</v>
      </c>
      <c r="G197">
        <v>28609</v>
      </c>
      <c r="H197">
        <v>1</v>
      </c>
      <c r="I197">
        <v>28518</v>
      </c>
      <c r="J197">
        <v>28587</v>
      </c>
      <c r="K197">
        <f>IF(Table3[[#This Row],[NeedsAttention]]=1,Table3[[#This Row],[Start]],Table3[[#This Row],[StartN]])</f>
        <v>28518</v>
      </c>
      <c r="L197">
        <f>IF(Table3[[#This Row],[NeedsAttention]]=1,Table3[[#This Row],[End]],Table3[[#This Row],[EndN]])</f>
        <v>28587</v>
      </c>
      <c r="M197" t="b">
        <f>Table3[[#This Row],[Merged.Start]]=L196+1</f>
        <v>1</v>
      </c>
      <c r="O197">
        <f>Table3[[#This Row],[Section]]</f>
        <v>196</v>
      </c>
      <c r="P197">
        <f>Table3[[#This Row],[Canon]]</f>
        <v>1</v>
      </c>
      <c r="Q197" s="1" t="str">
        <f>Table3[[#This Row],[Reference]]</f>
        <v>14.68B-72A</v>
      </c>
      <c r="R197" t="str">
        <f>Table3[[#This Row],[StartR]]</f>
        <v>MRK 14:68</v>
      </c>
      <c r="S197" t="str">
        <f>Table3[[#This Row],[EndR]]</f>
        <v>MRK 14:72</v>
      </c>
      <c r="T197">
        <f>Table3[[#This Row],[Merged.Start]]</f>
        <v>28518</v>
      </c>
      <c r="U197">
        <f>Table3[[#This Row],[Merged.End]]</f>
        <v>28587</v>
      </c>
    </row>
    <row r="198" spans="1:21" x14ac:dyDescent="0.25">
      <c r="A198">
        <v>197</v>
      </c>
      <c r="B198">
        <v>2</v>
      </c>
      <c r="C198" s="1" t="s">
        <v>1230</v>
      </c>
      <c r="D198" t="s">
        <v>1229</v>
      </c>
      <c r="E198" t="s">
        <v>1229</v>
      </c>
      <c r="F198">
        <v>28582</v>
      </c>
      <c r="G198">
        <v>28609</v>
      </c>
      <c r="H198">
        <v>1</v>
      </c>
      <c r="I198">
        <v>28588</v>
      </c>
      <c r="J198">
        <v>28609</v>
      </c>
      <c r="K198">
        <f>IF(Table3[[#This Row],[NeedsAttention]]=1,Table3[[#This Row],[Start]],Table3[[#This Row],[StartN]])</f>
        <v>28588</v>
      </c>
      <c r="L198">
        <f>IF(Table3[[#This Row],[NeedsAttention]]=1,Table3[[#This Row],[End]],Table3[[#This Row],[EndN]])</f>
        <v>28609</v>
      </c>
      <c r="M198" t="b">
        <f>Table3[[#This Row],[Merged.Start]]=L197+1</f>
        <v>1</v>
      </c>
      <c r="O198">
        <f>Table3[[#This Row],[Section]]</f>
        <v>197</v>
      </c>
      <c r="P198">
        <f>Table3[[#This Row],[Canon]]</f>
        <v>2</v>
      </c>
      <c r="Q198" s="1" t="str">
        <f>Table3[[#This Row],[Reference]]</f>
        <v>14.72BC</v>
      </c>
      <c r="R198" t="str">
        <f>Table3[[#This Row],[StartR]]</f>
        <v>MRK 14:72</v>
      </c>
      <c r="S198" t="str">
        <f>Table3[[#This Row],[EndR]]</f>
        <v>MRK 14:72</v>
      </c>
      <c r="T198">
        <f>Table3[[#This Row],[Merged.Start]]</f>
        <v>28588</v>
      </c>
      <c r="U198">
        <f>Table3[[#This Row],[Merged.End]]</f>
        <v>28609</v>
      </c>
    </row>
    <row r="199" spans="1:21" x14ac:dyDescent="0.25">
      <c r="A199">
        <v>198</v>
      </c>
      <c r="B199">
        <v>2</v>
      </c>
      <c r="C199" s="1" t="s">
        <v>1231</v>
      </c>
      <c r="D199" t="s">
        <v>1232</v>
      </c>
      <c r="E199" t="s">
        <v>1232</v>
      </c>
      <c r="F199">
        <v>28610</v>
      </c>
      <c r="G199">
        <v>28632</v>
      </c>
      <c r="H199">
        <v>1</v>
      </c>
      <c r="I199">
        <v>28610</v>
      </c>
      <c r="J199">
        <v>28625</v>
      </c>
      <c r="K199">
        <f>IF(Table3[[#This Row],[NeedsAttention]]=1,Table3[[#This Row],[Start]],Table3[[#This Row],[StartN]])</f>
        <v>28610</v>
      </c>
      <c r="L199">
        <f>IF(Table3[[#This Row],[NeedsAttention]]=1,Table3[[#This Row],[End]],Table3[[#This Row],[EndN]])</f>
        <v>28625</v>
      </c>
      <c r="M199" t="b">
        <f>Table3[[#This Row],[Merged.Start]]=L198+1</f>
        <v>1</v>
      </c>
      <c r="O199">
        <f>Table3[[#This Row],[Section]]</f>
        <v>198</v>
      </c>
      <c r="P199">
        <f>Table3[[#This Row],[Canon]]</f>
        <v>2</v>
      </c>
      <c r="Q199" s="1" t="str">
        <f>Table3[[#This Row],[Reference]]</f>
        <v>15.1A</v>
      </c>
      <c r="R199" t="str">
        <f>Table3[[#This Row],[StartR]]</f>
        <v>MRK 15:1</v>
      </c>
      <c r="S199" t="str">
        <f>Table3[[#This Row],[EndR]]</f>
        <v>MRK 15:1</v>
      </c>
      <c r="T199">
        <f>Table3[[#This Row],[Merged.Start]]</f>
        <v>28610</v>
      </c>
      <c r="U199">
        <f>Table3[[#This Row],[Merged.End]]</f>
        <v>28625</v>
      </c>
    </row>
    <row r="200" spans="1:21" x14ac:dyDescent="0.25">
      <c r="A200">
        <v>199</v>
      </c>
      <c r="B200">
        <v>1</v>
      </c>
      <c r="C200" s="1" t="s">
        <v>1233</v>
      </c>
      <c r="D200" t="s">
        <v>1232</v>
      </c>
      <c r="E200" t="s">
        <v>1232</v>
      </c>
      <c r="F200">
        <v>28610</v>
      </c>
      <c r="G200">
        <v>28632</v>
      </c>
      <c r="H200">
        <v>1</v>
      </c>
      <c r="I200">
        <v>28626</v>
      </c>
      <c r="J200">
        <v>28632</v>
      </c>
      <c r="K200">
        <f>IF(Table3[[#This Row],[NeedsAttention]]=1,Table3[[#This Row],[Start]],Table3[[#This Row],[StartN]])</f>
        <v>28626</v>
      </c>
      <c r="L200">
        <f>IF(Table3[[#This Row],[NeedsAttention]]=1,Table3[[#This Row],[End]],Table3[[#This Row],[EndN]])</f>
        <v>28632</v>
      </c>
      <c r="M200" t="b">
        <f>Table3[[#This Row],[Merged.Start]]=L199+1</f>
        <v>1</v>
      </c>
      <c r="O200">
        <f>Table3[[#This Row],[Section]]</f>
        <v>199</v>
      </c>
      <c r="P200">
        <f>Table3[[#This Row],[Canon]]</f>
        <v>1</v>
      </c>
      <c r="Q200" s="1" t="str">
        <f>Table3[[#This Row],[Reference]]</f>
        <v>15.1B</v>
      </c>
      <c r="R200" t="str">
        <f>Table3[[#This Row],[StartR]]</f>
        <v>MRK 15:1</v>
      </c>
      <c r="S200" t="str">
        <f>Table3[[#This Row],[EndR]]</f>
        <v>MRK 15:1</v>
      </c>
      <c r="T200">
        <f>Table3[[#This Row],[Merged.Start]]</f>
        <v>28626</v>
      </c>
      <c r="U200">
        <f>Table3[[#This Row],[Merged.End]]</f>
        <v>28632</v>
      </c>
    </row>
    <row r="201" spans="1:21" x14ac:dyDescent="0.25">
      <c r="A201">
        <v>200</v>
      </c>
      <c r="B201">
        <v>1</v>
      </c>
      <c r="C201" s="1">
        <v>15.2</v>
      </c>
      <c r="D201" t="s">
        <v>1234</v>
      </c>
      <c r="E201" t="s">
        <v>1234</v>
      </c>
      <c r="F201">
        <v>28633</v>
      </c>
      <c r="G201">
        <v>28650</v>
      </c>
      <c r="H201">
        <v>0</v>
      </c>
      <c r="K201">
        <f>IF(Table3[[#This Row],[NeedsAttention]]=1,Table3[[#This Row],[Start]],Table3[[#This Row],[StartN]])</f>
        <v>28633</v>
      </c>
      <c r="L201">
        <f>IF(Table3[[#This Row],[NeedsAttention]]=1,Table3[[#This Row],[End]],Table3[[#This Row],[EndN]])</f>
        <v>28650</v>
      </c>
      <c r="M201" t="b">
        <f>Table3[[#This Row],[Merged.Start]]=L200+1</f>
        <v>1</v>
      </c>
      <c r="O201">
        <f>Table3[[#This Row],[Section]]</f>
        <v>200</v>
      </c>
      <c r="P201">
        <f>Table3[[#This Row],[Canon]]</f>
        <v>1</v>
      </c>
      <c r="Q201" s="1">
        <f>Table3[[#This Row],[Reference]]</f>
        <v>15.2</v>
      </c>
      <c r="R201" t="str">
        <f>Table3[[#This Row],[StartR]]</f>
        <v>MRK 15:2</v>
      </c>
      <c r="S201" t="str">
        <f>Table3[[#This Row],[EndR]]</f>
        <v>MRK 15:2</v>
      </c>
      <c r="T201">
        <f>Table3[[#This Row],[Merged.Start]]</f>
        <v>28633</v>
      </c>
      <c r="U201">
        <f>Table3[[#This Row],[Merged.End]]</f>
        <v>28650</v>
      </c>
    </row>
    <row r="202" spans="1:21" x14ac:dyDescent="0.25">
      <c r="A202">
        <v>201</v>
      </c>
      <c r="B202">
        <v>4</v>
      </c>
      <c r="C202" s="1" t="s">
        <v>1235</v>
      </c>
      <c r="D202" t="s">
        <v>1236</v>
      </c>
      <c r="E202" t="s">
        <v>1237</v>
      </c>
      <c r="F202">
        <v>28651</v>
      </c>
      <c r="G202">
        <v>28680</v>
      </c>
      <c r="H202">
        <v>0</v>
      </c>
      <c r="K202">
        <f>IF(Table3[[#This Row],[NeedsAttention]]=1,Table3[[#This Row],[Start]],Table3[[#This Row],[StartN]])</f>
        <v>28651</v>
      </c>
      <c r="L202">
        <f>IF(Table3[[#This Row],[NeedsAttention]]=1,Table3[[#This Row],[End]],Table3[[#This Row],[EndN]])</f>
        <v>28680</v>
      </c>
      <c r="M202" t="b">
        <f>Table3[[#This Row],[Merged.Start]]=L201+1</f>
        <v>1</v>
      </c>
      <c r="O202">
        <f>Table3[[#This Row],[Section]]</f>
        <v>201</v>
      </c>
      <c r="P202">
        <f>Table3[[#This Row],[Canon]]</f>
        <v>4</v>
      </c>
      <c r="Q202" s="1" t="str">
        <f>Table3[[#This Row],[Reference]]</f>
        <v>15.3-5</v>
      </c>
      <c r="R202" t="str">
        <f>Table3[[#This Row],[StartR]]</f>
        <v>MRK 15:3</v>
      </c>
      <c r="S202" t="str">
        <f>Table3[[#This Row],[EndR]]</f>
        <v>MRK 15:5</v>
      </c>
      <c r="T202">
        <f>Table3[[#This Row],[Merged.Start]]</f>
        <v>28651</v>
      </c>
      <c r="U202">
        <f>Table3[[#This Row],[Merged.End]]</f>
        <v>28680</v>
      </c>
    </row>
    <row r="203" spans="1:21" x14ac:dyDescent="0.25">
      <c r="A203">
        <v>202</v>
      </c>
      <c r="B203">
        <v>2</v>
      </c>
      <c r="C203" s="1">
        <v>15.6</v>
      </c>
      <c r="D203" t="s">
        <v>1238</v>
      </c>
      <c r="E203" t="s">
        <v>1238</v>
      </c>
      <c r="F203">
        <v>28681</v>
      </c>
      <c r="G203">
        <v>28689</v>
      </c>
      <c r="H203">
        <v>0</v>
      </c>
      <c r="K203">
        <f>IF(Table3[[#This Row],[NeedsAttention]]=1,Table3[[#This Row],[Start]],Table3[[#This Row],[StartN]])</f>
        <v>28681</v>
      </c>
      <c r="L203">
        <f>IF(Table3[[#This Row],[NeedsAttention]]=1,Table3[[#This Row],[End]],Table3[[#This Row],[EndN]])</f>
        <v>28689</v>
      </c>
      <c r="M203" t="b">
        <f>Table3[[#This Row],[Merged.Start]]=L202+1</f>
        <v>1</v>
      </c>
      <c r="O203">
        <f>Table3[[#This Row],[Section]]</f>
        <v>202</v>
      </c>
      <c r="P203">
        <f>Table3[[#This Row],[Canon]]</f>
        <v>2</v>
      </c>
      <c r="Q203" s="1">
        <f>Table3[[#This Row],[Reference]]</f>
        <v>15.6</v>
      </c>
      <c r="R203" t="str">
        <f>Table3[[#This Row],[StartR]]</f>
        <v>MRK 15:6</v>
      </c>
      <c r="S203" t="str">
        <f>Table3[[#This Row],[EndR]]</f>
        <v>MRK 15:6</v>
      </c>
      <c r="T203">
        <f>Table3[[#This Row],[Merged.Start]]</f>
        <v>28681</v>
      </c>
      <c r="U203">
        <f>Table3[[#This Row],[Merged.End]]</f>
        <v>28689</v>
      </c>
    </row>
    <row r="204" spans="1:21" x14ac:dyDescent="0.25">
      <c r="A204">
        <v>203</v>
      </c>
      <c r="B204">
        <v>4</v>
      </c>
      <c r="C204" s="1" t="s">
        <v>1239</v>
      </c>
      <c r="D204" t="s">
        <v>1240</v>
      </c>
      <c r="E204" t="s">
        <v>1241</v>
      </c>
      <c r="F204">
        <v>28690</v>
      </c>
      <c r="G204">
        <v>28735</v>
      </c>
      <c r="H204">
        <v>0</v>
      </c>
      <c r="K204">
        <f>IF(Table3[[#This Row],[NeedsAttention]]=1,Table3[[#This Row],[Start]],Table3[[#This Row],[StartN]])</f>
        <v>28690</v>
      </c>
      <c r="L204">
        <f>IF(Table3[[#This Row],[NeedsAttention]]=1,Table3[[#This Row],[End]],Table3[[#This Row],[EndN]])</f>
        <v>28735</v>
      </c>
      <c r="M204" t="b">
        <f>Table3[[#This Row],[Merged.Start]]=L203+1</f>
        <v>1</v>
      </c>
      <c r="O204">
        <f>Table3[[#This Row],[Section]]</f>
        <v>203</v>
      </c>
      <c r="P204">
        <f>Table3[[#This Row],[Canon]]</f>
        <v>4</v>
      </c>
      <c r="Q204" s="1" t="str">
        <f>Table3[[#This Row],[Reference]]</f>
        <v>15.7-10</v>
      </c>
      <c r="R204" t="str">
        <f>Table3[[#This Row],[StartR]]</f>
        <v>MRK 15:7</v>
      </c>
      <c r="S204" t="str">
        <f>Table3[[#This Row],[EndR]]</f>
        <v>MRK 15:10</v>
      </c>
      <c r="T204">
        <f>Table3[[#This Row],[Merged.Start]]</f>
        <v>28690</v>
      </c>
      <c r="U204">
        <f>Table3[[#This Row],[Merged.End]]</f>
        <v>28735</v>
      </c>
    </row>
    <row r="205" spans="1:21" x14ac:dyDescent="0.25">
      <c r="A205">
        <v>204</v>
      </c>
      <c r="B205">
        <v>1</v>
      </c>
      <c r="C205" s="1">
        <v>15.11</v>
      </c>
      <c r="D205" t="s">
        <v>1242</v>
      </c>
      <c r="E205" t="s">
        <v>1242</v>
      </c>
      <c r="F205">
        <v>28736</v>
      </c>
      <c r="G205">
        <v>28747</v>
      </c>
      <c r="H205">
        <v>0</v>
      </c>
      <c r="K205">
        <f>IF(Table3[[#This Row],[NeedsAttention]]=1,Table3[[#This Row],[Start]],Table3[[#This Row],[StartN]])</f>
        <v>28736</v>
      </c>
      <c r="L205">
        <f>IF(Table3[[#This Row],[NeedsAttention]]=1,Table3[[#This Row],[End]],Table3[[#This Row],[EndN]])</f>
        <v>28747</v>
      </c>
      <c r="M205" t="b">
        <f>Table3[[#This Row],[Merged.Start]]=L204+1</f>
        <v>1</v>
      </c>
      <c r="O205">
        <f>Table3[[#This Row],[Section]]</f>
        <v>204</v>
      </c>
      <c r="P205">
        <f>Table3[[#This Row],[Canon]]</f>
        <v>1</v>
      </c>
      <c r="Q205" s="1">
        <f>Table3[[#This Row],[Reference]]</f>
        <v>15.11</v>
      </c>
      <c r="R205" t="str">
        <f>Table3[[#This Row],[StartR]]</f>
        <v>MRK 15:11</v>
      </c>
      <c r="S205" t="str">
        <f>Table3[[#This Row],[EndR]]</f>
        <v>MRK 15:11</v>
      </c>
      <c r="T205">
        <f>Table3[[#This Row],[Merged.Start]]</f>
        <v>28736</v>
      </c>
      <c r="U205">
        <f>Table3[[#This Row],[Merged.End]]</f>
        <v>28747</v>
      </c>
    </row>
    <row r="206" spans="1:21" x14ac:dyDescent="0.25">
      <c r="A206">
        <v>205</v>
      </c>
      <c r="B206">
        <v>1</v>
      </c>
      <c r="C206" s="1" t="s">
        <v>1243</v>
      </c>
      <c r="D206" t="s">
        <v>1244</v>
      </c>
      <c r="E206" t="s">
        <v>1245</v>
      </c>
      <c r="F206">
        <v>28748</v>
      </c>
      <c r="G206">
        <v>28785</v>
      </c>
      <c r="H206">
        <v>0</v>
      </c>
      <c r="K206">
        <f>IF(Table3[[#This Row],[NeedsAttention]]=1,Table3[[#This Row],[Start]],Table3[[#This Row],[StartN]])</f>
        <v>28748</v>
      </c>
      <c r="L206">
        <f>IF(Table3[[#This Row],[NeedsAttention]]=1,Table3[[#This Row],[End]],Table3[[#This Row],[EndN]])</f>
        <v>28785</v>
      </c>
      <c r="M206" t="b">
        <f>Table3[[#This Row],[Merged.Start]]=L205+1</f>
        <v>1</v>
      </c>
      <c r="O206">
        <f>Table3[[#This Row],[Section]]</f>
        <v>205</v>
      </c>
      <c r="P206">
        <f>Table3[[#This Row],[Canon]]</f>
        <v>1</v>
      </c>
      <c r="Q206" s="1" t="str">
        <f>Table3[[#This Row],[Reference]]</f>
        <v>15.12-14</v>
      </c>
      <c r="R206" t="str">
        <f>Table3[[#This Row],[StartR]]</f>
        <v>MRK 15:12</v>
      </c>
      <c r="S206" t="str">
        <f>Table3[[#This Row],[EndR]]</f>
        <v>MRK 15:14</v>
      </c>
      <c r="T206">
        <f>Table3[[#This Row],[Merged.Start]]</f>
        <v>28748</v>
      </c>
      <c r="U206">
        <f>Table3[[#This Row],[Merged.End]]</f>
        <v>28785</v>
      </c>
    </row>
    <row r="207" spans="1:21" x14ac:dyDescent="0.25">
      <c r="A207">
        <v>206</v>
      </c>
      <c r="B207">
        <v>1</v>
      </c>
      <c r="C207" s="1">
        <v>15.15</v>
      </c>
      <c r="D207" t="s">
        <v>1246</v>
      </c>
      <c r="E207" t="s">
        <v>1246</v>
      </c>
      <c r="F207">
        <v>28786</v>
      </c>
      <c r="G207">
        <v>28805</v>
      </c>
      <c r="H207">
        <v>0</v>
      </c>
      <c r="K207">
        <f>IF(Table3[[#This Row],[NeedsAttention]]=1,Table3[[#This Row],[Start]],Table3[[#This Row],[StartN]])</f>
        <v>28786</v>
      </c>
      <c r="L207">
        <f>IF(Table3[[#This Row],[NeedsAttention]]=1,Table3[[#This Row],[End]],Table3[[#This Row],[EndN]])</f>
        <v>28805</v>
      </c>
      <c r="M207" t="b">
        <f>Table3[[#This Row],[Merged.Start]]=L206+1</f>
        <v>1</v>
      </c>
      <c r="O207">
        <f>Table3[[#This Row],[Section]]</f>
        <v>206</v>
      </c>
      <c r="P207">
        <f>Table3[[#This Row],[Canon]]</f>
        <v>1</v>
      </c>
      <c r="Q207" s="1">
        <f>Table3[[#This Row],[Reference]]</f>
        <v>15.15</v>
      </c>
      <c r="R207" t="str">
        <f>Table3[[#This Row],[StartR]]</f>
        <v>MRK 15:15</v>
      </c>
      <c r="S207" t="str">
        <f>Table3[[#This Row],[EndR]]</f>
        <v>MRK 15:15</v>
      </c>
      <c r="T207">
        <f>Table3[[#This Row],[Merged.Start]]</f>
        <v>28786</v>
      </c>
      <c r="U207">
        <f>Table3[[#This Row],[Merged.End]]</f>
        <v>28805</v>
      </c>
    </row>
    <row r="208" spans="1:21" x14ac:dyDescent="0.25">
      <c r="A208">
        <v>207</v>
      </c>
      <c r="B208">
        <v>4</v>
      </c>
      <c r="C208" s="1" t="s">
        <v>1247</v>
      </c>
      <c r="D208" t="s">
        <v>1248</v>
      </c>
      <c r="E208" t="s">
        <v>1249</v>
      </c>
      <c r="F208">
        <v>28806</v>
      </c>
      <c r="G208">
        <v>28854</v>
      </c>
      <c r="H208">
        <v>0</v>
      </c>
      <c r="K208">
        <f>IF(Table3[[#This Row],[NeedsAttention]]=1,Table3[[#This Row],[Start]],Table3[[#This Row],[StartN]])</f>
        <v>28806</v>
      </c>
      <c r="L208">
        <f>IF(Table3[[#This Row],[NeedsAttention]]=1,Table3[[#This Row],[End]],Table3[[#This Row],[EndN]])</f>
        <v>28854</v>
      </c>
      <c r="M208" t="b">
        <f>Table3[[#This Row],[Merged.Start]]=L207+1</f>
        <v>1</v>
      </c>
      <c r="O208">
        <f>Table3[[#This Row],[Section]]</f>
        <v>207</v>
      </c>
      <c r="P208">
        <f>Table3[[#This Row],[Canon]]</f>
        <v>4</v>
      </c>
      <c r="Q208" s="1" t="str">
        <f>Table3[[#This Row],[Reference]]</f>
        <v>15.16-19</v>
      </c>
      <c r="R208" t="str">
        <f>Table3[[#This Row],[StartR]]</f>
        <v>MRK 15:16</v>
      </c>
      <c r="S208" t="str">
        <f>Table3[[#This Row],[EndR]]</f>
        <v>MRK 15:19</v>
      </c>
      <c r="T208">
        <f>Table3[[#This Row],[Merged.Start]]</f>
        <v>28806</v>
      </c>
      <c r="U208">
        <f>Table3[[#This Row],[Merged.End]]</f>
        <v>28854</v>
      </c>
    </row>
    <row r="209" spans="1:21" x14ac:dyDescent="0.25">
      <c r="A209">
        <v>208</v>
      </c>
      <c r="B209">
        <v>6</v>
      </c>
      <c r="C209" s="1">
        <v>15.2</v>
      </c>
      <c r="D209" t="s">
        <v>2522</v>
      </c>
      <c r="E209" t="s">
        <v>2522</v>
      </c>
      <c r="F209" s="2">
        <v>28855</v>
      </c>
      <c r="G209" s="2">
        <v>28875</v>
      </c>
      <c r="H209">
        <v>0</v>
      </c>
      <c r="K209">
        <f>IF(Table3[[#This Row],[NeedsAttention]]=1,Table3[[#This Row],[Start]],Table3[[#This Row],[StartN]])</f>
        <v>28855</v>
      </c>
      <c r="L209">
        <f>IF(Table3[[#This Row],[NeedsAttention]]=1,Table3[[#This Row],[End]],Table3[[#This Row],[EndN]])</f>
        <v>28875</v>
      </c>
      <c r="M209" t="b">
        <f>Table3[[#This Row],[Merged.Start]]=L208+1</f>
        <v>1</v>
      </c>
      <c r="O209">
        <f>Table3[[#This Row],[Section]]</f>
        <v>208</v>
      </c>
      <c r="P209">
        <f>Table3[[#This Row],[Canon]]</f>
        <v>6</v>
      </c>
      <c r="Q209" s="1">
        <f>Table3[[#This Row],[Reference]]</f>
        <v>15.2</v>
      </c>
      <c r="R209" t="str">
        <f>Table3[[#This Row],[StartR]]</f>
        <v>MRK 15:20</v>
      </c>
      <c r="S209" t="str">
        <f>Table3[[#This Row],[EndR]]</f>
        <v>MRK 15:20</v>
      </c>
      <c r="T209">
        <f>Table3[[#This Row],[Merged.Start]]</f>
        <v>28855</v>
      </c>
      <c r="U209">
        <f>Table3[[#This Row],[Merged.End]]</f>
        <v>28875</v>
      </c>
    </row>
    <row r="210" spans="1:21" x14ac:dyDescent="0.25">
      <c r="A210">
        <v>209</v>
      </c>
      <c r="B210">
        <v>1</v>
      </c>
      <c r="C210" s="1">
        <v>15.21</v>
      </c>
      <c r="D210" t="s">
        <v>1250</v>
      </c>
      <c r="E210" t="s">
        <v>1250</v>
      </c>
      <c r="F210">
        <v>28876</v>
      </c>
      <c r="G210">
        <v>28894</v>
      </c>
      <c r="H210">
        <v>0</v>
      </c>
      <c r="K210">
        <f>IF(Table3[[#This Row],[NeedsAttention]]=1,Table3[[#This Row],[Start]],Table3[[#This Row],[StartN]])</f>
        <v>28876</v>
      </c>
      <c r="L210">
        <f>IF(Table3[[#This Row],[NeedsAttention]]=1,Table3[[#This Row],[End]],Table3[[#This Row],[EndN]])</f>
        <v>28894</v>
      </c>
      <c r="M210" t="b">
        <f>Table3[[#This Row],[Merged.Start]]=L209+1</f>
        <v>1</v>
      </c>
      <c r="O210">
        <f>Table3[[#This Row],[Section]]</f>
        <v>209</v>
      </c>
      <c r="P210">
        <f>Table3[[#This Row],[Canon]]</f>
        <v>1</v>
      </c>
      <c r="Q210" s="1">
        <f>Table3[[#This Row],[Reference]]</f>
        <v>15.21</v>
      </c>
      <c r="R210" t="str">
        <f>Table3[[#This Row],[StartR]]</f>
        <v>MRK 15:21</v>
      </c>
      <c r="S210" t="str">
        <f>Table3[[#This Row],[EndR]]</f>
        <v>MRK 15:21</v>
      </c>
      <c r="T210">
        <f>Table3[[#This Row],[Merged.Start]]</f>
        <v>28876</v>
      </c>
      <c r="U210">
        <f>Table3[[#This Row],[Merged.End]]</f>
        <v>28894</v>
      </c>
    </row>
    <row r="211" spans="1:21" x14ac:dyDescent="0.25">
      <c r="A211">
        <v>210</v>
      </c>
      <c r="B211">
        <v>1</v>
      </c>
      <c r="C211" s="1">
        <v>15.22</v>
      </c>
      <c r="D211" t="s">
        <v>1251</v>
      </c>
      <c r="E211" t="s">
        <v>1251</v>
      </c>
      <c r="F211">
        <v>28895</v>
      </c>
      <c r="G211">
        <v>28906</v>
      </c>
      <c r="H211">
        <v>0</v>
      </c>
      <c r="K211">
        <f>IF(Table3[[#This Row],[NeedsAttention]]=1,Table3[[#This Row],[Start]],Table3[[#This Row],[StartN]])</f>
        <v>28895</v>
      </c>
      <c r="L211">
        <f>IF(Table3[[#This Row],[NeedsAttention]]=1,Table3[[#This Row],[End]],Table3[[#This Row],[EndN]])</f>
        <v>28906</v>
      </c>
      <c r="M211" t="b">
        <f>Table3[[#This Row],[Merged.Start]]=L210+1</f>
        <v>1</v>
      </c>
      <c r="O211">
        <f>Table3[[#This Row],[Section]]</f>
        <v>210</v>
      </c>
      <c r="P211">
        <f>Table3[[#This Row],[Canon]]</f>
        <v>1</v>
      </c>
      <c r="Q211" s="1">
        <f>Table3[[#This Row],[Reference]]</f>
        <v>15.22</v>
      </c>
      <c r="R211" t="str">
        <f>Table3[[#This Row],[StartR]]</f>
        <v>MRK 15:22</v>
      </c>
      <c r="S211" t="str">
        <f>Table3[[#This Row],[EndR]]</f>
        <v>MRK 15:22</v>
      </c>
      <c r="T211">
        <f>Table3[[#This Row],[Merged.Start]]</f>
        <v>28895</v>
      </c>
      <c r="U211">
        <f>Table3[[#This Row],[Merged.End]]</f>
        <v>28906</v>
      </c>
    </row>
    <row r="212" spans="1:21" x14ac:dyDescent="0.25">
      <c r="A212">
        <v>211</v>
      </c>
      <c r="B212">
        <v>4</v>
      </c>
      <c r="C212" s="1">
        <v>15.23</v>
      </c>
      <c r="D212" t="s">
        <v>1252</v>
      </c>
      <c r="E212" t="s">
        <v>1252</v>
      </c>
      <c r="F212">
        <v>28907</v>
      </c>
      <c r="G212">
        <v>28915</v>
      </c>
      <c r="H212">
        <v>0</v>
      </c>
      <c r="K212">
        <f>IF(Table3[[#This Row],[NeedsAttention]]=1,Table3[[#This Row],[Start]],Table3[[#This Row],[StartN]])</f>
        <v>28907</v>
      </c>
      <c r="L212">
        <f>IF(Table3[[#This Row],[NeedsAttention]]=1,Table3[[#This Row],[End]],Table3[[#This Row],[EndN]])</f>
        <v>28915</v>
      </c>
      <c r="M212" t="b">
        <f>Table3[[#This Row],[Merged.Start]]=L211+1</f>
        <v>1</v>
      </c>
      <c r="O212">
        <f>Table3[[#This Row],[Section]]</f>
        <v>211</v>
      </c>
      <c r="P212">
        <f>Table3[[#This Row],[Canon]]</f>
        <v>4</v>
      </c>
      <c r="Q212" s="1">
        <f>Table3[[#This Row],[Reference]]</f>
        <v>15.23</v>
      </c>
      <c r="R212" t="str">
        <f>Table3[[#This Row],[StartR]]</f>
        <v>MRK 15:23</v>
      </c>
      <c r="S212" t="str">
        <f>Table3[[#This Row],[EndR]]</f>
        <v>MRK 15:23</v>
      </c>
      <c r="T212">
        <f>Table3[[#This Row],[Merged.Start]]</f>
        <v>28907</v>
      </c>
      <c r="U212">
        <f>Table3[[#This Row],[Merged.End]]</f>
        <v>28915</v>
      </c>
    </row>
    <row r="213" spans="1:21" x14ac:dyDescent="0.25">
      <c r="A213">
        <v>212</v>
      </c>
      <c r="B213">
        <v>1</v>
      </c>
      <c r="C213" s="1">
        <v>15.24</v>
      </c>
      <c r="D213" t="s">
        <v>1253</v>
      </c>
      <c r="E213" t="s">
        <v>1253</v>
      </c>
      <c r="F213">
        <v>28916</v>
      </c>
      <c r="G213">
        <v>28930</v>
      </c>
      <c r="H213">
        <v>0</v>
      </c>
      <c r="K213">
        <f>IF(Table3[[#This Row],[NeedsAttention]]=1,Table3[[#This Row],[Start]],Table3[[#This Row],[StartN]])</f>
        <v>28916</v>
      </c>
      <c r="L213">
        <f>IF(Table3[[#This Row],[NeedsAttention]]=1,Table3[[#This Row],[End]],Table3[[#This Row],[EndN]])</f>
        <v>28930</v>
      </c>
      <c r="M213" t="b">
        <f>Table3[[#This Row],[Merged.Start]]=L212+1</f>
        <v>1</v>
      </c>
      <c r="O213">
        <f>Table3[[#This Row],[Section]]</f>
        <v>212</v>
      </c>
      <c r="P213">
        <f>Table3[[#This Row],[Canon]]</f>
        <v>1</v>
      </c>
      <c r="Q213" s="1">
        <f>Table3[[#This Row],[Reference]]</f>
        <v>15.24</v>
      </c>
      <c r="R213" t="str">
        <f>Table3[[#This Row],[StartR]]</f>
        <v>MRK 15:24</v>
      </c>
      <c r="S213" t="str">
        <f>Table3[[#This Row],[EndR]]</f>
        <v>MRK 15:24</v>
      </c>
      <c r="T213">
        <f>Table3[[#This Row],[Merged.Start]]</f>
        <v>28916</v>
      </c>
      <c r="U213">
        <f>Table3[[#This Row],[Merged.End]]</f>
        <v>28930</v>
      </c>
    </row>
    <row r="214" spans="1:21" x14ac:dyDescent="0.25">
      <c r="A214">
        <v>213</v>
      </c>
      <c r="B214">
        <v>10</v>
      </c>
      <c r="C214" s="1">
        <v>15.25</v>
      </c>
      <c r="D214" t="s">
        <v>1254</v>
      </c>
      <c r="E214" t="s">
        <v>1254</v>
      </c>
      <c r="F214">
        <v>28931</v>
      </c>
      <c r="G214">
        <v>28937</v>
      </c>
      <c r="H214">
        <v>0</v>
      </c>
      <c r="K214">
        <f>IF(Table3[[#This Row],[NeedsAttention]]=1,Table3[[#This Row],[Start]],Table3[[#This Row],[StartN]])</f>
        <v>28931</v>
      </c>
      <c r="L214">
        <f>IF(Table3[[#This Row],[NeedsAttention]]=1,Table3[[#This Row],[End]],Table3[[#This Row],[EndN]])</f>
        <v>28937</v>
      </c>
      <c r="M214" t="b">
        <f>Table3[[#This Row],[Merged.Start]]=L213+1</f>
        <v>1</v>
      </c>
      <c r="O214">
        <f>Table3[[#This Row],[Section]]</f>
        <v>213</v>
      </c>
      <c r="P214">
        <f>Table3[[#This Row],[Canon]]</f>
        <v>10</v>
      </c>
      <c r="Q214" s="1">
        <f>Table3[[#This Row],[Reference]]</f>
        <v>15.25</v>
      </c>
      <c r="R214" t="str">
        <f>Table3[[#This Row],[StartR]]</f>
        <v>MRK 15:25</v>
      </c>
      <c r="S214" t="str">
        <f>Table3[[#This Row],[EndR]]</f>
        <v>MRK 15:25</v>
      </c>
      <c r="T214">
        <f>Table3[[#This Row],[Merged.Start]]</f>
        <v>28931</v>
      </c>
      <c r="U214">
        <f>Table3[[#This Row],[Merged.End]]</f>
        <v>28937</v>
      </c>
    </row>
    <row r="215" spans="1:21" x14ac:dyDescent="0.25">
      <c r="A215">
        <v>214</v>
      </c>
      <c r="B215">
        <v>1</v>
      </c>
      <c r="C215" s="1">
        <v>15.26</v>
      </c>
      <c r="D215" t="s">
        <v>1255</v>
      </c>
      <c r="E215" t="s">
        <v>1255</v>
      </c>
      <c r="F215">
        <v>28938</v>
      </c>
      <c r="G215">
        <v>28949</v>
      </c>
      <c r="H215">
        <v>0</v>
      </c>
      <c r="K215">
        <f>IF(Table3[[#This Row],[NeedsAttention]]=1,Table3[[#This Row],[Start]],Table3[[#This Row],[StartN]])</f>
        <v>28938</v>
      </c>
      <c r="L215">
        <f>IF(Table3[[#This Row],[NeedsAttention]]=1,Table3[[#This Row],[End]],Table3[[#This Row],[EndN]])</f>
        <v>28949</v>
      </c>
      <c r="M215" t="b">
        <f>Table3[[#This Row],[Merged.Start]]=L214+1</f>
        <v>1</v>
      </c>
      <c r="O215">
        <f>Table3[[#This Row],[Section]]</f>
        <v>214</v>
      </c>
      <c r="P215">
        <f>Table3[[#This Row],[Canon]]</f>
        <v>1</v>
      </c>
      <c r="Q215" s="1">
        <f>Table3[[#This Row],[Reference]]</f>
        <v>15.26</v>
      </c>
      <c r="R215" t="str">
        <f>Table3[[#This Row],[StartR]]</f>
        <v>MRK 15:26</v>
      </c>
      <c r="S215" t="str">
        <f>Table3[[#This Row],[EndR]]</f>
        <v>MRK 15:26</v>
      </c>
      <c r="T215">
        <f>Table3[[#This Row],[Merged.Start]]</f>
        <v>28938</v>
      </c>
      <c r="U215">
        <f>Table3[[#This Row],[Merged.End]]</f>
        <v>28949</v>
      </c>
    </row>
    <row r="216" spans="1:21" x14ac:dyDescent="0.25">
      <c r="A216">
        <v>215</v>
      </c>
      <c r="B216">
        <v>1</v>
      </c>
      <c r="C216" s="1">
        <v>15.27</v>
      </c>
      <c r="D216" t="s">
        <v>1256</v>
      </c>
      <c r="E216" t="s">
        <v>1256</v>
      </c>
      <c r="F216">
        <v>28950</v>
      </c>
      <c r="G216">
        <v>28963</v>
      </c>
      <c r="H216">
        <v>0</v>
      </c>
      <c r="K216">
        <f>IF(Table3[[#This Row],[NeedsAttention]]=1,Table3[[#This Row],[Start]],Table3[[#This Row],[StartN]])</f>
        <v>28950</v>
      </c>
      <c r="L216">
        <f>IF(Table3[[#This Row],[NeedsAttention]]=1,Table3[[#This Row],[End]],Table3[[#This Row],[EndN]])</f>
        <v>28963</v>
      </c>
      <c r="M216" t="b">
        <f>Table3[[#This Row],[Merged.Start]]=L215+1</f>
        <v>1</v>
      </c>
      <c r="O216">
        <f>Table3[[#This Row],[Section]]</f>
        <v>215</v>
      </c>
      <c r="P216">
        <f>Table3[[#This Row],[Canon]]</f>
        <v>1</v>
      </c>
      <c r="Q216" s="1">
        <f>Table3[[#This Row],[Reference]]</f>
        <v>15.27</v>
      </c>
      <c r="R216" t="str">
        <f>Table3[[#This Row],[StartR]]</f>
        <v>MRK 15:27</v>
      </c>
      <c r="S216" t="str">
        <f>Table3[[#This Row],[EndR]]</f>
        <v>MRK 15:27</v>
      </c>
      <c r="T216">
        <f>Table3[[#This Row],[Merged.Start]]</f>
        <v>28950</v>
      </c>
      <c r="U216">
        <f>Table3[[#This Row],[Merged.End]]</f>
        <v>28963</v>
      </c>
    </row>
    <row r="217" spans="1:21" x14ac:dyDescent="0.25">
      <c r="A217">
        <v>216</v>
      </c>
      <c r="B217">
        <v>8</v>
      </c>
      <c r="C217" s="1" t="s">
        <v>1257</v>
      </c>
      <c r="D217" t="s">
        <v>2551</v>
      </c>
      <c r="E217" t="s">
        <v>2551</v>
      </c>
      <c r="F217">
        <v>0</v>
      </c>
      <c r="G217">
        <v>0</v>
      </c>
      <c r="H217">
        <v>1</v>
      </c>
      <c r="K217">
        <f>IF(Table3[[#This Row],[NeedsAttention]]=1,Table3[[#This Row],[Start]],Table3[[#This Row],[StartN]])</f>
        <v>0</v>
      </c>
      <c r="L217">
        <f>IF(Table3[[#This Row],[NeedsAttention]]=1,Table3[[#This Row],[End]],Table3[[#This Row],[EndN]])</f>
        <v>0</v>
      </c>
      <c r="M217" t="b">
        <f>Table3[[#This Row],[Merged.Start]]=L216+1</f>
        <v>0</v>
      </c>
      <c r="O217">
        <f>Table3[[#This Row],[Section]]</f>
        <v>216</v>
      </c>
      <c r="P217">
        <f>Table3[[#This Row],[Canon]]</f>
        <v>8</v>
      </c>
      <c r="Q217" s="1" t="str">
        <f>Table3[[#This Row],[Reference]]</f>
        <v>15.28 (in note)</v>
      </c>
      <c r="R217" t="str">
        <f>Table3[[#This Row],[StartR]]</f>
        <v>MRK 15:28</v>
      </c>
      <c r="S217" t="str">
        <f>Table3[[#This Row],[EndR]]</f>
        <v>MRK 15:28</v>
      </c>
      <c r="T217">
        <f>Table3[[#This Row],[Merged.Start]]</f>
        <v>0</v>
      </c>
      <c r="U217">
        <f>Table3[[#This Row],[Merged.End]]</f>
        <v>0</v>
      </c>
    </row>
    <row r="218" spans="1:21" x14ac:dyDescent="0.25">
      <c r="A218">
        <v>217</v>
      </c>
      <c r="B218">
        <v>6</v>
      </c>
      <c r="C218" s="1" t="s">
        <v>1258</v>
      </c>
      <c r="D218" t="s">
        <v>1259</v>
      </c>
      <c r="E218" t="s">
        <v>1260</v>
      </c>
      <c r="F218">
        <v>28964</v>
      </c>
      <c r="G218">
        <v>28990</v>
      </c>
      <c r="H218">
        <v>0</v>
      </c>
      <c r="K218">
        <f>IF(Table3[[#This Row],[NeedsAttention]]=1,Table3[[#This Row],[Start]],Table3[[#This Row],[StartN]])</f>
        <v>28964</v>
      </c>
      <c r="L218">
        <f>IF(Table3[[#This Row],[NeedsAttention]]=1,Table3[[#This Row],[End]],Table3[[#This Row],[EndN]])</f>
        <v>28990</v>
      </c>
      <c r="M218" t="b">
        <f>Table3[[#This Row],[Merged.Start]]=L217+1</f>
        <v>0</v>
      </c>
      <c r="O218">
        <f>Table3[[#This Row],[Section]]</f>
        <v>217</v>
      </c>
      <c r="P218">
        <f>Table3[[#This Row],[Canon]]</f>
        <v>6</v>
      </c>
      <c r="Q218" s="1" t="str">
        <f>Table3[[#This Row],[Reference]]</f>
        <v>15.29-30</v>
      </c>
      <c r="R218" t="str">
        <f>Table3[[#This Row],[StartR]]</f>
        <v>MRK 15:29</v>
      </c>
      <c r="S218" t="str">
        <f>Table3[[#This Row],[EndR]]</f>
        <v>MRK 15:30</v>
      </c>
      <c r="T218">
        <f>Table3[[#This Row],[Merged.Start]]</f>
        <v>28964</v>
      </c>
      <c r="U218">
        <f>Table3[[#This Row],[Merged.End]]</f>
        <v>28990</v>
      </c>
    </row>
    <row r="219" spans="1:21" x14ac:dyDescent="0.25">
      <c r="A219">
        <v>218</v>
      </c>
      <c r="B219">
        <v>2</v>
      </c>
      <c r="C219" s="1" t="s">
        <v>1261</v>
      </c>
      <c r="D219" t="s">
        <v>1262</v>
      </c>
      <c r="E219" t="s">
        <v>1263</v>
      </c>
      <c r="F219">
        <v>28991</v>
      </c>
      <c r="G219">
        <v>29028</v>
      </c>
      <c r="H219">
        <v>1</v>
      </c>
      <c r="I219">
        <v>28991</v>
      </c>
      <c r="J219">
        <v>29021</v>
      </c>
      <c r="K219">
        <f>IF(Table3[[#This Row],[NeedsAttention]]=1,Table3[[#This Row],[Start]],Table3[[#This Row],[StartN]])</f>
        <v>28991</v>
      </c>
      <c r="L219">
        <f>IF(Table3[[#This Row],[NeedsAttention]]=1,Table3[[#This Row],[End]],Table3[[#This Row],[EndN]])</f>
        <v>29021</v>
      </c>
      <c r="M219" t="b">
        <f>Table3[[#This Row],[Merged.Start]]=L218+1</f>
        <v>1</v>
      </c>
      <c r="O219">
        <f>Table3[[#This Row],[Section]]</f>
        <v>218</v>
      </c>
      <c r="P219">
        <f>Table3[[#This Row],[Canon]]</f>
        <v>2</v>
      </c>
      <c r="Q219" s="1" t="str">
        <f>Table3[[#This Row],[Reference]]</f>
        <v>15.31-32A</v>
      </c>
      <c r="R219" t="str">
        <f>Table3[[#This Row],[StartR]]</f>
        <v>MRK 15:31</v>
      </c>
      <c r="S219" t="str">
        <f>Table3[[#This Row],[EndR]]</f>
        <v>MRK 15:32</v>
      </c>
      <c r="T219">
        <f>Table3[[#This Row],[Merged.Start]]</f>
        <v>28991</v>
      </c>
      <c r="U219">
        <f>Table3[[#This Row],[Merged.End]]</f>
        <v>29021</v>
      </c>
    </row>
    <row r="220" spans="1:21" x14ac:dyDescent="0.25">
      <c r="A220">
        <v>219</v>
      </c>
      <c r="B220">
        <v>2</v>
      </c>
      <c r="C220" s="1" t="s">
        <v>1264</v>
      </c>
      <c r="D220" t="s">
        <v>1263</v>
      </c>
      <c r="E220" t="s">
        <v>1263</v>
      </c>
      <c r="F220">
        <v>29008</v>
      </c>
      <c r="G220">
        <v>29028</v>
      </c>
      <c r="H220">
        <v>1</v>
      </c>
      <c r="I220">
        <v>29022</v>
      </c>
      <c r="J220">
        <v>29028</v>
      </c>
      <c r="K220">
        <f>IF(Table3[[#This Row],[NeedsAttention]]=1,Table3[[#This Row],[Start]],Table3[[#This Row],[StartN]])</f>
        <v>29022</v>
      </c>
      <c r="L220">
        <f>IF(Table3[[#This Row],[NeedsAttention]]=1,Table3[[#This Row],[End]],Table3[[#This Row],[EndN]])</f>
        <v>29028</v>
      </c>
      <c r="M220" t="b">
        <f>Table3[[#This Row],[Merged.Start]]=L219+1</f>
        <v>1</v>
      </c>
      <c r="O220">
        <f>Table3[[#This Row],[Section]]</f>
        <v>219</v>
      </c>
      <c r="P220">
        <f>Table3[[#This Row],[Canon]]</f>
        <v>2</v>
      </c>
      <c r="Q220" s="1" t="str">
        <f>Table3[[#This Row],[Reference]]</f>
        <v>15.32B</v>
      </c>
      <c r="R220" t="str">
        <f>Table3[[#This Row],[StartR]]</f>
        <v>MRK 15:32</v>
      </c>
      <c r="S220" t="str">
        <f>Table3[[#This Row],[EndR]]</f>
        <v>MRK 15:32</v>
      </c>
      <c r="T220">
        <f>Table3[[#This Row],[Merged.Start]]</f>
        <v>29022</v>
      </c>
      <c r="U220">
        <f>Table3[[#This Row],[Merged.End]]</f>
        <v>29028</v>
      </c>
    </row>
    <row r="221" spans="1:21" x14ac:dyDescent="0.25">
      <c r="A221">
        <v>220</v>
      </c>
      <c r="B221">
        <v>2</v>
      </c>
      <c r="C221" s="1">
        <v>15.33</v>
      </c>
      <c r="D221" t="s">
        <v>1265</v>
      </c>
      <c r="E221" t="s">
        <v>1265</v>
      </c>
      <c r="F221">
        <v>29029</v>
      </c>
      <c r="G221">
        <v>29041</v>
      </c>
      <c r="H221">
        <v>0</v>
      </c>
      <c r="K221">
        <f>IF(Table3[[#This Row],[NeedsAttention]]=1,Table3[[#This Row],[Start]],Table3[[#This Row],[StartN]])</f>
        <v>29029</v>
      </c>
      <c r="L221">
        <f>IF(Table3[[#This Row],[NeedsAttention]]=1,Table3[[#This Row],[End]],Table3[[#This Row],[EndN]])</f>
        <v>29041</v>
      </c>
      <c r="M221" t="b">
        <f>Table3[[#This Row],[Merged.Start]]=L220+1</f>
        <v>1</v>
      </c>
      <c r="O221">
        <f>Table3[[#This Row],[Section]]</f>
        <v>220</v>
      </c>
      <c r="P221">
        <f>Table3[[#This Row],[Canon]]</f>
        <v>2</v>
      </c>
      <c r="Q221" s="1">
        <f>Table3[[#This Row],[Reference]]</f>
        <v>15.33</v>
      </c>
      <c r="R221" t="str">
        <f>Table3[[#This Row],[StartR]]</f>
        <v>MRK 15:33</v>
      </c>
      <c r="S221" t="str">
        <f>Table3[[#This Row],[EndR]]</f>
        <v>MRK 15:33</v>
      </c>
      <c r="T221">
        <f>Table3[[#This Row],[Merged.Start]]</f>
        <v>29029</v>
      </c>
      <c r="U221">
        <f>Table3[[#This Row],[Merged.End]]</f>
        <v>29041</v>
      </c>
    </row>
    <row r="222" spans="1:21" x14ac:dyDescent="0.25">
      <c r="A222">
        <v>221</v>
      </c>
      <c r="B222">
        <v>6</v>
      </c>
      <c r="C222" s="1" t="s">
        <v>1266</v>
      </c>
      <c r="D222" t="s">
        <v>1267</v>
      </c>
      <c r="E222" t="s">
        <v>1268</v>
      </c>
      <c r="F222">
        <v>29042</v>
      </c>
      <c r="G222">
        <v>29076</v>
      </c>
      <c r="H222">
        <v>0</v>
      </c>
      <c r="K222">
        <f>IF(Table3[[#This Row],[NeedsAttention]]=1,Table3[[#This Row],[Start]],Table3[[#This Row],[StartN]])</f>
        <v>29042</v>
      </c>
      <c r="L222">
        <f>IF(Table3[[#This Row],[NeedsAttention]]=1,Table3[[#This Row],[End]],Table3[[#This Row],[EndN]])</f>
        <v>29076</v>
      </c>
      <c r="M222" t="b">
        <f>Table3[[#This Row],[Merged.Start]]=L221+1</f>
        <v>1</v>
      </c>
      <c r="O222">
        <f>Table3[[#This Row],[Section]]</f>
        <v>221</v>
      </c>
      <c r="P222">
        <f>Table3[[#This Row],[Canon]]</f>
        <v>6</v>
      </c>
      <c r="Q222" s="1" t="str">
        <f>Table3[[#This Row],[Reference]]</f>
        <v>15.34-35</v>
      </c>
      <c r="R222" t="str">
        <f>Table3[[#This Row],[StartR]]</f>
        <v>MRK 15:34</v>
      </c>
      <c r="S222" t="str">
        <f>Table3[[#This Row],[EndR]]</f>
        <v>MRK 15:35</v>
      </c>
      <c r="T222">
        <f>Table3[[#This Row],[Merged.Start]]</f>
        <v>29042</v>
      </c>
      <c r="U222">
        <f>Table3[[#This Row],[Merged.End]]</f>
        <v>29076</v>
      </c>
    </row>
    <row r="223" spans="1:21" x14ac:dyDescent="0.25">
      <c r="A223">
        <v>222</v>
      </c>
      <c r="B223">
        <v>2</v>
      </c>
      <c r="C223" s="1">
        <v>15.36</v>
      </c>
      <c r="D223" t="s">
        <v>1269</v>
      </c>
      <c r="E223" t="s">
        <v>1269</v>
      </c>
      <c r="F223">
        <v>29077</v>
      </c>
      <c r="G223">
        <v>29095</v>
      </c>
      <c r="H223">
        <v>0</v>
      </c>
      <c r="K223">
        <f>IF(Table3[[#This Row],[NeedsAttention]]=1,Table3[[#This Row],[Start]],Table3[[#This Row],[StartN]])</f>
        <v>29077</v>
      </c>
      <c r="L223">
        <f>IF(Table3[[#This Row],[NeedsAttention]]=1,Table3[[#This Row],[End]],Table3[[#This Row],[EndN]])</f>
        <v>29095</v>
      </c>
      <c r="M223" t="b">
        <f>Table3[[#This Row],[Merged.Start]]=L222+1</f>
        <v>1</v>
      </c>
      <c r="O223">
        <f>Table3[[#This Row],[Section]]</f>
        <v>222</v>
      </c>
      <c r="P223">
        <f>Table3[[#This Row],[Canon]]</f>
        <v>2</v>
      </c>
      <c r="Q223" s="1">
        <f>Table3[[#This Row],[Reference]]</f>
        <v>15.36</v>
      </c>
      <c r="R223" t="str">
        <f>Table3[[#This Row],[StartR]]</f>
        <v>MRK 15:36</v>
      </c>
      <c r="S223" t="str">
        <f>Table3[[#This Row],[EndR]]</f>
        <v>MRK 15:36</v>
      </c>
      <c r="T223">
        <f>Table3[[#This Row],[Merged.Start]]</f>
        <v>29077</v>
      </c>
      <c r="U223">
        <f>Table3[[#This Row],[Merged.End]]</f>
        <v>29095</v>
      </c>
    </row>
    <row r="224" spans="1:21" x14ac:dyDescent="0.25">
      <c r="A224">
        <v>223</v>
      </c>
      <c r="B224">
        <v>1</v>
      </c>
      <c r="C224" s="1">
        <v>15.37</v>
      </c>
      <c r="D224" t="s">
        <v>1270</v>
      </c>
      <c r="E224" t="s">
        <v>1270</v>
      </c>
      <c r="F224">
        <v>29096</v>
      </c>
      <c r="G224">
        <v>29102</v>
      </c>
      <c r="H224">
        <v>0</v>
      </c>
      <c r="K224">
        <f>IF(Table3[[#This Row],[NeedsAttention]]=1,Table3[[#This Row],[Start]],Table3[[#This Row],[StartN]])</f>
        <v>29096</v>
      </c>
      <c r="L224">
        <f>IF(Table3[[#This Row],[NeedsAttention]]=1,Table3[[#This Row],[End]],Table3[[#This Row],[EndN]])</f>
        <v>29102</v>
      </c>
      <c r="M224" t="b">
        <f>Table3[[#This Row],[Merged.Start]]=L223+1</f>
        <v>1</v>
      </c>
      <c r="O224">
        <f>Table3[[#This Row],[Section]]</f>
        <v>223</v>
      </c>
      <c r="P224">
        <f>Table3[[#This Row],[Canon]]</f>
        <v>1</v>
      </c>
      <c r="Q224" s="1">
        <f>Table3[[#This Row],[Reference]]</f>
        <v>15.37</v>
      </c>
      <c r="R224" t="str">
        <f>Table3[[#This Row],[StartR]]</f>
        <v>MRK 15:37</v>
      </c>
      <c r="S224" t="str">
        <f>Table3[[#This Row],[EndR]]</f>
        <v>MRK 15:37</v>
      </c>
      <c r="T224">
        <f>Table3[[#This Row],[Merged.Start]]</f>
        <v>29096</v>
      </c>
      <c r="U224">
        <f>Table3[[#This Row],[Merged.End]]</f>
        <v>29102</v>
      </c>
    </row>
    <row r="225" spans="1:21" x14ac:dyDescent="0.25">
      <c r="A225">
        <v>224</v>
      </c>
      <c r="B225">
        <v>2</v>
      </c>
      <c r="C225" s="1">
        <v>15.38</v>
      </c>
      <c r="D225" t="s">
        <v>1271</v>
      </c>
      <c r="E225" t="s">
        <v>1271</v>
      </c>
      <c r="F225">
        <v>29103</v>
      </c>
      <c r="G225">
        <v>29114</v>
      </c>
      <c r="H225">
        <v>0</v>
      </c>
      <c r="K225">
        <f>IF(Table3[[#This Row],[NeedsAttention]]=1,Table3[[#This Row],[Start]],Table3[[#This Row],[StartN]])</f>
        <v>29103</v>
      </c>
      <c r="L225">
        <f>IF(Table3[[#This Row],[NeedsAttention]]=1,Table3[[#This Row],[End]],Table3[[#This Row],[EndN]])</f>
        <v>29114</v>
      </c>
      <c r="M225" t="b">
        <f>Table3[[#This Row],[Merged.Start]]=L224+1</f>
        <v>1</v>
      </c>
      <c r="O225">
        <f>Table3[[#This Row],[Section]]</f>
        <v>224</v>
      </c>
      <c r="P225">
        <f>Table3[[#This Row],[Canon]]</f>
        <v>2</v>
      </c>
      <c r="Q225" s="1">
        <f>Table3[[#This Row],[Reference]]</f>
        <v>15.38</v>
      </c>
      <c r="R225" t="str">
        <f>Table3[[#This Row],[StartR]]</f>
        <v>MRK 15:38</v>
      </c>
      <c r="S225" t="str">
        <f>Table3[[#This Row],[EndR]]</f>
        <v>MRK 15:38</v>
      </c>
      <c r="T225">
        <f>Table3[[#This Row],[Merged.Start]]</f>
        <v>29103</v>
      </c>
      <c r="U225">
        <f>Table3[[#This Row],[Merged.End]]</f>
        <v>29114</v>
      </c>
    </row>
    <row r="226" spans="1:21" x14ac:dyDescent="0.25">
      <c r="A226">
        <v>225</v>
      </c>
      <c r="B226">
        <v>2</v>
      </c>
      <c r="C226" s="1">
        <v>15.39</v>
      </c>
      <c r="D226" t="s">
        <v>1272</v>
      </c>
      <c r="E226" t="s">
        <v>1272</v>
      </c>
      <c r="F226">
        <v>29115</v>
      </c>
      <c r="G226">
        <v>29134</v>
      </c>
      <c r="H226">
        <v>0</v>
      </c>
      <c r="K226">
        <f>IF(Table3[[#This Row],[NeedsAttention]]=1,Table3[[#This Row],[Start]],Table3[[#This Row],[StartN]])</f>
        <v>29115</v>
      </c>
      <c r="L226">
        <f>IF(Table3[[#This Row],[NeedsAttention]]=1,Table3[[#This Row],[End]],Table3[[#This Row],[EndN]])</f>
        <v>29134</v>
      </c>
      <c r="M226" t="b">
        <f>Table3[[#This Row],[Merged.Start]]=L225+1</f>
        <v>1</v>
      </c>
      <c r="O226">
        <f>Table3[[#This Row],[Section]]</f>
        <v>225</v>
      </c>
      <c r="P226">
        <f>Table3[[#This Row],[Canon]]</f>
        <v>2</v>
      </c>
      <c r="Q226" s="1">
        <f>Table3[[#This Row],[Reference]]</f>
        <v>15.39</v>
      </c>
      <c r="R226" t="str">
        <f>Table3[[#This Row],[StartR]]</f>
        <v>MRK 15:39</v>
      </c>
      <c r="S226" t="str">
        <f>Table3[[#This Row],[EndR]]</f>
        <v>MRK 15:39</v>
      </c>
      <c r="T226">
        <f>Table3[[#This Row],[Merged.Start]]</f>
        <v>29115</v>
      </c>
      <c r="U226">
        <f>Table3[[#This Row],[Merged.End]]</f>
        <v>29134</v>
      </c>
    </row>
    <row r="227" spans="1:21" x14ac:dyDescent="0.25">
      <c r="A227">
        <v>226</v>
      </c>
      <c r="B227">
        <v>6</v>
      </c>
      <c r="C227" s="1" t="s">
        <v>1273</v>
      </c>
      <c r="D227" t="s">
        <v>1274</v>
      </c>
      <c r="E227" t="s">
        <v>1275</v>
      </c>
      <c r="F227">
        <v>29135</v>
      </c>
      <c r="G227">
        <v>29177</v>
      </c>
      <c r="H227">
        <v>0</v>
      </c>
      <c r="K227">
        <f>IF(Table3[[#This Row],[NeedsAttention]]=1,Table3[[#This Row],[Start]],Table3[[#This Row],[StartN]])</f>
        <v>29135</v>
      </c>
      <c r="L227">
        <f>IF(Table3[[#This Row],[NeedsAttention]]=1,Table3[[#This Row],[End]],Table3[[#This Row],[EndN]])</f>
        <v>29177</v>
      </c>
      <c r="M227" t="b">
        <f>Table3[[#This Row],[Merged.Start]]=L226+1</f>
        <v>1</v>
      </c>
      <c r="O227">
        <f>Table3[[#This Row],[Section]]</f>
        <v>226</v>
      </c>
      <c r="P227">
        <f>Table3[[#This Row],[Canon]]</f>
        <v>6</v>
      </c>
      <c r="Q227" s="1" t="str">
        <f>Table3[[#This Row],[Reference]]</f>
        <v>15.40-41</v>
      </c>
      <c r="R227" t="str">
        <f>Table3[[#This Row],[StartR]]</f>
        <v>MRK 15:40</v>
      </c>
      <c r="S227" t="str">
        <f>Table3[[#This Row],[EndR]]</f>
        <v>MRK 15:41</v>
      </c>
      <c r="T227">
        <f>Table3[[#This Row],[Merged.Start]]</f>
        <v>29135</v>
      </c>
      <c r="U227">
        <f>Table3[[#This Row],[Merged.End]]</f>
        <v>29177</v>
      </c>
    </row>
    <row r="228" spans="1:21" x14ac:dyDescent="0.25">
      <c r="A228">
        <v>227</v>
      </c>
      <c r="B228">
        <v>1</v>
      </c>
      <c r="C228" s="1" t="s">
        <v>1276</v>
      </c>
      <c r="D228" t="s">
        <v>1277</v>
      </c>
      <c r="E228" t="s">
        <v>1278</v>
      </c>
      <c r="F228">
        <v>29178</v>
      </c>
      <c r="G228">
        <v>29240</v>
      </c>
      <c r="H228">
        <v>0</v>
      </c>
      <c r="K228">
        <f>IF(Table3[[#This Row],[NeedsAttention]]=1,Table3[[#This Row],[Start]],Table3[[#This Row],[StartN]])</f>
        <v>29178</v>
      </c>
      <c r="L228">
        <f>IF(Table3[[#This Row],[NeedsAttention]]=1,Table3[[#This Row],[End]],Table3[[#This Row],[EndN]])</f>
        <v>29240</v>
      </c>
      <c r="M228" t="b">
        <f>Table3[[#This Row],[Merged.Start]]=L227+1</f>
        <v>1</v>
      </c>
      <c r="O228">
        <f>Table3[[#This Row],[Section]]</f>
        <v>227</v>
      </c>
      <c r="P228">
        <f>Table3[[#This Row],[Canon]]</f>
        <v>1</v>
      </c>
      <c r="Q228" s="1" t="str">
        <f>Table3[[#This Row],[Reference]]</f>
        <v>15.42-45</v>
      </c>
      <c r="R228" t="str">
        <f>Table3[[#This Row],[StartR]]</f>
        <v>MRK 15:42</v>
      </c>
      <c r="S228" t="str">
        <f>Table3[[#This Row],[EndR]]</f>
        <v>MRK 15:45</v>
      </c>
      <c r="T228">
        <f>Table3[[#This Row],[Merged.Start]]</f>
        <v>29178</v>
      </c>
      <c r="U228">
        <f>Table3[[#This Row],[Merged.End]]</f>
        <v>29240</v>
      </c>
    </row>
    <row r="229" spans="1:21" x14ac:dyDescent="0.25">
      <c r="A229">
        <v>228</v>
      </c>
      <c r="B229">
        <v>1</v>
      </c>
      <c r="C229" s="1">
        <v>15.46</v>
      </c>
      <c r="D229" t="s">
        <v>1279</v>
      </c>
      <c r="E229" t="s">
        <v>1279</v>
      </c>
      <c r="F229">
        <v>29241</v>
      </c>
      <c r="G229">
        <v>29266</v>
      </c>
      <c r="H229">
        <v>0</v>
      </c>
      <c r="K229">
        <f>IF(Table3[[#This Row],[NeedsAttention]]=1,Table3[[#This Row],[Start]],Table3[[#This Row],[StartN]])</f>
        <v>29241</v>
      </c>
      <c r="L229">
        <f>IF(Table3[[#This Row],[NeedsAttention]]=1,Table3[[#This Row],[End]],Table3[[#This Row],[EndN]])</f>
        <v>29266</v>
      </c>
      <c r="M229" t="b">
        <f>Table3[[#This Row],[Merged.Start]]=L228+1</f>
        <v>1</v>
      </c>
      <c r="O229">
        <f>Table3[[#This Row],[Section]]</f>
        <v>228</v>
      </c>
      <c r="P229">
        <f>Table3[[#This Row],[Canon]]</f>
        <v>1</v>
      </c>
      <c r="Q229" s="1">
        <f>Table3[[#This Row],[Reference]]</f>
        <v>15.46</v>
      </c>
      <c r="R229" t="str">
        <f>Table3[[#This Row],[StartR]]</f>
        <v>MRK 15:46</v>
      </c>
      <c r="S229" t="str">
        <f>Table3[[#This Row],[EndR]]</f>
        <v>MRK 15:46</v>
      </c>
      <c r="T229">
        <f>Table3[[#This Row],[Merged.Start]]</f>
        <v>29241</v>
      </c>
      <c r="U229">
        <f>Table3[[#This Row],[Merged.End]]</f>
        <v>29266</v>
      </c>
    </row>
    <row r="230" spans="1:21" x14ac:dyDescent="0.25">
      <c r="A230">
        <v>229</v>
      </c>
      <c r="B230">
        <v>6</v>
      </c>
      <c r="C230" s="1">
        <v>15.47</v>
      </c>
      <c r="D230" t="s">
        <v>1280</v>
      </c>
      <c r="E230" t="s">
        <v>1280</v>
      </c>
      <c r="F230">
        <v>29267</v>
      </c>
      <c r="G230">
        <v>29278</v>
      </c>
      <c r="H230">
        <v>0</v>
      </c>
      <c r="K230">
        <f>IF(Table3[[#This Row],[NeedsAttention]]=1,Table3[[#This Row],[Start]],Table3[[#This Row],[StartN]])</f>
        <v>29267</v>
      </c>
      <c r="L230">
        <f>IF(Table3[[#This Row],[NeedsAttention]]=1,Table3[[#This Row],[End]],Table3[[#This Row],[EndN]])</f>
        <v>29278</v>
      </c>
      <c r="M230" t="b">
        <f>Table3[[#This Row],[Merged.Start]]=L229+1</f>
        <v>1</v>
      </c>
      <c r="O230">
        <f>Table3[[#This Row],[Section]]</f>
        <v>229</v>
      </c>
      <c r="P230">
        <f>Table3[[#This Row],[Canon]]</f>
        <v>6</v>
      </c>
      <c r="Q230" s="1">
        <f>Table3[[#This Row],[Reference]]</f>
        <v>15.47</v>
      </c>
      <c r="R230" t="str">
        <f>Table3[[#This Row],[StartR]]</f>
        <v>MRK 15:47</v>
      </c>
      <c r="S230" t="str">
        <f>Table3[[#This Row],[EndR]]</f>
        <v>MRK 15:47</v>
      </c>
      <c r="T230">
        <f>Table3[[#This Row],[Merged.Start]]</f>
        <v>29267</v>
      </c>
      <c r="U230">
        <f>Table3[[#This Row],[Merged.End]]</f>
        <v>29278</v>
      </c>
    </row>
    <row r="231" spans="1:21" x14ac:dyDescent="0.25">
      <c r="A231">
        <v>230</v>
      </c>
      <c r="B231">
        <v>8</v>
      </c>
      <c r="C231" s="1">
        <v>16.100000000000001</v>
      </c>
      <c r="D231" t="s">
        <v>1281</v>
      </c>
      <c r="E231" t="s">
        <v>1281</v>
      </c>
      <c r="F231">
        <v>29279</v>
      </c>
      <c r="G231">
        <v>29298</v>
      </c>
      <c r="H231">
        <v>0</v>
      </c>
      <c r="K231">
        <f>IF(Table3[[#This Row],[NeedsAttention]]=1,Table3[[#This Row],[Start]],Table3[[#This Row],[StartN]])</f>
        <v>29279</v>
      </c>
      <c r="L231">
        <f>IF(Table3[[#This Row],[NeedsAttention]]=1,Table3[[#This Row],[End]],Table3[[#This Row],[EndN]])</f>
        <v>29298</v>
      </c>
      <c r="M231" t="b">
        <f>Table3[[#This Row],[Merged.Start]]=L230+1</f>
        <v>1</v>
      </c>
      <c r="O231">
        <f>Table3[[#This Row],[Section]]</f>
        <v>230</v>
      </c>
      <c r="P231">
        <f>Table3[[#This Row],[Canon]]</f>
        <v>8</v>
      </c>
      <c r="Q231" s="1">
        <f>Table3[[#This Row],[Reference]]</f>
        <v>16.100000000000001</v>
      </c>
      <c r="R231" t="str">
        <f>Table3[[#This Row],[StartR]]</f>
        <v>MRK 16:1</v>
      </c>
      <c r="S231" t="str">
        <f>Table3[[#This Row],[EndR]]</f>
        <v>MRK 16:1</v>
      </c>
      <c r="T231">
        <f>Table3[[#This Row],[Merged.Start]]</f>
        <v>29279</v>
      </c>
      <c r="U231">
        <f>Table3[[#This Row],[Merged.End]]</f>
        <v>29298</v>
      </c>
    </row>
    <row r="232" spans="1:21" x14ac:dyDescent="0.25">
      <c r="A232">
        <v>231</v>
      </c>
      <c r="B232">
        <v>1</v>
      </c>
      <c r="C232" s="1" t="s">
        <v>1282</v>
      </c>
      <c r="D232" t="s">
        <v>1283</v>
      </c>
      <c r="E232" t="s">
        <v>1284</v>
      </c>
      <c r="F232">
        <v>29299</v>
      </c>
      <c r="G232">
        <v>29353</v>
      </c>
      <c r="H232">
        <v>0</v>
      </c>
      <c r="K232">
        <f>IF(Table3[[#This Row],[NeedsAttention]]=1,Table3[[#This Row],[Start]],Table3[[#This Row],[StartN]])</f>
        <v>29299</v>
      </c>
      <c r="L232">
        <f>IF(Table3[[#This Row],[NeedsAttention]]=1,Table3[[#This Row],[End]],Table3[[#This Row],[EndN]])</f>
        <v>29353</v>
      </c>
      <c r="M232" t="b">
        <f>Table3[[#This Row],[Merged.Start]]=L231+1</f>
        <v>1</v>
      </c>
      <c r="O232">
        <f>Table3[[#This Row],[Section]]</f>
        <v>231</v>
      </c>
      <c r="P232">
        <f>Table3[[#This Row],[Canon]]</f>
        <v>1</v>
      </c>
      <c r="Q232" s="1" t="str">
        <f>Table3[[#This Row],[Reference]]</f>
        <v>16.2-5</v>
      </c>
      <c r="R232" t="str">
        <f>Table3[[#This Row],[StartR]]</f>
        <v>MRK 16:2</v>
      </c>
      <c r="S232" t="str">
        <f>Table3[[#This Row],[EndR]]</f>
        <v>MRK 16:5</v>
      </c>
      <c r="T232">
        <f>Table3[[#This Row],[Merged.Start]]</f>
        <v>29299</v>
      </c>
      <c r="U232">
        <f>Table3[[#This Row],[Merged.End]]</f>
        <v>29353</v>
      </c>
    </row>
    <row r="233" spans="1:21" x14ac:dyDescent="0.25">
      <c r="A233">
        <v>232</v>
      </c>
      <c r="B233">
        <v>2</v>
      </c>
      <c r="C233" s="1" t="s">
        <v>1285</v>
      </c>
      <c r="D233" t="s">
        <v>1286</v>
      </c>
      <c r="E233" t="s">
        <v>1287</v>
      </c>
      <c r="F233">
        <v>29354</v>
      </c>
      <c r="G233">
        <v>29396</v>
      </c>
      <c r="H233">
        <v>0</v>
      </c>
      <c r="K233">
        <f>IF(Table3[[#This Row],[NeedsAttention]]=1,Table3[[#This Row],[Start]],Table3[[#This Row],[StartN]])</f>
        <v>29354</v>
      </c>
      <c r="L233">
        <f>IF(Table3[[#This Row],[NeedsAttention]]=1,Table3[[#This Row],[End]],Table3[[#This Row],[EndN]])</f>
        <v>29396</v>
      </c>
      <c r="M233" t="b">
        <f>Table3[[#This Row],[Merged.Start]]=L232+1</f>
        <v>1</v>
      </c>
      <c r="O233">
        <f>Table3[[#This Row],[Section]]</f>
        <v>232</v>
      </c>
      <c r="P233">
        <f>Table3[[#This Row],[Canon]]</f>
        <v>2</v>
      </c>
      <c r="Q233" s="1" t="str">
        <f>Table3[[#This Row],[Reference]]</f>
        <v>16.6-7</v>
      </c>
      <c r="R233" t="str">
        <f>Table3[[#This Row],[StartR]]</f>
        <v>MRK 16:6</v>
      </c>
      <c r="S233" t="str">
        <f>Table3[[#This Row],[EndR]]</f>
        <v>MRK 16:7</v>
      </c>
      <c r="T233">
        <f>Table3[[#This Row],[Merged.Start]]</f>
        <v>29354</v>
      </c>
      <c r="U233">
        <f>Table3[[#This Row],[Merged.End]]</f>
        <v>29396</v>
      </c>
    </row>
    <row r="234" spans="1:21" x14ac:dyDescent="0.25">
      <c r="A234">
        <v>233</v>
      </c>
      <c r="B234">
        <v>2</v>
      </c>
      <c r="C234" s="1">
        <v>16.8</v>
      </c>
      <c r="D234" t="s">
        <v>1288</v>
      </c>
      <c r="E234" t="s">
        <v>1288</v>
      </c>
      <c r="F234">
        <v>29397</v>
      </c>
      <c r="G234">
        <v>29448</v>
      </c>
      <c r="H234">
        <v>0</v>
      </c>
      <c r="K234">
        <f>IF(Table3[[#This Row],[NeedsAttention]]=1,Table3[[#This Row],[Start]],Table3[[#This Row],[StartN]])</f>
        <v>29397</v>
      </c>
      <c r="L234">
        <f>IF(Table3[[#This Row],[NeedsAttention]]=1,Table3[[#This Row],[End]],Table3[[#This Row],[EndN]])</f>
        <v>29448</v>
      </c>
      <c r="M234" t="b">
        <f>Table3[[#This Row],[Merged.Start]]=L233+1</f>
        <v>1</v>
      </c>
      <c r="O234">
        <f>Table3[[#This Row],[Section]]</f>
        <v>233</v>
      </c>
      <c r="P234">
        <f>Table3[[#This Row],[Canon]]</f>
        <v>2</v>
      </c>
      <c r="Q234" s="1">
        <f>Table3[[#This Row],[Reference]]</f>
        <v>16.8</v>
      </c>
      <c r="R234" t="str">
        <f>Table3[[#This Row],[StartR]]</f>
        <v>MRK 16:8</v>
      </c>
      <c r="S234" t="str">
        <f>Table3[[#This Row],[EndR]]</f>
        <v>MRK 16:8</v>
      </c>
      <c r="T234">
        <f>Table3[[#This Row],[Merged.Start]]</f>
        <v>29397</v>
      </c>
      <c r="U234">
        <f>Table3[[#This Row],[Merged.End]]</f>
        <v>29448</v>
      </c>
    </row>
    <row r="235" spans="1:21" x14ac:dyDescent="0.25">
      <c r="A235">
        <v>234</v>
      </c>
      <c r="B235">
        <v>0</v>
      </c>
      <c r="C235" s="1">
        <v>16.899999999999999</v>
      </c>
      <c r="D235" t="s">
        <v>1289</v>
      </c>
      <c r="E235" t="s">
        <v>1289</v>
      </c>
      <c r="F235">
        <v>29449</v>
      </c>
      <c r="G235">
        <v>29463</v>
      </c>
      <c r="H235">
        <v>0</v>
      </c>
      <c r="K235">
        <f>IF(Table3[[#This Row],[NeedsAttention]]=1,Table3[[#This Row],[Start]],Table3[[#This Row],[StartN]])</f>
        <v>29449</v>
      </c>
      <c r="L235">
        <f>IF(Table3[[#This Row],[NeedsAttention]]=1,Table3[[#This Row],[End]],Table3[[#This Row],[EndN]])</f>
        <v>29463</v>
      </c>
      <c r="M235" t="b">
        <f>Table3[[#This Row],[Merged.Start]]=L234+1</f>
        <v>1</v>
      </c>
      <c r="O235">
        <f>Table3[[#This Row],[Section]]</f>
        <v>234</v>
      </c>
      <c r="P235">
        <f>Table3[[#This Row],[Canon]]</f>
        <v>0</v>
      </c>
      <c r="Q235" s="1">
        <f>Table3[[#This Row],[Reference]]</f>
        <v>16.899999999999999</v>
      </c>
      <c r="R235" t="str">
        <f>Table3[[#This Row],[StartR]]</f>
        <v>MRK 16:9</v>
      </c>
      <c r="S235" t="str">
        <f>Table3[[#This Row],[EndR]]</f>
        <v>MRK 16:9</v>
      </c>
      <c r="T235">
        <f>Table3[[#This Row],[Merged.Start]]</f>
        <v>29449</v>
      </c>
      <c r="U235">
        <f>Table3[[#This Row],[Merged.End]]</f>
        <v>29463</v>
      </c>
    </row>
    <row r="236" spans="1:21" x14ac:dyDescent="0.25">
      <c r="A236">
        <v>235</v>
      </c>
      <c r="B236">
        <v>0</v>
      </c>
      <c r="C236" s="1" t="s">
        <v>1290</v>
      </c>
      <c r="D236" t="s">
        <v>1291</v>
      </c>
      <c r="E236" t="s">
        <v>1292</v>
      </c>
      <c r="F236">
        <v>29464</v>
      </c>
      <c r="G236">
        <v>29482</v>
      </c>
      <c r="H236">
        <v>0</v>
      </c>
      <c r="K236">
        <f>IF(Table3[[#This Row],[NeedsAttention]]=1,Table3[[#This Row],[Start]],Table3[[#This Row],[StartN]])</f>
        <v>29464</v>
      </c>
      <c r="L236">
        <f>IF(Table3[[#This Row],[NeedsAttention]]=1,Table3[[#This Row],[End]],Table3[[#This Row],[EndN]])</f>
        <v>29482</v>
      </c>
      <c r="M236" t="b">
        <f>Table3[[#This Row],[Merged.Start]]=L235+1</f>
        <v>1</v>
      </c>
      <c r="O236">
        <f>Table3[[#This Row],[Section]]</f>
        <v>235</v>
      </c>
      <c r="P236">
        <f>Table3[[#This Row],[Canon]]</f>
        <v>0</v>
      </c>
      <c r="Q236" s="1" t="str">
        <f>Table3[[#This Row],[Reference]]</f>
        <v>16.10-11</v>
      </c>
      <c r="R236" t="str">
        <f>Table3[[#This Row],[StartR]]</f>
        <v>MRK 16:10</v>
      </c>
      <c r="S236" t="str">
        <f>Table3[[#This Row],[EndR]]</f>
        <v>MRK 16:11</v>
      </c>
      <c r="T236">
        <f>Table3[[#This Row],[Merged.Start]]</f>
        <v>29464</v>
      </c>
      <c r="U236">
        <f>Table3[[#This Row],[Merged.End]]</f>
        <v>29482</v>
      </c>
    </row>
    <row r="237" spans="1:21" x14ac:dyDescent="0.25">
      <c r="A237">
        <v>236</v>
      </c>
      <c r="B237">
        <v>0</v>
      </c>
      <c r="C237" s="1" t="s">
        <v>1293</v>
      </c>
      <c r="D237" t="s">
        <v>1294</v>
      </c>
      <c r="E237" t="s">
        <v>1295</v>
      </c>
      <c r="F237">
        <v>29483</v>
      </c>
      <c r="G237">
        <v>29504</v>
      </c>
      <c r="H237">
        <v>0</v>
      </c>
      <c r="K237">
        <f>IF(Table3[[#This Row],[NeedsAttention]]=1,Table3[[#This Row],[Start]],Table3[[#This Row],[StartN]])</f>
        <v>29483</v>
      </c>
      <c r="L237">
        <f>IF(Table3[[#This Row],[NeedsAttention]]=1,Table3[[#This Row],[End]],Table3[[#This Row],[EndN]])</f>
        <v>29504</v>
      </c>
      <c r="M237" t="b">
        <f>Table3[[#This Row],[Merged.Start]]=L236+1</f>
        <v>1</v>
      </c>
      <c r="O237">
        <f>Table3[[#This Row],[Section]]</f>
        <v>236</v>
      </c>
      <c r="P237">
        <f>Table3[[#This Row],[Canon]]</f>
        <v>0</v>
      </c>
      <c r="Q237" s="1" t="str">
        <f>Table3[[#This Row],[Reference]]</f>
        <v>16.12-13</v>
      </c>
      <c r="R237" t="str">
        <f>Table3[[#This Row],[StartR]]</f>
        <v>MRK 16:12</v>
      </c>
      <c r="S237" t="str">
        <f>Table3[[#This Row],[EndR]]</f>
        <v>MRK 16:13</v>
      </c>
      <c r="T237">
        <f>Table3[[#This Row],[Merged.Start]]</f>
        <v>29483</v>
      </c>
      <c r="U237">
        <f>Table3[[#This Row],[Merged.End]]</f>
        <v>29504</v>
      </c>
    </row>
    <row r="238" spans="1:21" x14ac:dyDescent="0.25">
      <c r="A238">
        <v>237</v>
      </c>
      <c r="B238">
        <v>0</v>
      </c>
      <c r="C238" s="1">
        <v>16.14</v>
      </c>
      <c r="D238" t="s">
        <v>1296</v>
      </c>
      <c r="E238" t="s">
        <v>1296</v>
      </c>
      <c r="F238">
        <v>29505</v>
      </c>
      <c r="G238">
        <v>29525</v>
      </c>
      <c r="H238">
        <v>0</v>
      </c>
      <c r="K238">
        <f>IF(Table3[[#This Row],[NeedsAttention]]=1,Table3[[#This Row],[Start]],Table3[[#This Row],[StartN]])</f>
        <v>29505</v>
      </c>
      <c r="L238">
        <f>IF(Table3[[#This Row],[NeedsAttention]]=1,Table3[[#This Row],[End]],Table3[[#This Row],[EndN]])</f>
        <v>29525</v>
      </c>
      <c r="M238" t="b">
        <f>Table3[[#This Row],[Merged.Start]]=L237+1</f>
        <v>1</v>
      </c>
      <c r="O238">
        <f>Table3[[#This Row],[Section]]</f>
        <v>237</v>
      </c>
      <c r="P238">
        <f>Table3[[#This Row],[Canon]]</f>
        <v>0</v>
      </c>
      <c r="Q238" s="1">
        <f>Table3[[#This Row],[Reference]]</f>
        <v>16.14</v>
      </c>
      <c r="R238" t="str">
        <f>Table3[[#This Row],[StartR]]</f>
        <v>MRK 16:14</v>
      </c>
      <c r="S238" t="str">
        <f>Table3[[#This Row],[EndR]]</f>
        <v>MRK 16:14</v>
      </c>
      <c r="T238">
        <f>Table3[[#This Row],[Merged.Start]]</f>
        <v>29505</v>
      </c>
      <c r="U238">
        <f>Table3[[#This Row],[Merged.End]]</f>
        <v>29525</v>
      </c>
    </row>
    <row r="239" spans="1:21" x14ac:dyDescent="0.25">
      <c r="A239">
        <v>238</v>
      </c>
      <c r="B239">
        <v>0</v>
      </c>
      <c r="C239" s="1" t="s">
        <v>1297</v>
      </c>
      <c r="D239" t="s">
        <v>1298</v>
      </c>
      <c r="E239" t="s">
        <v>1299</v>
      </c>
      <c r="F239">
        <v>29526</v>
      </c>
      <c r="G239">
        <v>29548</v>
      </c>
      <c r="H239">
        <v>0</v>
      </c>
      <c r="K239">
        <f>IF(Table3[[#This Row],[NeedsAttention]]=1,Table3[[#This Row],[Start]],Table3[[#This Row],[StartN]])</f>
        <v>29526</v>
      </c>
      <c r="L239">
        <f>IF(Table3[[#This Row],[NeedsAttention]]=1,Table3[[#This Row],[End]],Table3[[#This Row],[EndN]])</f>
        <v>29548</v>
      </c>
      <c r="M239" t="b">
        <f>Table3[[#This Row],[Merged.Start]]=L238+1</f>
        <v>1</v>
      </c>
      <c r="O239">
        <f>Table3[[#This Row],[Section]]</f>
        <v>238</v>
      </c>
      <c r="P239">
        <f>Table3[[#This Row],[Canon]]</f>
        <v>0</v>
      </c>
      <c r="Q239" s="1" t="str">
        <f>Table3[[#This Row],[Reference]]</f>
        <v>16.15-16</v>
      </c>
      <c r="R239" t="str">
        <f>Table3[[#This Row],[StartR]]</f>
        <v>MRK 16:15</v>
      </c>
      <c r="S239" t="str">
        <f>Table3[[#This Row],[EndR]]</f>
        <v>MRK 16:16</v>
      </c>
      <c r="T239">
        <f>Table3[[#This Row],[Merged.Start]]</f>
        <v>29526</v>
      </c>
      <c r="U239">
        <f>Table3[[#This Row],[Merged.End]]</f>
        <v>29548</v>
      </c>
    </row>
    <row r="240" spans="1:21" x14ac:dyDescent="0.25">
      <c r="A240">
        <v>239</v>
      </c>
      <c r="B240">
        <v>0</v>
      </c>
      <c r="C240" s="1" t="s">
        <v>1300</v>
      </c>
      <c r="D240" t="s">
        <v>1301</v>
      </c>
      <c r="E240" t="s">
        <v>1302</v>
      </c>
      <c r="F240">
        <v>29549</v>
      </c>
      <c r="G240">
        <v>29580</v>
      </c>
      <c r="H240">
        <v>0</v>
      </c>
      <c r="K240">
        <f>IF(Table3[[#This Row],[NeedsAttention]]=1,Table3[[#This Row],[Start]],Table3[[#This Row],[StartN]])</f>
        <v>29549</v>
      </c>
      <c r="L240">
        <f>IF(Table3[[#This Row],[NeedsAttention]]=1,Table3[[#This Row],[End]],Table3[[#This Row],[EndN]])</f>
        <v>29580</v>
      </c>
      <c r="M240" t="b">
        <f>Table3[[#This Row],[Merged.Start]]=L239+1</f>
        <v>1</v>
      </c>
      <c r="O240">
        <f>Table3[[#This Row],[Section]]</f>
        <v>239</v>
      </c>
      <c r="P240">
        <f>Table3[[#This Row],[Canon]]</f>
        <v>0</v>
      </c>
      <c r="Q240" s="1" t="str">
        <f>Table3[[#This Row],[Reference]]</f>
        <v>16.17-18</v>
      </c>
      <c r="R240" t="str">
        <f>Table3[[#This Row],[StartR]]</f>
        <v>MRK 16:17</v>
      </c>
      <c r="S240" t="str">
        <f>Table3[[#This Row],[EndR]]</f>
        <v>MRK 16:18</v>
      </c>
      <c r="T240">
        <f>Table3[[#This Row],[Merged.Start]]</f>
        <v>29549</v>
      </c>
      <c r="U240">
        <f>Table3[[#This Row],[Merged.End]]</f>
        <v>29580</v>
      </c>
    </row>
    <row r="241" spans="1:21" x14ac:dyDescent="0.25">
      <c r="A241">
        <v>240</v>
      </c>
      <c r="B241">
        <v>0</v>
      </c>
      <c r="C241" s="1">
        <v>16.190000000000001</v>
      </c>
      <c r="D241" t="s">
        <v>1303</v>
      </c>
      <c r="E241" t="s">
        <v>1303</v>
      </c>
      <c r="F241">
        <v>29581</v>
      </c>
      <c r="G241">
        <v>29599</v>
      </c>
      <c r="H241">
        <v>0</v>
      </c>
      <c r="K241">
        <f>IF(Table3[[#This Row],[NeedsAttention]]=1,Table3[[#This Row],[Start]],Table3[[#This Row],[StartN]])</f>
        <v>29581</v>
      </c>
      <c r="L241">
        <f>IF(Table3[[#This Row],[NeedsAttention]]=1,Table3[[#This Row],[End]],Table3[[#This Row],[EndN]])</f>
        <v>29599</v>
      </c>
      <c r="M241" t="b">
        <f>Table3[[#This Row],[Merged.Start]]=L240+1</f>
        <v>1</v>
      </c>
      <c r="O241">
        <f>Table3[[#This Row],[Section]]</f>
        <v>240</v>
      </c>
      <c r="P241">
        <f>Table3[[#This Row],[Canon]]</f>
        <v>0</v>
      </c>
      <c r="Q241" s="1">
        <f>Table3[[#This Row],[Reference]]</f>
        <v>16.190000000000001</v>
      </c>
      <c r="R241" t="str">
        <f>Table3[[#This Row],[StartR]]</f>
        <v>MRK 16:19</v>
      </c>
      <c r="S241" t="str">
        <f>Table3[[#This Row],[EndR]]</f>
        <v>MRK 16:19</v>
      </c>
      <c r="T241">
        <f>Table3[[#This Row],[Merged.Start]]</f>
        <v>29581</v>
      </c>
      <c r="U241">
        <f>Table3[[#This Row],[Merged.End]]</f>
        <v>29599</v>
      </c>
    </row>
    <row r="242" spans="1:21" x14ac:dyDescent="0.25">
      <c r="A242">
        <v>241</v>
      </c>
      <c r="B242">
        <v>0</v>
      </c>
      <c r="C242" s="1">
        <v>16.2</v>
      </c>
      <c r="D242" t="s">
        <v>1304</v>
      </c>
      <c r="E242" t="s">
        <v>1304</v>
      </c>
      <c r="F242">
        <v>29600</v>
      </c>
      <c r="G242">
        <v>29615</v>
      </c>
      <c r="H242">
        <v>0</v>
      </c>
      <c r="K242">
        <f>IF(Table3[[#This Row],[NeedsAttention]]=1,Table3[[#This Row],[Start]],Table3[[#This Row],[StartN]])</f>
        <v>29600</v>
      </c>
      <c r="L242">
        <f>IF(Table3[[#This Row],[NeedsAttention]]=1,Table3[[#This Row],[End]],Table3[[#This Row],[EndN]])</f>
        <v>29615</v>
      </c>
      <c r="M242" t="b">
        <f>Table3[[#This Row],[Merged.Start]]=L241+1</f>
        <v>1</v>
      </c>
      <c r="O242">
        <f>Table3[[#This Row],[Section]]</f>
        <v>241</v>
      </c>
      <c r="P242">
        <f>Table3[[#This Row],[Canon]]</f>
        <v>0</v>
      </c>
      <c r="Q242" s="1">
        <f>Table3[[#This Row],[Reference]]</f>
        <v>16.2</v>
      </c>
      <c r="R242" t="str">
        <f>Table3[[#This Row],[StartR]]</f>
        <v>MRK 16:20</v>
      </c>
      <c r="S242" t="str">
        <f>Table3[[#This Row],[EndR]]</f>
        <v>MRK 16:20</v>
      </c>
      <c r="T242">
        <f>Table3[[#This Row],[Merged.Start]]</f>
        <v>29600</v>
      </c>
      <c r="U242">
        <f>Table3[[#This Row],[Merged.End]]</f>
        <v>29615</v>
      </c>
    </row>
  </sheetData>
  <phoneticPr fontId="2" type="noConversion"/>
  <conditionalFormatting sqref="M2">
    <cfRule type="cellIs" dxfId="6" priority="2" operator="equal">
      <formula>FALSE</formula>
    </cfRule>
  </conditionalFormatting>
  <conditionalFormatting sqref="M3:M242">
    <cfRule type="cellIs" dxfId="5" priority="1" operator="equal">
      <formula>FALSE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F403F-376A-49CB-BB87-6234C2499405}">
  <dimension ref="A1:U343"/>
  <sheetViews>
    <sheetView topLeftCell="A318" workbookViewId="0">
      <selection activeCell="O2" sqref="O2:U343"/>
    </sheetView>
  </sheetViews>
  <sheetFormatPr defaultRowHeight="15" x14ac:dyDescent="0.25"/>
  <cols>
    <col min="1" max="1" width="9.7109375" customWidth="1"/>
    <col min="3" max="3" width="12.28515625" customWidth="1"/>
    <col min="8" max="8" width="17.42578125" customWidth="1"/>
    <col min="11" max="13" width="9.140625" customWidth="1"/>
  </cols>
  <sheetData>
    <row r="1" spans="1:21" x14ac:dyDescent="0.25">
      <c r="A1" t="s">
        <v>0</v>
      </c>
      <c r="B1" t="s">
        <v>1</v>
      </c>
      <c r="C1" t="s">
        <v>799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2498</v>
      </c>
      <c r="J1" t="s">
        <v>2499</v>
      </c>
      <c r="K1" t="s">
        <v>2500</v>
      </c>
      <c r="L1" t="s">
        <v>2501</v>
      </c>
      <c r="M1" t="s">
        <v>2502</v>
      </c>
    </row>
    <row r="2" spans="1:21" x14ac:dyDescent="0.25">
      <c r="A2">
        <v>1</v>
      </c>
      <c r="B2">
        <v>1</v>
      </c>
      <c r="C2" t="s">
        <v>1305</v>
      </c>
      <c r="D2" t="s">
        <v>1306</v>
      </c>
      <c r="E2" t="s">
        <v>1307</v>
      </c>
      <c r="F2">
        <v>29616</v>
      </c>
      <c r="G2">
        <v>30170</v>
      </c>
      <c r="H2">
        <v>0</v>
      </c>
      <c r="K2">
        <f>IF(Table4[[#This Row],[NeedsAttention]]=1,Table4[[#This Row],[Start]],Table4[[#This Row],[StartN]])</f>
        <v>29616</v>
      </c>
      <c r="L2">
        <f>IF(Table4[[#This Row],[NeedsAttention]]=1,Table4[[#This Row],[End]],Table4[[#This Row],[EndN]])</f>
        <v>30170</v>
      </c>
      <c r="O2">
        <f>Table4[[#This Row],[Section]]</f>
        <v>1</v>
      </c>
      <c r="P2">
        <f>Table4[[#This Row],[Canon]]</f>
        <v>1</v>
      </c>
      <c r="Q2" s="1" t="str">
        <f>Table4[[#This Row],[Reference]]</f>
        <v>1.1-34</v>
      </c>
      <c r="R2" t="str">
        <f>Table4[[#This Row],[StartR]]</f>
        <v>LUK 1:1</v>
      </c>
      <c r="S2" t="str">
        <f>Table4[[#This Row],[EndR]]</f>
        <v>LUK 1:34</v>
      </c>
      <c r="T2">
        <f>Table4[[#This Row],[Merged.Start]]</f>
        <v>29616</v>
      </c>
      <c r="U2">
        <f>Table4[[#This Row],[Merged.End]]</f>
        <v>30170</v>
      </c>
    </row>
    <row r="3" spans="1:21" x14ac:dyDescent="0.25">
      <c r="A3">
        <v>2</v>
      </c>
      <c r="B3">
        <v>5</v>
      </c>
      <c r="C3">
        <v>1.35</v>
      </c>
      <c r="D3" t="s">
        <v>1308</v>
      </c>
      <c r="E3" t="s">
        <v>1308</v>
      </c>
      <c r="F3">
        <v>30171</v>
      </c>
      <c r="G3">
        <v>30194</v>
      </c>
      <c r="H3">
        <v>0</v>
      </c>
      <c r="K3">
        <f>IF(Table4[[#This Row],[NeedsAttention]]=1,Table4[[#This Row],[Start]],Table4[[#This Row],[StartN]])</f>
        <v>30171</v>
      </c>
      <c r="L3">
        <f>IF(Table4[[#This Row],[NeedsAttention]]=1,Table4[[#This Row],[End]],Table4[[#This Row],[EndN]])</f>
        <v>30194</v>
      </c>
      <c r="M3" t="b">
        <f>Table4[[#This Row],[Merged.Start]]=L2+1</f>
        <v>1</v>
      </c>
      <c r="O3">
        <f>Table4[[#This Row],[Section]]</f>
        <v>2</v>
      </c>
      <c r="P3">
        <f>Table4[[#This Row],[Canon]]</f>
        <v>5</v>
      </c>
      <c r="Q3" s="1">
        <f>Table4[[#This Row],[Reference]]</f>
        <v>1.35</v>
      </c>
      <c r="R3" t="str">
        <f>Table4[[#This Row],[StartR]]</f>
        <v>LUK 1:35</v>
      </c>
      <c r="S3" t="str">
        <f>Table4[[#This Row],[EndR]]</f>
        <v>LUK 1:35</v>
      </c>
      <c r="T3">
        <f>Table4[[#This Row],[Merged.Start]]</f>
        <v>30171</v>
      </c>
      <c r="U3">
        <f>Table4[[#This Row],[Merged.End]]</f>
        <v>30194</v>
      </c>
    </row>
    <row r="4" spans="1:21" x14ac:dyDescent="0.25">
      <c r="A4">
        <v>3</v>
      </c>
      <c r="B4">
        <v>10</v>
      </c>
      <c r="C4" t="s">
        <v>1309</v>
      </c>
      <c r="D4" t="s">
        <v>1310</v>
      </c>
      <c r="E4" t="s">
        <v>1311</v>
      </c>
      <c r="F4">
        <v>30195</v>
      </c>
      <c r="G4">
        <v>31547</v>
      </c>
      <c r="H4">
        <v>0</v>
      </c>
      <c r="K4">
        <f>IF(Table4[[#This Row],[NeedsAttention]]=1,Table4[[#This Row],[Start]],Table4[[#This Row],[StartN]])</f>
        <v>30195</v>
      </c>
      <c r="L4">
        <f>IF(Table4[[#This Row],[NeedsAttention]]=1,Table4[[#This Row],[End]],Table4[[#This Row],[EndN]])</f>
        <v>31547</v>
      </c>
      <c r="M4" t="b">
        <f>Table4[[#This Row],[Merged.Start]]=L3+1</f>
        <v>1</v>
      </c>
      <c r="O4">
        <f>Table4[[#This Row],[Section]]</f>
        <v>3</v>
      </c>
      <c r="P4">
        <f>Table4[[#This Row],[Canon]]</f>
        <v>10</v>
      </c>
      <c r="Q4" s="1" t="str">
        <f>Table4[[#This Row],[Reference]]</f>
        <v>1.36-2.46</v>
      </c>
      <c r="R4" t="str">
        <f>Table4[[#This Row],[StartR]]</f>
        <v>LUK 1:36</v>
      </c>
      <c r="S4" t="str">
        <f>Table4[[#This Row],[EndR]]</f>
        <v>LUK 2:46</v>
      </c>
      <c r="T4">
        <f>Table4[[#This Row],[Merged.Start]]</f>
        <v>30195</v>
      </c>
      <c r="U4">
        <f>Table4[[#This Row],[Merged.End]]</f>
        <v>31547</v>
      </c>
    </row>
    <row r="5" spans="1:21" x14ac:dyDescent="0.25">
      <c r="A5">
        <v>4</v>
      </c>
      <c r="B5">
        <v>2</v>
      </c>
      <c r="C5" t="s">
        <v>1312</v>
      </c>
      <c r="D5" t="s">
        <v>1313</v>
      </c>
      <c r="E5" t="s">
        <v>1314</v>
      </c>
      <c r="F5">
        <v>31548</v>
      </c>
      <c r="G5">
        <v>31585</v>
      </c>
      <c r="H5">
        <v>1</v>
      </c>
      <c r="I5">
        <v>31548</v>
      </c>
      <c r="J5">
        <v>31564</v>
      </c>
      <c r="K5">
        <f>IF(Table4[[#This Row],[NeedsAttention]]=1,Table4[[#This Row],[Start]],Table4[[#This Row],[StartN]])</f>
        <v>31548</v>
      </c>
      <c r="L5">
        <f>IF(Table4[[#This Row],[NeedsAttention]]=1,Table4[[#This Row],[End]],Table4[[#This Row],[EndN]])</f>
        <v>31564</v>
      </c>
      <c r="M5" t="b">
        <f>Table4[[#This Row],[Merged.Start]]=L4+1</f>
        <v>1</v>
      </c>
      <c r="O5">
        <f>Table4[[#This Row],[Section]]</f>
        <v>4</v>
      </c>
      <c r="P5">
        <f>Table4[[#This Row],[Canon]]</f>
        <v>2</v>
      </c>
      <c r="Q5" s="1" t="str">
        <f>Table4[[#This Row],[Reference]]</f>
        <v>2.47-48A</v>
      </c>
      <c r="R5" t="str">
        <f>Table4[[#This Row],[StartR]]</f>
        <v>LUK 2:47</v>
      </c>
      <c r="S5" t="str">
        <f>Table4[[#This Row],[EndR]]</f>
        <v>LUK 2:48</v>
      </c>
      <c r="T5">
        <f>Table4[[#This Row],[Merged.Start]]</f>
        <v>31548</v>
      </c>
      <c r="U5">
        <f>Table4[[#This Row],[Merged.End]]</f>
        <v>31564</v>
      </c>
    </row>
    <row r="6" spans="1:21" x14ac:dyDescent="0.25">
      <c r="A6">
        <v>5</v>
      </c>
      <c r="B6">
        <v>10</v>
      </c>
      <c r="C6" t="s">
        <v>1315</v>
      </c>
      <c r="D6" t="s">
        <v>1314</v>
      </c>
      <c r="E6" t="s">
        <v>1316</v>
      </c>
      <c r="F6">
        <v>31561</v>
      </c>
      <c r="G6">
        <v>31650</v>
      </c>
      <c r="H6">
        <v>1</v>
      </c>
      <c r="I6">
        <v>31565</v>
      </c>
      <c r="J6">
        <v>31650</v>
      </c>
      <c r="K6">
        <f>IF(Table4[[#This Row],[NeedsAttention]]=1,Table4[[#This Row],[Start]],Table4[[#This Row],[StartN]])</f>
        <v>31565</v>
      </c>
      <c r="L6">
        <f>IF(Table4[[#This Row],[NeedsAttention]]=1,Table4[[#This Row],[End]],Table4[[#This Row],[EndN]])</f>
        <v>31650</v>
      </c>
      <c r="M6" t="b">
        <f>Table4[[#This Row],[Merged.Start]]=L5+1</f>
        <v>1</v>
      </c>
      <c r="O6">
        <f>Table4[[#This Row],[Section]]</f>
        <v>5</v>
      </c>
      <c r="P6">
        <f>Table4[[#This Row],[Canon]]</f>
        <v>10</v>
      </c>
      <c r="Q6" s="1" t="str">
        <f>Table4[[#This Row],[Reference]]</f>
        <v>2.48B-52</v>
      </c>
      <c r="R6" t="str">
        <f>Table4[[#This Row],[StartR]]</f>
        <v>LUK 2:48</v>
      </c>
      <c r="S6" t="str">
        <f>Table4[[#This Row],[EndR]]</f>
        <v>LUK 2:52</v>
      </c>
      <c r="T6">
        <f>Table4[[#This Row],[Merged.Start]]</f>
        <v>31565</v>
      </c>
      <c r="U6">
        <f>Table4[[#This Row],[Merged.End]]</f>
        <v>31650</v>
      </c>
    </row>
    <row r="7" spans="1:21" x14ac:dyDescent="0.25">
      <c r="A7">
        <v>6</v>
      </c>
      <c r="B7">
        <v>3</v>
      </c>
      <c r="C7" t="s">
        <v>21</v>
      </c>
      <c r="D7" t="s">
        <v>1317</v>
      </c>
      <c r="E7" t="s">
        <v>1318</v>
      </c>
      <c r="F7">
        <v>31651</v>
      </c>
      <c r="G7">
        <v>31700</v>
      </c>
      <c r="H7">
        <v>0</v>
      </c>
      <c r="K7">
        <f>IF(Table4[[#This Row],[NeedsAttention]]=1,Table4[[#This Row],[Start]],Table4[[#This Row],[StartN]])</f>
        <v>31651</v>
      </c>
      <c r="L7">
        <f>IF(Table4[[#This Row],[NeedsAttention]]=1,Table4[[#This Row],[End]],Table4[[#This Row],[EndN]])</f>
        <v>31700</v>
      </c>
      <c r="M7" t="b">
        <f>Table4[[#This Row],[Merged.Start]]=L6+1</f>
        <v>1</v>
      </c>
      <c r="O7">
        <f>Table4[[#This Row],[Section]]</f>
        <v>6</v>
      </c>
      <c r="P7">
        <f>Table4[[#This Row],[Canon]]</f>
        <v>3</v>
      </c>
      <c r="Q7" s="1" t="str">
        <f>Table4[[#This Row],[Reference]]</f>
        <v>3.1-2</v>
      </c>
      <c r="R7" t="str">
        <f>Table4[[#This Row],[StartR]]</f>
        <v>LUK 3:1</v>
      </c>
      <c r="S7" t="str">
        <f>Table4[[#This Row],[EndR]]</f>
        <v>LUK 3:2</v>
      </c>
      <c r="T7">
        <f>Table4[[#This Row],[Merged.Start]]</f>
        <v>31651</v>
      </c>
      <c r="U7">
        <f>Table4[[#This Row],[Merged.End]]</f>
        <v>31700</v>
      </c>
    </row>
    <row r="8" spans="1:21" x14ac:dyDescent="0.25">
      <c r="A8">
        <v>7</v>
      </c>
      <c r="B8">
        <v>1</v>
      </c>
      <c r="C8" t="s">
        <v>1319</v>
      </c>
      <c r="D8" t="s">
        <v>1320</v>
      </c>
      <c r="E8" t="s">
        <v>1321</v>
      </c>
      <c r="F8">
        <v>31701</v>
      </c>
      <c r="G8">
        <v>31764</v>
      </c>
      <c r="H8">
        <v>0</v>
      </c>
      <c r="K8">
        <f>IF(Table4[[#This Row],[NeedsAttention]]=1,Table4[[#This Row],[Start]],Table4[[#This Row],[StartN]])</f>
        <v>31701</v>
      </c>
      <c r="L8">
        <f>IF(Table4[[#This Row],[NeedsAttention]]=1,Table4[[#This Row],[End]],Table4[[#This Row],[EndN]])</f>
        <v>31764</v>
      </c>
      <c r="M8" t="b">
        <f>Table4[[#This Row],[Merged.Start]]=L7+1</f>
        <v>1</v>
      </c>
      <c r="O8">
        <f>Table4[[#This Row],[Section]]</f>
        <v>7</v>
      </c>
      <c r="P8">
        <f>Table4[[#This Row],[Canon]]</f>
        <v>1</v>
      </c>
      <c r="Q8" s="1" t="str">
        <f>Table4[[#This Row],[Reference]]</f>
        <v>3.3-6</v>
      </c>
      <c r="R8" t="str">
        <f>Table4[[#This Row],[StartR]]</f>
        <v>LUK 3:3</v>
      </c>
      <c r="S8" t="str">
        <f>Table4[[#This Row],[EndR]]</f>
        <v>LUK 3:6</v>
      </c>
      <c r="T8">
        <f>Table4[[#This Row],[Merged.Start]]</f>
        <v>31701</v>
      </c>
      <c r="U8">
        <f>Table4[[#This Row],[Merged.End]]</f>
        <v>31764</v>
      </c>
    </row>
    <row r="9" spans="1:21" x14ac:dyDescent="0.25">
      <c r="A9">
        <v>8</v>
      </c>
      <c r="B9">
        <v>5</v>
      </c>
      <c r="C9" t="s">
        <v>1322</v>
      </c>
      <c r="D9" t="s">
        <v>1323</v>
      </c>
      <c r="E9" t="s">
        <v>1324</v>
      </c>
      <c r="F9">
        <v>31765</v>
      </c>
      <c r="G9">
        <v>31836</v>
      </c>
      <c r="H9">
        <v>0</v>
      </c>
      <c r="K9">
        <f>IF(Table4[[#This Row],[NeedsAttention]]=1,Table4[[#This Row],[Start]],Table4[[#This Row],[StartN]])</f>
        <v>31765</v>
      </c>
      <c r="L9">
        <f>IF(Table4[[#This Row],[NeedsAttention]]=1,Table4[[#This Row],[End]],Table4[[#This Row],[EndN]])</f>
        <v>31836</v>
      </c>
      <c r="M9" t="b">
        <f>Table4[[#This Row],[Merged.Start]]=L8+1</f>
        <v>1</v>
      </c>
      <c r="O9">
        <f>Table4[[#This Row],[Section]]</f>
        <v>8</v>
      </c>
      <c r="P9">
        <f>Table4[[#This Row],[Canon]]</f>
        <v>5</v>
      </c>
      <c r="Q9" s="1" t="str">
        <f>Table4[[#This Row],[Reference]]</f>
        <v>3.7-9</v>
      </c>
      <c r="R9" t="str">
        <f>Table4[[#This Row],[StartR]]</f>
        <v>LUK 3:7</v>
      </c>
      <c r="S9" t="str">
        <f>Table4[[#This Row],[EndR]]</f>
        <v>LUK 3:9</v>
      </c>
      <c r="T9">
        <f>Table4[[#This Row],[Merged.Start]]</f>
        <v>31765</v>
      </c>
      <c r="U9">
        <f>Table4[[#This Row],[Merged.End]]</f>
        <v>31836</v>
      </c>
    </row>
    <row r="10" spans="1:21" x14ac:dyDescent="0.25">
      <c r="A10">
        <v>9</v>
      </c>
      <c r="B10">
        <v>10</v>
      </c>
      <c r="C10" t="s">
        <v>1325</v>
      </c>
      <c r="D10" t="s">
        <v>1326</v>
      </c>
      <c r="E10" t="s">
        <v>1327</v>
      </c>
      <c r="F10">
        <v>31837</v>
      </c>
      <c r="G10">
        <v>31961</v>
      </c>
      <c r="H10">
        <v>1</v>
      </c>
      <c r="I10">
        <v>31837</v>
      </c>
      <c r="J10">
        <v>31933</v>
      </c>
      <c r="K10">
        <f>IF(Table4[[#This Row],[NeedsAttention]]=1,Table4[[#This Row],[Start]],Table4[[#This Row],[StartN]])</f>
        <v>31837</v>
      </c>
      <c r="L10">
        <f>IF(Table4[[#This Row],[NeedsAttention]]=1,Table4[[#This Row],[End]],Table4[[#This Row],[EndN]])</f>
        <v>31933</v>
      </c>
      <c r="M10" t="b">
        <f>Table4[[#This Row],[Merged.Start]]=L9+1</f>
        <v>1</v>
      </c>
      <c r="O10">
        <f>Table4[[#This Row],[Section]]</f>
        <v>9</v>
      </c>
      <c r="P10">
        <f>Table4[[#This Row],[Canon]]</f>
        <v>10</v>
      </c>
      <c r="Q10" s="1" t="str">
        <f>Table4[[#This Row],[Reference]]</f>
        <v>3.10-16A</v>
      </c>
      <c r="R10" t="str">
        <f>Table4[[#This Row],[StartR]]</f>
        <v>LUK 3:10</v>
      </c>
      <c r="S10" t="str">
        <f>Table4[[#This Row],[EndR]]</f>
        <v>LUK 3:16</v>
      </c>
      <c r="T10">
        <f>Table4[[#This Row],[Merged.Start]]</f>
        <v>31837</v>
      </c>
      <c r="U10">
        <f>Table4[[#This Row],[Merged.End]]</f>
        <v>31933</v>
      </c>
    </row>
    <row r="11" spans="1:21" x14ac:dyDescent="0.25">
      <c r="A11">
        <v>10</v>
      </c>
      <c r="B11">
        <v>1</v>
      </c>
      <c r="C11" t="s">
        <v>1328</v>
      </c>
      <c r="D11" t="s">
        <v>1327</v>
      </c>
      <c r="E11" t="s">
        <v>1327</v>
      </c>
      <c r="F11">
        <v>0</v>
      </c>
      <c r="G11">
        <v>0</v>
      </c>
      <c r="H11">
        <v>1</v>
      </c>
      <c r="I11">
        <v>31934</v>
      </c>
      <c r="J11">
        <v>31961</v>
      </c>
      <c r="K11">
        <f>IF(Table4[[#This Row],[NeedsAttention]]=1,Table4[[#This Row],[Start]],Table4[[#This Row],[StartN]])</f>
        <v>31934</v>
      </c>
      <c r="L11">
        <f>IF(Table4[[#This Row],[NeedsAttention]]=1,Table4[[#This Row],[End]],Table4[[#This Row],[EndN]])</f>
        <v>31961</v>
      </c>
      <c r="M11" t="b">
        <f>Table4[[#This Row],[Merged.Start]]=L10+1</f>
        <v>1</v>
      </c>
      <c r="O11">
        <f>Table4[[#This Row],[Section]]</f>
        <v>10</v>
      </c>
      <c r="P11">
        <f>Table4[[#This Row],[Canon]]</f>
        <v>1</v>
      </c>
      <c r="Q11" s="1" t="str">
        <f>Table4[[#This Row],[Reference]]</f>
        <v>3.16B-E</v>
      </c>
      <c r="R11" t="str">
        <f>Table4[[#This Row],[StartR]]</f>
        <v>LUK 3:16</v>
      </c>
      <c r="S11" t="str">
        <f>Table4[[#This Row],[EndR]]</f>
        <v>LUK 3:16</v>
      </c>
      <c r="T11">
        <f>Table4[[#This Row],[Merged.Start]]</f>
        <v>31934</v>
      </c>
      <c r="U11">
        <f>Table4[[#This Row],[Merged.End]]</f>
        <v>31961</v>
      </c>
    </row>
    <row r="12" spans="1:21" x14ac:dyDescent="0.25">
      <c r="A12">
        <v>11</v>
      </c>
      <c r="B12">
        <v>5</v>
      </c>
      <c r="C12" t="s">
        <v>1329</v>
      </c>
      <c r="D12" t="s">
        <v>1330</v>
      </c>
      <c r="E12" t="s">
        <v>1331</v>
      </c>
      <c r="F12">
        <v>31962</v>
      </c>
      <c r="G12">
        <v>31995</v>
      </c>
      <c r="H12">
        <v>0</v>
      </c>
      <c r="K12">
        <f>IF(Table4[[#This Row],[NeedsAttention]]=1,Table4[[#This Row],[Start]],Table4[[#This Row],[StartN]])</f>
        <v>31962</v>
      </c>
      <c r="L12">
        <f>IF(Table4[[#This Row],[NeedsAttention]]=1,Table4[[#This Row],[End]],Table4[[#This Row],[EndN]])</f>
        <v>31995</v>
      </c>
      <c r="M12" t="b">
        <f>Table4[[#This Row],[Merged.Start]]=L11+1</f>
        <v>1</v>
      </c>
      <c r="O12">
        <f>Table4[[#This Row],[Section]]</f>
        <v>11</v>
      </c>
      <c r="P12">
        <f>Table4[[#This Row],[Canon]]</f>
        <v>5</v>
      </c>
      <c r="Q12" s="1" t="str">
        <f>Table4[[#This Row],[Reference]]</f>
        <v>3.17-18</v>
      </c>
      <c r="R12" t="str">
        <f>Table4[[#This Row],[StartR]]</f>
        <v>LUK 3:17</v>
      </c>
      <c r="S12" t="str">
        <f>Table4[[#This Row],[EndR]]</f>
        <v>LUK 3:18</v>
      </c>
      <c r="T12">
        <f>Table4[[#This Row],[Merged.Start]]</f>
        <v>31962</v>
      </c>
      <c r="U12">
        <f>Table4[[#This Row],[Merged.End]]</f>
        <v>31995</v>
      </c>
    </row>
    <row r="13" spans="1:21" x14ac:dyDescent="0.25">
      <c r="A13">
        <v>12</v>
      </c>
      <c r="B13">
        <v>2</v>
      </c>
      <c r="C13" t="s">
        <v>1332</v>
      </c>
      <c r="D13" t="s">
        <v>1333</v>
      </c>
      <c r="E13" t="s">
        <v>1334</v>
      </c>
      <c r="F13">
        <v>31996</v>
      </c>
      <c r="G13">
        <v>32029</v>
      </c>
      <c r="H13">
        <v>0</v>
      </c>
      <c r="K13">
        <f>IF(Table4[[#This Row],[NeedsAttention]]=1,Table4[[#This Row],[Start]],Table4[[#This Row],[StartN]])</f>
        <v>31996</v>
      </c>
      <c r="L13">
        <f>IF(Table4[[#This Row],[NeedsAttention]]=1,Table4[[#This Row],[End]],Table4[[#This Row],[EndN]])</f>
        <v>32029</v>
      </c>
      <c r="M13" t="b">
        <f>Table4[[#This Row],[Merged.Start]]=L12+1</f>
        <v>1</v>
      </c>
      <c r="O13">
        <f>Table4[[#This Row],[Section]]</f>
        <v>12</v>
      </c>
      <c r="P13">
        <f>Table4[[#This Row],[Canon]]</f>
        <v>2</v>
      </c>
      <c r="Q13" s="1" t="str">
        <f>Table4[[#This Row],[Reference]]</f>
        <v>3.19-20</v>
      </c>
      <c r="R13" t="str">
        <f>Table4[[#This Row],[StartR]]</f>
        <v>LUK 3:19</v>
      </c>
      <c r="S13" t="str">
        <f>Table4[[#This Row],[EndR]]</f>
        <v>LUK 3:20</v>
      </c>
      <c r="T13">
        <f>Table4[[#This Row],[Merged.Start]]</f>
        <v>31996</v>
      </c>
      <c r="U13">
        <f>Table4[[#This Row],[Merged.End]]</f>
        <v>32029</v>
      </c>
    </row>
    <row r="14" spans="1:21" x14ac:dyDescent="0.25">
      <c r="A14">
        <v>13</v>
      </c>
      <c r="B14">
        <v>1</v>
      </c>
      <c r="C14" t="s">
        <v>1335</v>
      </c>
      <c r="D14" t="s">
        <v>1336</v>
      </c>
      <c r="E14" t="s">
        <v>1337</v>
      </c>
      <c r="F14">
        <v>32030</v>
      </c>
      <c r="G14">
        <v>32072</v>
      </c>
      <c r="H14">
        <v>0</v>
      </c>
      <c r="K14">
        <f>IF(Table4[[#This Row],[NeedsAttention]]=1,Table4[[#This Row],[Start]],Table4[[#This Row],[StartN]])</f>
        <v>32030</v>
      </c>
      <c r="L14">
        <f>IF(Table4[[#This Row],[NeedsAttention]]=1,Table4[[#This Row],[End]],Table4[[#This Row],[EndN]])</f>
        <v>32072</v>
      </c>
      <c r="M14" t="b">
        <f>Table4[[#This Row],[Merged.Start]]=L13+1</f>
        <v>1</v>
      </c>
      <c r="O14">
        <f>Table4[[#This Row],[Section]]</f>
        <v>13</v>
      </c>
      <c r="P14">
        <f>Table4[[#This Row],[Canon]]</f>
        <v>1</v>
      </c>
      <c r="Q14" s="1" t="str">
        <f>Table4[[#This Row],[Reference]]</f>
        <v>3.21-22</v>
      </c>
      <c r="R14" t="str">
        <f>Table4[[#This Row],[StartR]]</f>
        <v>LUK 3:21</v>
      </c>
      <c r="S14" t="str">
        <f>Table4[[#This Row],[EndR]]</f>
        <v>LUK 3:22</v>
      </c>
      <c r="T14">
        <f>Table4[[#This Row],[Merged.Start]]</f>
        <v>32030</v>
      </c>
      <c r="U14">
        <f>Table4[[#This Row],[Merged.End]]</f>
        <v>32072</v>
      </c>
    </row>
    <row r="15" spans="1:21" x14ac:dyDescent="0.25">
      <c r="A15">
        <v>14</v>
      </c>
      <c r="B15">
        <v>3</v>
      </c>
      <c r="C15" t="s">
        <v>1338</v>
      </c>
      <c r="D15" t="s">
        <v>1339</v>
      </c>
      <c r="E15" t="s">
        <v>1340</v>
      </c>
      <c r="F15">
        <v>32073</v>
      </c>
      <c r="G15">
        <v>32237</v>
      </c>
      <c r="H15">
        <v>0</v>
      </c>
      <c r="K15">
        <f>IF(Table4[[#This Row],[NeedsAttention]]=1,Table4[[#This Row],[Start]],Table4[[#This Row],[StartN]])</f>
        <v>32073</v>
      </c>
      <c r="L15">
        <f>IF(Table4[[#This Row],[NeedsAttention]]=1,Table4[[#This Row],[End]],Table4[[#This Row],[EndN]])</f>
        <v>32237</v>
      </c>
      <c r="M15" t="b">
        <f>Table4[[#This Row],[Merged.Start]]=L14+1</f>
        <v>1</v>
      </c>
      <c r="O15">
        <f>Table4[[#This Row],[Section]]</f>
        <v>14</v>
      </c>
      <c r="P15">
        <f>Table4[[#This Row],[Canon]]</f>
        <v>3</v>
      </c>
      <c r="Q15" s="1" t="str">
        <f>Table4[[#This Row],[Reference]]</f>
        <v>3.23-38</v>
      </c>
      <c r="R15" t="str">
        <f>Table4[[#This Row],[StartR]]</f>
        <v>LUK 3:23</v>
      </c>
      <c r="S15" t="str">
        <f>Table4[[#This Row],[EndR]]</f>
        <v>LUK 3:38</v>
      </c>
      <c r="T15">
        <f>Table4[[#This Row],[Merged.Start]]</f>
        <v>32073</v>
      </c>
      <c r="U15">
        <f>Table4[[#This Row],[Merged.End]]</f>
        <v>32237</v>
      </c>
    </row>
    <row r="16" spans="1:21" x14ac:dyDescent="0.25">
      <c r="A16">
        <v>15</v>
      </c>
      <c r="B16">
        <v>2</v>
      </c>
      <c r="C16" t="s">
        <v>1341</v>
      </c>
      <c r="D16" t="s">
        <v>1342</v>
      </c>
      <c r="E16" t="s">
        <v>1343</v>
      </c>
      <c r="F16">
        <v>32238</v>
      </c>
      <c r="G16">
        <v>32272</v>
      </c>
      <c r="H16">
        <v>1</v>
      </c>
      <c r="I16">
        <v>32238</v>
      </c>
      <c r="J16">
        <v>32260</v>
      </c>
      <c r="K16">
        <f>IF(Table4[[#This Row],[NeedsAttention]]=1,Table4[[#This Row],[Start]],Table4[[#This Row],[StartN]])</f>
        <v>32238</v>
      </c>
      <c r="L16">
        <f>IF(Table4[[#This Row],[NeedsAttention]]=1,Table4[[#This Row],[End]],Table4[[#This Row],[EndN]])</f>
        <v>32260</v>
      </c>
      <c r="M16" t="b">
        <f>Table4[[#This Row],[Merged.Start]]=L15+1</f>
        <v>1</v>
      </c>
      <c r="O16">
        <f>Table4[[#This Row],[Section]]</f>
        <v>15</v>
      </c>
      <c r="P16">
        <f>Table4[[#This Row],[Canon]]</f>
        <v>2</v>
      </c>
      <c r="Q16" s="1" t="str">
        <f>Table4[[#This Row],[Reference]]</f>
        <v>4.1-2A</v>
      </c>
      <c r="R16" t="str">
        <f>Table4[[#This Row],[StartR]]</f>
        <v>LUK 4:1</v>
      </c>
      <c r="S16" t="str">
        <f>Table4[[#This Row],[EndR]]</f>
        <v>LUK 4:2</v>
      </c>
      <c r="T16">
        <f>Table4[[#This Row],[Merged.Start]]</f>
        <v>32238</v>
      </c>
      <c r="U16">
        <f>Table4[[#This Row],[Merged.End]]</f>
        <v>32260</v>
      </c>
    </row>
    <row r="17" spans="1:21" x14ac:dyDescent="0.25">
      <c r="A17">
        <v>16</v>
      </c>
      <c r="B17">
        <v>5</v>
      </c>
      <c r="C17" t="s">
        <v>1344</v>
      </c>
      <c r="D17" t="s">
        <v>1343</v>
      </c>
      <c r="E17" t="s">
        <v>1345</v>
      </c>
      <c r="F17">
        <v>32255</v>
      </c>
      <c r="G17">
        <v>32440</v>
      </c>
      <c r="H17">
        <v>1</v>
      </c>
      <c r="I17">
        <v>32261</v>
      </c>
      <c r="J17">
        <v>32440</v>
      </c>
      <c r="K17">
        <f>IF(Table4[[#This Row],[NeedsAttention]]=1,Table4[[#This Row],[Start]],Table4[[#This Row],[StartN]])</f>
        <v>32261</v>
      </c>
      <c r="L17">
        <f>IF(Table4[[#This Row],[NeedsAttention]]=1,Table4[[#This Row],[End]],Table4[[#This Row],[EndN]])</f>
        <v>32440</v>
      </c>
      <c r="M17" t="b">
        <f>Table4[[#This Row],[Merged.Start]]=L16+1</f>
        <v>1</v>
      </c>
      <c r="O17">
        <f>Table4[[#This Row],[Section]]</f>
        <v>16</v>
      </c>
      <c r="P17">
        <f>Table4[[#This Row],[Canon]]</f>
        <v>5</v>
      </c>
      <c r="Q17" s="1" t="str">
        <f>Table4[[#This Row],[Reference]]</f>
        <v>4.2B-13</v>
      </c>
      <c r="R17" t="str">
        <f>Table4[[#This Row],[StartR]]</f>
        <v>LUK 4:2</v>
      </c>
      <c r="S17" t="str">
        <f>Table4[[#This Row],[EndR]]</f>
        <v>LUK 4:13</v>
      </c>
      <c r="T17">
        <f>Table4[[#This Row],[Merged.Start]]</f>
        <v>32261</v>
      </c>
      <c r="U17">
        <f>Table4[[#This Row],[Merged.End]]</f>
        <v>32440</v>
      </c>
    </row>
    <row r="18" spans="1:21" x14ac:dyDescent="0.25">
      <c r="A18">
        <v>17</v>
      </c>
      <c r="B18">
        <v>1</v>
      </c>
      <c r="C18" t="s">
        <v>1346</v>
      </c>
      <c r="D18" t="s">
        <v>1347</v>
      </c>
      <c r="E18" t="s">
        <v>1348</v>
      </c>
      <c r="F18">
        <v>32441</v>
      </c>
      <c r="G18">
        <v>32471</v>
      </c>
      <c r="H18">
        <v>0</v>
      </c>
      <c r="K18">
        <f>IF(Table4[[#This Row],[NeedsAttention]]=1,Table4[[#This Row],[Start]],Table4[[#This Row],[StartN]])</f>
        <v>32441</v>
      </c>
      <c r="L18">
        <f>IF(Table4[[#This Row],[NeedsAttention]]=1,Table4[[#This Row],[End]],Table4[[#This Row],[EndN]])</f>
        <v>32471</v>
      </c>
      <c r="M18" t="b">
        <f>Table4[[#This Row],[Merged.Start]]=L17+1</f>
        <v>1</v>
      </c>
      <c r="O18">
        <f>Table4[[#This Row],[Section]]</f>
        <v>17</v>
      </c>
      <c r="P18">
        <f>Table4[[#This Row],[Canon]]</f>
        <v>1</v>
      </c>
      <c r="Q18" s="1" t="str">
        <f>Table4[[#This Row],[Reference]]</f>
        <v>4.14-15</v>
      </c>
      <c r="R18" t="str">
        <f>Table4[[#This Row],[StartR]]</f>
        <v>LUK 4:14</v>
      </c>
      <c r="S18" t="str">
        <f>Table4[[#This Row],[EndR]]</f>
        <v>LUK 4:15</v>
      </c>
      <c r="T18">
        <f>Table4[[#This Row],[Merged.Start]]</f>
        <v>32441</v>
      </c>
      <c r="U18">
        <f>Table4[[#This Row],[Merged.End]]</f>
        <v>32471</v>
      </c>
    </row>
    <row r="19" spans="1:21" x14ac:dyDescent="0.25">
      <c r="A19">
        <v>18</v>
      </c>
      <c r="B19">
        <v>10</v>
      </c>
      <c r="C19" t="s">
        <v>1349</v>
      </c>
      <c r="D19" t="s">
        <v>1350</v>
      </c>
      <c r="E19" t="s">
        <v>1351</v>
      </c>
      <c r="F19">
        <v>32472</v>
      </c>
      <c r="G19">
        <v>32571</v>
      </c>
      <c r="H19">
        <v>0</v>
      </c>
      <c r="K19">
        <f>IF(Table4[[#This Row],[NeedsAttention]]=1,Table4[[#This Row],[Start]],Table4[[#This Row],[StartN]])</f>
        <v>32472</v>
      </c>
      <c r="L19">
        <f>IF(Table4[[#This Row],[NeedsAttention]]=1,Table4[[#This Row],[End]],Table4[[#This Row],[EndN]])</f>
        <v>32571</v>
      </c>
      <c r="M19" t="b">
        <f>Table4[[#This Row],[Merged.Start]]=L18+1</f>
        <v>1</v>
      </c>
      <c r="O19">
        <f>Table4[[#This Row],[Section]]</f>
        <v>18</v>
      </c>
      <c r="P19">
        <f>Table4[[#This Row],[Canon]]</f>
        <v>10</v>
      </c>
      <c r="Q19" s="1" t="str">
        <f>Table4[[#This Row],[Reference]]</f>
        <v>4.16-21</v>
      </c>
      <c r="R19" t="str">
        <f>Table4[[#This Row],[StartR]]</f>
        <v>LUK 4:16</v>
      </c>
      <c r="S19" t="str">
        <f>Table4[[#This Row],[EndR]]</f>
        <v>LUK 4:21</v>
      </c>
      <c r="T19">
        <f>Table4[[#This Row],[Merged.Start]]</f>
        <v>32472</v>
      </c>
      <c r="U19">
        <f>Table4[[#This Row],[Merged.End]]</f>
        <v>32571</v>
      </c>
    </row>
    <row r="20" spans="1:21" x14ac:dyDescent="0.25">
      <c r="A20">
        <v>19</v>
      </c>
      <c r="B20">
        <v>1</v>
      </c>
      <c r="C20">
        <v>4.22</v>
      </c>
      <c r="D20" t="s">
        <v>1352</v>
      </c>
      <c r="E20" t="s">
        <v>1352</v>
      </c>
      <c r="F20">
        <v>32572</v>
      </c>
      <c r="G20">
        <v>32595</v>
      </c>
      <c r="H20">
        <v>0</v>
      </c>
      <c r="K20">
        <f>IF(Table4[[#This Row],[NeedsAttention]]=1,Table4[[#This Row],[Start]],Table4[[#This Row],[StartN]])</f>
        <v>32572</v>
      </c>
      <c r="L20">
        <f>IF(Table4[[#This Row],[NeedsAttention]]=1,Table4[[#This Row],[End]],Table4[[#This Row],[EndN]])</f>
        <v>32595</v>
      </c>
      <c r="M20" t="b">
        <f>Table4[[#This Row],[Merged.Start]]=L19+1</f>
        <v>1</v>
      </c>
      <c r="O20">
        <f>Table4[[#This Row],[Section]]</f>
        <v>19</v>
      </c>
      <c r="P20">
        <f>Table4[[#This Row],[Canon]]</f>
        <v>1</v>
      </c>
      <c r="Q20" s="1">
        <f>Table4[[#This Row],[Reference]]</f>
        <v>4.22</v>
      </c>
      <c r="R20" t="str">
        <f>Table4[[#This Row],[StartR]]</f>
        <v>LUK 4:22</v>
      </c>
      <c r="S20" t="str">
        <f>Table4[[#This Row],[EndR]]</f>
        <v>LUK 4:22</v>
      </c>
      <c r="T20">
        <f>Table4[[#This Row],[Merged.Start]]</f>
        <v>32572</v>
      </c>
      <c r="U20">
        <f>Table4[[#This Row],[Merged.End]]</f>
        <v>32595</v>
      </c>
    </row>
    <row r="21" spans="1:21" x14ac:dyDescent="0.25">
      <c r="A21">
        <v>20</v>
      </c>
      <c r="B21">
        <v>10</v>
      </c>
      <c r="C21">
        <v>4.2300000000000004</v>
      </c>
      <c r="D21" t="s">
        <v>1353</v>
      </c>
      <c r="E21" t="s">
        <v>1353</v>
      </c>
      <c r="F21">
        <v>32596</v>
      </c>
      <c r="G21">
        <v>32621</v>
      </c>
      <c r="H21">
        <v>0</v>
      </c>
      <c r="K21">
        <f>IF(Table4[[#This Row],[NeedsAttention]]=1,Table4[[#This Row],[Start]],Table4[[#This Row],[StartN]])</f>
        <v>32596</v>
      </c>
      <c r="L21">
        <f>IF(Table4[[#This Row],[NeedsAttention]]=1,Table4[[#This Row],[End]],Table4[[#This Row],[EndN]])</f>
        <v>32621</v>
      </c>
      <c r="M21" t="b">
        <f>Table4[[#This Row],[Merged.Start]]=L20+1</f>
        <v>1</v>
      </c>
      <c r="O21">
        <f>Table4[[#This Row],[Section]]</f>
        <v>20</v>
      </c>
      <c r="P21">
        <f>Table4[[#This Row],[Canon]]</f>
        <v>10</v>
      </c>
      <c r="Q21" s="1">
        <f>Table4[[#This Row],[Reference]]</f>
        <v>4.2300000000000004</v>
      </c>
      <c r="R21" t="str">
        <f>Table4[[#This Row],[StartR]]</f>
        <v>LUK 4:23</v>
      </c>
      <c r="S21" t="str">
        <f>Table4[[#This Row],[EndR]]</f>
        <v>LUK 4:23</v>
      </c>
      <c r="T21">
        <f>Table4[[#This Row],[Merged.Start]]</f>
        <v>32596</v>
      </c>
      <c r="U21">
        <f>Table4[[#This Row],[Merged.End]]</f>
        <v>32621</v>
      </c>
    </row>
    <row r="22" spans="1:21" x14ac:dyDescent="0.25">
      <c r="A22">
        <v>21</v>
      </c>
      <c r="B22">
        <v>1</v>
      </c>
      <c r="C22">
        <v>4.24</v>
      </c>
      <c r="D22" t="s">
        <v>1354</v>
      </c>
      <c r="E22" t="s">
        <v>1354</v>
      </c>
      <c r="F22">
        <v>32622</v>
      </c>
      <c r="G22">
        <v>32635</v>
      </c>
      <c r="H22">
        <v>0</v>
      </c>
      <c r="K22">
        <f>IF(Table4[[#This Row],[NeedsAttention]]=1,Table4[[#This Row],[Start]],Table4[[#This Row],[StartN]])</f>
        <v>32622</v>
      </c>
      <c r="L22">
        <f>IF(Table4[[#This Row],[NeedsAttention]]=1,Table4[[#This Row],[End]],Table4[[#This Row],[EndN]])</f>
        <v>32635</v>
      </c>
      <c r="M22" t="b">
        <f>Table4[[#This Row],[Merged.Start]]=L21+1</f>
        <v>1</v>
      </c>
      <c r="O22">
        <f>Table4[[#This Row],[Section]]</f>
        <v>21</v>
      </c>
      <c r="P22">
        <f>Table4[[#This Row],[Canon]]</f>
        <v>1</v>
      </c>
      <c r="Q22" s="1">
        <f>Table4[[#This Row],[Reference]]</f>
        <v>4.24</v>
      </c>
      <c r="R22" t="str">
        <f>Table4[[#This Row],[StartR]]</f>
        <v>LUK 4:24</v>
      </c>
      <c r="S22" t="str">
        <f>Table4[[#This Row],[EndR]]</f>
        <v>LUK 4:24</v>
      </c>
      <c r="T22">
        <f>Table4[[#This Row],[Merged.Start]]</f>
        <v>32622</v>
      </c>
      <c r="U22">
        <f>Table4[[#This Row],[Merged.End]]</f>
        <v>32635</v>
      </c>
    </row>
    <row r="23" spans="1:21" x14ac:dyDescent="0.25">
      <c r="A23">
        <v>22</v>
      </c>
      <c r="B23">
        <v>10</v>
      </c>
      <c r="C23" t="s">
        <v>1355</v>
      </c>
      <c r="D23" t="s">
        <v>1356</v>
      </c>
      <c r="E23" t="s">
        <v>1357</v>
      </c>
      <c r="F23">
        <v>32636</v>
      </c>
      <c r="G23">
        <v>32742</v>
      </c>
      <c r="H23">
        <v>0</v>
      </c>
      <c r="K23">
        <f>IF(Table4[[#This Row],[NeedsAttention]]=1,Table4[[#This Row],[Start]],Table4[[#This Row],[StartN]])</f>
        <v>32636</v>
      </c>
      <c r="L23">
        <f>IF(Table4[[#This Row],[NeedsAttention]]=1,Table4[[#This Row],[End]],Table4[[#This Row],[EndN]])</f>
        <v>32742</v>
      </c>
      <c r="M23" t="b">
        <f>Table4[[#This Row],[Merged.Start]]=L22+1</f>
        <v>1</v>
      </c>
      <c r="O23">
        <f>Table4[[#This Row],[Section]]</f>
        <v>22</v>
      </c>
      <c r="P23">
        <f>Table4[[#This Row],[Canon]]</f>
        <v>10</v>
      </c>
      <c r="Q23" s="1" t="str">
        <f>Table4[[#This Row],[Reference]]</f>
        <v>4.25-30</v>
      </c>
      <c r="R23" t="str">
        <f>Table4[[#This Row],[StartR]]</f>
        <v>LUK 4:25</v>
      </c>
      <c r="S23" t="str">
        <f>Table4[[#This Row],[EndR]]</f>
        <v>LUK 4:30</v>
      </c>
      <c r="T23">
        <f>Table4[[#This Row],[Merged.Start]]</f>
        <v>32636</v>
      </c>
      <c r="U23">
        <f>Table4[[#This Row],[Merged.End]]</f>
        <v>32742</v>
      </c>
    </row>
    <row r="24" spans="1:21" x14ac:dyDescent="0.25">
      <c r="A24">
        <v>23</v>
      </c>
      <c r="B24">
        <v>8</v>
      </c>
      <c r="C24">
        <v>4.3099999999999996</v>
      </c>
      <c r="D24" t="s">
        <v>1358</v>
      </c>
      <c r="E24" t="s">
        <v>1358</v>
      </c>
      <c r="F24">
        <v>32743</v>
      </c>
      <c r="G24">
        <v>32756</v>
      </c>
      <c r="H24">
        <v>0</v>
      </c>
      <c r="K24">
        <f>IF(Table4[[#This Row],[NeedsAttention]]=1,Table4[[#This Row],[Start]],Table4[[#This Row],[StartN]])</f>
        <v>32743</v>
      </c>
      <c r="L24">
        <f>IF(Table4[[#This Row],[NeedsAttention]]=1,Table4[[#This Row],[End]],Table4[[#This Row],[EndN]])</f>
        <v>32756</v>
      </c>
      <c r="M24" t="b">
        <f>Table4[[#This Row],[Merged.Start]]=L23+1</f>
        <v>1</v>
      </c>
      <c r="O24">
        <f>Table4[[#This Row],[Section]]</f>
        <v>23</v>
      </c>
      <c r="P24">
        <f>Table4[[#This Row],[Canon]]</f>
        <v>8</v>
      </c>
      <c r="Q24" s="1">
        <f>Table4[[#This Row],[Reference]]</f>
        <v>4.3099999999999996</v>
      </c>
      <c r="R24" t="str">
        <f>Table4[[#This Row],[StartR]]</f>
        <v>LUK 4:31</v>
      </c>
      <c r="S24" t="str">
        <f>Table4[[#This Row],[EndR]]</f>
        <v>LUK 4:31</v>
      </c>
      <c r="T24">
        <f>Table4[[#This Row],[Merged.Start]]</f>
        <v>32743</v>
      </c>
      <c r="U24">
        <f>Table4[[#This Row],[Merged.End]]</f>
        <v>32756</v>
      </c>
    </row>
    <row r="25" spans="1:21" x14ac:dyDescent="0.25">
      <c r="A25">
        <v>24</v>
      </c>
      <c r="B25">
        <v>2</v>
      </c>
      <c r="C25">
        <v>4.32</v>
      </c>
      <c r="D25" t="s">
        <v>1359</v>
      </c>
      <c r="E25" t="s">
        <v>1359</v>
      </c>
      <c r="F25">
        <v>32757</v>
      </c>
      <c r="G25">
        <v>32769</v>
      </c>
      <c r="H25">
        <v>0</v>
      </c>
      <c r="K25">
        <f>IF(Table4[[#This Row],[NeedsAttention]]=1,Table4[[#This Row],[Start]],Table4[[#This Row],[StartN]])</f>
        <v>32757</v>
      </c>
      <c r="L25">
        <f>IF(Table4[[#This Row],[NeedsAttention]]=1,Table4[[#This Row],[End]],Table4[[#This Row],[EndN]])</f>
        <v>32769</v>
      </c>
      <c r="M25" t="b">
        <f>Table4[[#This Row],[Merged.Start]]=L24+1</f>
        <v>1</v>
      </c>
      <c r="O25">
        <f>Table4[[#This Row],[Section]]</f>
        <v>24</v>
      </c>
      <c r="P25">
        <f>Table4[[#This Row],[Canon]]</f>
        <v>2</v>
      </c>
      <c r="Q25" s="1">
        <f>Table4[[#This Row],[Reference]]</f>
        <v>4.32</v>
      </c>
      <c r="R25" t="str">
        <f>Table4[[#This Row],[StartR]]</f>
        <v>LUK 4:32</v>
      </c>
      <c r="S25" t="str">
        <f>Table4[[#This Row],[EndR]]</f>
        <v>LUK 4:32</v>
      </c>
      <c r="T25">
        <f>Table4[[#This Row],[Merged.Start]]</f>
        <v>32757</v>
      </c>
      <c r="U25">
        <f>Table4[[#This Row],[Merged.End]]</f>
        <v>32769</v>
      </c>
    </row>
    <row r="26" spans="1:21" x14ac:dyDescent="0.25">
      <c r="A26">
        <v>25</v>
      </c>
      <c r="B26">
        <v>8</v>
      </c>
      <c r="C26" t="s">
        <v>1360</v>
      </c>
      <c r="D26" t="s">
        <v>1361</v>
      </c>
      <c r="E26" t="s">
        <v>1362</v>
      </c>
      <c r="F26">
        <v>32770</v>
      </c>
      <c r="G26">
        <v>32861</v>
      </c>
      <c r="H26">
        <v>0</v>
      </c>
      <c r="K26">
        <f>IF(Table4[[#This Row],[NeedsAttention]]=1,Table4[[#This Row],[Start]],Table4[[#This Row],[StartN]])</f>
        <v>32770</v>
      </c>
      <c r="L26">
        <f>IF(Table4[[#This Row],[NeedsAttention]]=1,Table4[[#This Row],[End]],Table4[[#This Row],[EndN]])</f>
        <v>32861</v>
      </c>
      <c r="M26" t="b">
        <f>Table4[[#This Row],[Merged.Start]]=L25+1</f>
        <v>1</v>
      </c>
      <c r="O26">
        <f>Table4[[#This Row],[Section]]</f>
        <v>25</v>
      </c>
      <c r="P26">
        <f>Table4[[#This Row],[Canon]]</f>
        <v>8</v>
      </c>
      <c r="Q26" s="1" t="str">
        <f>Table4[[#This Row],[Reference]]</f>
        <v>4.33-37</v>
      </c>
      <c r="R26" t="str">
        <f>Table4[[#This Row],[StartR]]</f>
        <v>LUK 4:33</v>
      </c>
      <c r="S26" t="str">
        <f>Table4[[#This Row],[EndR]]</f>
        <v>LUK 4:37</v>
      </c>
      <c r="T26">
        <f>Table4[[#This Row],[Merged.Start]]</f>
        <v>32770</v>
      </c>
      <c r="U26">
        <f>Table4[[#This Row],[Merged.End]]</f>
        <v>32861</v>
      </c>
    </row>
    <row r="27" spans="1:21" x14ac:dyDescent="0.25">
      <c r="A27">
        <v>26</v>
      </c>
      <c r="B27">
        <v>2</v>
      </c>
      <c r="C27" t="s">
        <v>1363</v>
      </c>
      <c r="D27" t="s">
        <v>1364</v>
      </c>
      <c r="E27" t="s">
        <v>1365</v>
      </c>
      <c r="F27">
        <v>32862</v>
      </c>
      <c r="G27">
        <v>32923</v>
      </c>
      <c r="H27">
        <v>0</v>
      </c>
      <c r="K27">
        <f>IF(Table4[[#This Row],[NeedsAttention]]=1,Table4[[#This Row],[Start]],Table4[[#This Row],[StartN]])</f>
        <v>32862</v>
      </c>
      <c r="L27">
        <f>IF(Table4[[#This Row],[NeedsAttention]]=1,Table4[[#This Row],[End]],Table4[[#This Row],[EndN]])</f>
        <v>32923</v>
      </c>
      <c r="M27" t="b">
        <f>Table4[[#This Row],[Merged.Start]]=L26+1</f>
        <v>1</v>
      </c>
      <c r="O27">
        <f>Table4[[#This Row],[Section]]</f>
        <v>26</v>
      </c>
      <c r="P27">
        <f>Table4[[#This Row],[Canon]]</f>
        <v>2</v>
      </c>
      <c r="Q27" s="1" t="str">
        <f>Table4[[#This Row],[Reference]]</f>
        <v>4.38-40</v>
      </c>
      <c r="R27" t="str">
        <f>Table4[[#This Row],[StartR]]</f>
        <v>LUK 4:38</v>
      </c>
      <c r="S27" t="str">
        <f>Table4[[#This Row],[EndR]]</f>
        <v>LUK 4:40</v>
      </c>
      <c r="T27">
        <f>Table4[[#This Row],[Merged.Start]]</f>
        <v>32862</v>
      </c>
      <c r="U27">
        <f>Table4[[#This Row],[Merged.End]]</f>
        <v>32923</v>
      </c>
    </row>
    <row r="28" spans="1:21" x14ac:dyDescent="0.25">
      <c r="A28">
        <v>27</v>
      </c>
      <c r="B28">
        <v>8</v>
      </c>
      <c r="C28">
        <v>4.41</v>
      </c>
      <c r="D28" t="s">
        <v>1366</v>
      </c>
      <c r="E28" t="s">
        <v>1366</v>
      </c>
      <c r="F28">
        <v>32924</v>
      </c>
      <c r="G28">
        <v>32951</v>
      </c>
      <c r="H28">
        <v>0</v>
      </c>
      <c r="K28">
        <f>IF(Table4[[#This Row],[NeedsAttention]]=1,Table4[[#This Row],[Start]],Table4[[#This Row],[StartN]])</f>
        <v>32924</v>
      </c>
      <c r="L28">
        <f>IF(Table4[[#This Row],[NeedsAttention]]=1,Table4[[#This Row],[End]],Table4[[#This Row],[EndN]])</f>
        <v>32951</v>
      </c>
      <c r="M28" t="b">
        <f>Table4[[#This Row],[Merged.Start]]=L27+1</f>
        <v>1</v>
      </c>
      <c r="O28">
        <f>Table4[[#This Row],[Section]]</f>
        <v>27</v>
      </c>
      <c r="P28">
        <f>Table4[[#This Row],[Canon]]</f>
        <v>8</v>
      </c>
      <c r="Q28" s="1">
        <f>Table4[[#This Row],[Reference]]</f>
        <v>4.41</v>
      </c>
      <c r="R28" t="str">
        <f>Table4[[#This Row],[StartR]]</f>
        <v>LUK 4:41</v>
      </c>
      <c r="S28" t="str">
        <f>Table4[[#This Row],[EndR]]</f>
        <v>LUK 4:41</v>
      </c>
      <c r="T28">
        <f>Table4[[#This Row],[Merged.Start]]</f>
        <v>32924</v>
      </c>
      <c r="U28">
        <f>Table4[[#This Row],[Merged.End]]</f>
        <v>32951</v>
      </c>
    </row>
    <row r="29" spans="1:21" x14ac:dyDescent="0.25">
      <c r="A29">
        <v>28</v>
      </c>
      <c r="B29">
        <v>8</v>
      </c>
      <c r="C29" t="s">
        <v>1367</v>
      </c>
      <c r="D29" t="s">
        <v>1368</v>
      </c>
      <c r="E29" t="s">
        <v>1369</v>
      </c>
      <c r="F29">
        <v>32952</v>
      </c>
      <c r="G29">
        <v>33005</v>
      </c>
      <c r="H29">
        <v>0</v>
      </c>
      <c r="K29">
        <f>IF(Table4[[#This Row],[NeedsAttention]]=1,Table4[[#This Row],[Start]],Table4[[#This Row],[StartN]])</f>
        <v>32952</v>
      </c>
      <c r="L29">
        <f>IF(Table4[[#This Row],[NeedsAttention]]=1,Table4[[#This Row],[End]],Table4[[#This Row],[EndN]])</f>
        <v>33005</v>
      </c>
      <c r="M29" t="b">
        <f>Table4[[#This Row],[Merged.Start]]=L28+1</f>
        <v>1</v>
      </c>
      <c r="O29">
        <f>Table4[[#This Row],[Section]]</f>
        <v>28</v>
      </c>
      <c r="P29">
        <f>Table4[[#This Row],[Canon]]</f>
        <v>8</v>
      </c>
      <c r="Q29" s="1" t="str">
        <f>Table4[[#This Row],[Reference]]</f>
        <v>4.42-44</v>
      </c>
      <c r="R29" t="str">
        <f>Table4[[#This Row],[StartR]]</f>
        <v>LUK 4:42</v>
      </c>
      <c r="S29" t="str">
        <f>Table4[[#This Row],[EndR]]</f>
        <v>LUK 4:44</v>
      </c>
      <c r="T29">
        <f>Table4[[#This Row],[Merged.Start]]</f>
        <v>32952</v>
      </c>
      <c r="U29">
        <f>Table4[[#This Row],[Merged.End]]</f>
        <v>33005</v>
      </c>
    </row>
    <row r="30" spans="1:21" x14ac:dyDescent="0.25">
      <c r="A30">
        <v>29</v>
      </c>
      <c r="B30">
        <v>10</v>
      </c>
      <c r="C30" t="s">
        <v>1370</v>
      </c>
      <c r="D30" t="s">
        <v>1371</v>
      </c>
      <c r="E30" t="s">
        <v>1372</v>
      </c>
      <c r="F30">
        <v>33006</v>
      </c>
      <c r="G30">
        <v>33068</v>
      </c>
      <c r="H30">
        <v>0</v>
      </c>
      <c r="K30">
        <f>IF(Table4[[#This Row],[NeedsAttention]]=1,Table4[[#This Row],[Start]],Table4[[#This Row],[StartN]])</f>
        <v>33006</v>
      </c>
      <c r="L30">
        <f>IF(Table4[[#This Row],[NeedsAttention]]=1,Table4[[#This Row],[End]],Table4[[#This Row],[EndN]])</f>
        <v>33068</v>
      </c>
      <c r="M30" t="b">
        <f>Table4[[#This Row],[Merged.Start]]=L29+1</f>
        <v>1</v>
      </c>
      <c r="O30">
        <f>Table4[[#This Row],[Section]]</f>
        <v>29</v>
      </c>
      <c r="P30">
        <f>Table4[[#This Row],[Canon]]</f>
        <v>10</v>
      </c>
      <c r="Q30" s="1" t="str">
        <f>Table4[[#This Row],[Reference]]</f>
        <v>5.1-3</v>
      </c>
      <c r="R30" t="str">
        <f>Table4[[#This Row],[StartR]]</f>
        <v>LUK 5:1</v>
      </c>
      <c r="S30" t="str">
        <f>Table4[[#This Row],[EndR]]</f>
        <v>LUK 5:3</v>
      </c>
      <c r="T30">
        <f>Table4[[#This Row],[Merged.Start]]</f>
        <v>33006</v>
      </c>
      <c r="U30">
        <f>Table4[[#This Row],[Merged.End]]</f>
        <v>33068</v>
      </c>
    </row>
    <row r="31" spans="1:21" x14ac:dyDescent="0.25">
      <c r="A31">
        <v>30</v>
      </c>
      <c r="B31">
        <v>9</v>
      </c>
      <c r="C31" t="s">
        <v>1373</v>
      </c>
      <c r="D31" t="s">
        <v>1374</v>
      </c>
      <c r="E31" t="s">
        <v>1375</v>
      </c>
      <c r="F31">
        <v>33069</v>
      </c>
      <c r="G31">
        <v>33140</v>
      </c>
      <c r="H31">
        <v>0</v>
      </c>
      <c r="K31">
        <f>IF(Table4[[#This Row],[NeedsAttention]]=1,Table4[[#This Row],[Start]],Table4[[#This Row],[StartN]])</f>
        <v>33069</v>
      </c>
      <c r="L31">
        <f>IF(Table4[[#This Row],[NeedsAttention]]=1,Table4[[#This Row],[End]],Table4[[#This Row],[EndN]])</f>
        <v>33140</v>
      </c>
      <c r="M31" t="b">
        <f>Table4[[#This Row],[Merged.Start]]=L30+1</f>
        <v>1</v>
      </c>
      <c r="O31">
        <f>Table4[[#This Row],[Section]]</f>
        <v>30</v>
      </c>
      <c r="P31">
        <f>Table4[[#This Row],[Canon]]</f>
        <v>9</v>
      </c>
      <c r="Q31" s="1" t="str">
        <f>Table4[[#This Row],[Reference]]</f>
        <v>5.4-7</v>
      </c>
      <c r="R31" t="str">
        <f>Table4[[#This Row],[StartR]]</f>
        <v>LUK 5:4</v>
      </c>
      <c r="S31" t="str">
        <f>Table4[[#This Row],[EndR]]</f>
        <v>LUK 5:7</v>
      </c>
      <c r="T31">
        <f>Table4[[#This Row],[Merged.Start]]</f>
        <v>33069</v>
      </c>
      <c r="U31">
        <f>Table4[[#This Row],[Merged.End]]</f>
        <v>33140</v>
      </c>
    </row>
    <row r="32" spans="1:21" x14ac:dyDescent="0.25">
      <c r="A32">
        <v>31</v>
      </c>
      <c r="B32">
        <v>10</v>
      </c>
      <c r="C32" t="s">
        <v>1376</v>
      </c>
      <c r="D32" t="s">
        <v>1377</v>
      </c>
      <c r="E32" t="s">
        <v>1378</v>
      </c>
      <c r="F32">
        <v>33141</v>
      </c>
      <c r="G32">
        <v>33201</v>
      </c>
      <c r="H32">
        <v>1</v>
      </c>
      <c r="I32">
        <v>33141</v>
      </c>
      <c r="J32">
        <v>33186</v>
      </c>
      <c r="K32">
        <f>IF(Table4[[#This Row],[NeedsAttention]]=1,Table4[[#This Row],[Start]],Table4[[#This Row],[StartN]])</f>
        <v>33141</v>
      </c>
      <c r="L32">
        <f>IF(Table4[[#This Row],[NeedsAttention]]=1,Table4[[#This Row],[End]],Table4[[#This Row],[EndN]])</f>
        <v>33186</v>
      </c>
      <c r="M32" t="b">
        <f>Table4[[#This Row],[Merged.Start]]=L31+1</f>
        <v>1</v>
      </c>
      <c r="O32">
        <f>Table4[[#This Row],[Section]]</f>
        <v>31</v>
      </c>
      <c r="P32">
        <f>Table4[[#This Row],[Canon]]</f>
        <v>10</v>
      </c>
      <c r="Q32" s="1" t="str">
        <f>Table4[[#This Row],[Reference]]</f>
        <v>5.8-10A</v>
      </c>
      <c r="R32" t="str">
        <f>Table4[[#This Row],[StartR]]</f>
        <v>LUK 5:8</v>
      </c>
      <c r="S32" t="str">
        <f>Table4[[#This Row],[EndR]]</f>
        <v>LUK 5:10</v>
      </c>
      <c r="T32">
        <f>Table4[[#This Row],[Merged.Start]]</f>
        <v>33141</v>
      </c>
      <c r="U32">
        <f>Table4[[#This Row],[Merged.End]]</f>
        <v>33186</v>
      </c>
    </row>
    <row r="33" spans="1:21" x14ac:dyDescent="0.25">
      <c r="A33">
        <v>32</v>
      </c>
      <c r="B33">
        <v>2</v>
      </c>
      <c r="C33" t="s">
        <v>1379</v>
      </c>
      <c r="D33" t="s">
        <v>1378</v>
      </c>
      <c r="E33" t="s">
        <v>1380</v>
      </c>
      <c r="F33">
        <v>33174</v>
      </c>
      <c r="G33">
        <v>33212</v>
      </c>
      <c r="H33">
        <v>1</v>
      </c>
      <c r="I33">
        <v>33187</v>
      </c>
      <c r="J33">
        <v>33212</v>
      </c>
      <c r="K33">
        <f>IF(Table4[[#This Row],[NeedsAttention]]=1,Table4[[#This Row],[Start]],Table4[[#This Row],[StartN]])</f>
        <v>33187</v>
      </c>
      <c r="L33">
        <f>IF(Table4[[#This Row],[NeedsAttention]]=1,Table4[[#This Row],[End]],Table4[[#This Row],[EndN]])</f>
        <v>33212</v>
      </c>
      <c r="M33" t="b">
        <f>Table4[[#This Row],[Merged.Start]]=L32+1</f>
        <v>1</v>
      </c>
      <c r="O33">
        <f>Table4[[#This Row],[Section]]</f>
        <v>32</v>
      </c>
      <c r="P33">
        <f>Table4[[#This Row],[Canon]]</f>
        <v>2</v>
      </c>
      <c r="Q33" s="1" t="str">
        <f>Table4[[#This Row],[Reference]]</f>
        <v>5.10B-11</v>
      </c>
      <c r="R33" t="str">
        <f>Table4[[#This Row],[StartR]]</f>
        <v>LUK 5:10</v>
      </c>
      <c r="S33" t="str">
        <f>Table4[[#This Row],[EndR]]</f>
        <v>LUK 5:11</v>
      </c>
      <c r="T33">
        <f>Table4[[#This Row],[Merged.Start]]</f>
        <v>33187</v>
      </c>
      <c r="U33">
        <f>Table4[[#This Row],[Merged.End]]</f>
        <v>33212</v>
      </c>
    </row>
    <row r="34" spans="1:21" x14ac:dyDescent="0.25">
      <c r="A34">
        <v>33</v>
      </c>
      <c r="B34">
        <v>2</v>
      </c>
      <c r="C34" t="s">
        <v>1381</v>
      </c>
      <c r="D34" t="s">
        <v>1382</v>
      </c>
      <c r="E34" t="s">
        <v>1383</v>
      </c>
      <c r="F34">
        <v>33213</v>
      </c>
      <c r="G34">
        <v>33283</v>
      </c>
      <c r="H34">
        <v>0</v>
      </c>
      <c r="K34">
        <f>IF(Table4[[#This Row],[NeedsAttention]]=1,Table4[[#This Row],[Start]],Table4[[#This Row],[StartN]])</f>
        <v>33213</v>
      </c>
      <c r="L34">
        <f>IF(Table4[[#This Row],[NeedsAttention]]=1,Table4[[#This Row],[End]],Table4[[#This Row],[EndN]])</f>
        <v>33283</v>
      </c>
      <c r="M34" t="b">
        <f>Table4[[#This Row],[Merged.Start]]=L33+1</f>
        <v>1</v>
      </c>
      <c r="O34">
        <f>Table4[[#This Row],[Section]]</f>
        <v>33</v>
      </c>
      <c r="P34">
        <f>Table4[[#This Row],[Canon]]</f>
        <v>2</v>
      </c>
      <c r="Q34" s="1" t="str">
        <f>Table4[[#This Row],[Reference]]</f>
        <v>5.12-14</v>
      </c>
      <c r="R34" t="str">
        <f>Table4[[#This Row],[StartR]]</f>
        <v>LUK 5:12</v>
      </c>
      <c r="S34" t="str">
        <f>Table4[[#This Row],[EndR]]</f>
        <v>LUK 5:14</v>
      </c>
      <c r="T34">
        <f>Table4[[#This Row],[Merged.Start]]</f>
        <v>33213</v>
      </c>
      <c r="U34">
        <f>Table4[[#This Row],[Merged.End]]</f>
        <v>33283</v>
      </c>
    </row>
    <row r="35" spans="1:21" x14ac:dyDescent="0.25">
      <c r="A35">
        <v>34</v>
      </c>
      <c r="B35">
        <v>1</v>
      </c>
      <c r="C35">
        <v>5.15</v>
      </c>
      <c r="D35" t="s">
        <v>1384</v>
      </c>
      <c r="E35" t="s">
        <v>1384</v>
      </c>
      <c r="F35">
        <v>33284</v>
      </c>
      <c r="G35">
        <v>33301</v>
      </c>
      <c r="H35">
        <v>0</v>
      </c>
      <c r="K35">
        <f>IF(Table4[[#This Row],[NeedsAttention]]=1,Table4[[#This Row],[Start]],Table4[[#This Row],[StartN]])</f>
        <v>33284</v>
      </c>
      <c r="L35">
        <f>IF(Table4[[#This Row],[NeedsAttention]]=1,Table4[[#This Row],[End]],Table4[[#This Row],[EndN]])</f>
        <v>33301</v>
      </c>
      <c r="M35" t="b">
        <f>Table4[[#This Row],[Merged.Start]]=L34+1</f>
        <v>1</v>
      </c>
      <c r="O35">
        <f>Table4[[#This Row],[Section]]</f>
        <v>34</v>
      </c>
      <c r="P35">
        <f>Table4[[#This Row],[Canon]]</f>
        <v>1</v>
      </c>
      <c r="Q35" s="1">
        <f>Table4[[#This Row],[Reference]]</f>
        <v>5.15</v>
      </c>
      <c r="R35" t="str">
        <f>Table4[[#This Row],[StartR]]</f>
        <v>LUK 5:15</v>
      </c>
      <c r="S35" t="str">
        <f>Table4[[#This Row],[EndR]]</f>
        <v>LUK 5:15</v>
      </c>
      <c r="T35">
        <f>Table4[[#This Row],[Merged.Start]]</f>
        <v>33284</v>
      </c>
      <c r="U35">
        <f>Table4[[#This Row],[Merged.End]]</f>
        <v>33301</v>
      </c>
    </row>
    <row r="36" spans="1:21" x14ac:dyDescent="0.25">
      <c r="A36">
        <v>35</v>
      </c>
      <c r="B36">
        <v>2</v>
      </c>
      <c r="C36">
        <v>5.16</v>
      </c>
      <c r="D36" t="s">
        <v>1385</v>
      </c>
      <c r="E36" t="s">
        <v>1385</v>
      </c>
      <c r="F36">
        <v>33302</v>
      </c>
      <c r="G36">
        <v>33310</v>
      </c>
      <c r="H36">
        <v>0</v>
      </c>
      <c r="K36">
        <f>IF(Table4[[#This Row],[NeedsAttention]]=1,Table4[[#This Row],[Start]],Table4[[#This Row],[StartN]])</f>
        <v>33302</v>
      </c>
      <c r="L36">
        <f>IF(Table4[[#This Row],[NeedsAttention]]=1,Table4[[#This Row],[End]],Table4[[#This Row],[EndN]])</f>
        <v>33310</v>
      </c>
      <c r="M36" t="b">
        <f>Table4[[#This Row],[Merged.Start]]=L35+1</f>
        <v>1</v>
      </c>
      <c r="O36">
        <f>Table4[[#This Row],[Section]]</f>
        <v>35</v>
      </c>
      <c r="P36">
        <f>Table4[[#This Row],[Canon]]</f>
        <v>2</v>
      </c>
      <c r="Q36" s="1">
        <f>Table4[[#This Row],[Reference]]</f>
        <v>5.16</v>
      </c>
      <c r="R36" t="str">
        <f>Table4[[#This Row],[StartR]]</f>
        <v>LUK 5:16</v>
      </c>
      <c r="S36" t="str">
        <f>Table4[[#This Row],[EndR]]</f>
        <v>LUK 5:16</v>
      </c>
      <c r="T36">
        <f>Table4[[#This Row],[Merged.Start]]</f>
        <v>33302</v>
      </c>
      <c r="U36">
        <f>Table4[[#This Row],[Merged.End]]</f>
        <v>33310</v>
      </c>
    </row>
    <row r="37" spans="1:21" x14ac:dyDescent="0.25">
      <c r="A37">
        <v>36</v>
      </c>
      <c r="B37">
        <v>2</v>
      </c>
      <c r="C37">
        <v>5.17</v>
      </c>
      <c r="D37" t="s">
        <v>1386</v>
      </c>
      <c r="E37" t="s">
        <v>1386</v>
      </c>
      <c r="F37">
        <v>33311</v>
      </c>
      <c r="G37">
        <v>33346</v>
      </c>
      <c r="H37">
        <v>0</v>
      </c>
      <c r="K37">
        <f>IF(Table4[[#This Row],[NeedsAttention]]=1,Table4[[#This Row],[Start]],Table4[[#This Row],[StartN]])</f>
        <v>33311</v>
      </c>
      <c r="L37">
        <f>IF(Table4[[#This Row],[NeedsAttention]]=1,Table4[[#This Row],[End]],Table4[[#This Row],[EndN]])</f>
        <v>33346</v>
      </c>
      <c r="M37" t="b">
        <f>Table4[[#This Row],[Merged.Start]]=L36+1</f>
        <v>1</v>
      </c>
      <c r="O37">
        <f>Table4[[#This Row],[Section]]</f>
        <v>36</v>
      </c>
      <c r="P37">
        <f>Table4[[#This Row],[Canon]]</f>
        <v>2</v>
      </c>
      <c r="Q37" s="1">
        <f>Table4[[#This Row],[Reference]]</f>
        <v>5.17</v>
      </c>
      <c r="R37" t="str">
        <f>Table4[[#This Row],[StartR]]</f>
        <v>LUK 5:17</v>
      </c>
      <c r="S37" t="str">
        <f>Table4[[#This Row],[EndR]]</f>
        <v>LUK 5:17</v>
      </c>
      <c r="T37">
        <f>Table4[[#This Row],[Merged.Start]]</f>
        <v>33311</v>
      </c>
      <c r="U37">
        <f>Table4[[#This Row],[Merged.End]]</f>
        <v>33346</v>
      </c>
    </row>
    <row r="38" spans="1:21" x14ac:dyDescent="0.25">
      <c r="A38">
        <v>37</v>
      </c>
      <c r="B38">
        <v>1</v>
      </c>
      <c r="C38" t="s">
        <v>1387</v>
      </c>
      <c r="D38" t="s">
        <v>1388</v>
      </c>
      <c r="E38" t="s">
        <v>1389</v>
      </c>
      <c r="F38">
        <v>33347</v>
      </c>
      <c r="G38">
        <v>33522</v>
      </c>
      <c r="H38">
        <v>0</v>
      </c>
      <c r="K38">
        <f>IF(Table4[[#This Row],[NeedsAttention]]=1,Table4[[#This Row],[Start]],Table4[[#This Row],[StartN]])</f>
        <v>33347</v>
      </c>
      <c r="L38">
        <f>IF(Table4[[#This Row],[NeedsAttention]]=1,Table4[[#This Row],[End]],Table4[[#This Row],[EndN]])</f>
        <v>33522</v>
      </c>
      <c r="M38" t="b">
        <f>Table4[[#This Row],[Merged.Start]]=L37+1</f>
        <v>1</v>
      </c>
      <c r="O38">
        <f>Table4[[#This Row],[Section]]</f>
        <v>37</v>
      </c>
      <c r="P38">
        <f>Table4[[#This Row],[Canon]]</f>
        <v>1</v>
      </c>
      <c r="Q38" s="1" t="str">
        <f>Table4[[#This Row],[Reference]]</f>
        <v>5.18-26</v>
      </c>
      <c r="R38" t="str">
        <f>Table4[[#This Row],[StartR]]</f>
        <v>LUK 5:18</v>
      </c>
      <c r="S38" t="str">
        <f>Table4[[#This Row],[EndR]]</f>
        <v>LUK 5:26</v>
      </c>
      <c r="T38">
        <f>Table4[[#This Row],[Merged.Start]]</f>
        <v>33347</v>
      </c>
      <c r="U38">
        <f>Table4[[#This Row],[Merged.End]]</f>
        <v>33522</v>
      </c>
    </row>
    <row r="39" spans="1:21" x14ac:dyDescent="0.25">
      <c r="A39">
        <v>38</v>
      </c>
      <c r="B39">
        <v>2</v>
      </c>
      <c r="C39" t="s">
        <v>1390</v>
      </c>
      <c r="D39" t="s">
        <v>1391</v>
      </c>
      <c r="E39" t="s">
        <v>1392</v>
      </c>
      <c r="F39">
        <v>33523</v>
      </c>
      <c r="G39">
        <v>33546</v>
      </c>
      <c r="H39">
        <v>0</v>
      </c>
      <c r="K39">
        <f>IF(Table4[[#This Row],[NeedsAttention]]=1,Table4[[#This Row],[Start]],Table4[[#This Row],[StartN]])</f>
        <v>33523</v>
      </c>
      <c r="L39">
        <f>IF(Table4[[#This Row],[NeedsAttention]]=1,Table4[[#This Row],[End]],Table4[[#This Row],[EndN]])</f>
        <v>33546</v>
      </c>
      <c r="M39" t="b">
        <f>Table4[[#This Row],[Merged.Start]]=L38+1</f>
        <v>1</v>
      </c>
      <c r="O39">
        <f>Table4[[#This Row],[Section]]</f>
        <v>38</v>
      </c>
      <c r="P39">
        <f>Table4[[#This Row],[Canon]]</f>
        <v>2</v>
      </c>
      <c r="Q39" s="1" t="str">
        <f>Table4[[#This Row],[Reference]]</f>
        <v>5.27-28</v>
      </c>
      <c r="R39" t="str">
        <f>Table4[[#This Row],[StartR]]</f>
        <v>LUK 5:27</v>
      </c>
      <c r="S39" t="str">
        <f>Table4[[#This Row],[EndR]]</f>
        <v>LUK 5:28</v>
      </c>
      <c r="T39">
        <f>Table4[[#This Row],[Merged.Start]]</f>
        <v>33523</v>
      </c>
      <c r="U39">
        <f>Table4[[#This Row],[Merged.End]]</f>
        <v>33546</v>
      </c>
    </row>
    <row r="40" spans="1:21" x14ac:dyDescent="0.25">
      <c r="A40">
        <v>39</v>
      </c>
      <c r="B40">
        <v>2</v>
      </c>
      <c r="C40" t="s">
        <v>1393</v>
      </c>
      <c r="D40" t="s">
        <v>1394</v>
      </c>
      <c r="E40" t="s">
        <v>1395</v>
      </c>
      <c r="F40">
        <v>33547</v>
      </c>
      <c r="G40">
        <v>33591</v>
      </c>
      <c r="H40">
        <v>0</v>
      </c>
      <c r="K40">
        <f>IF(Table4[[#This Row],[NeedsAttention]]=1,Table4[[#This Row],[Start]],Table4[[#This Row],[StartN]])</f>
        <v>33547</v>
      </c>
      <c r="L40">
        <f>IF(Table4[[#This Row],[NeedsAttention]]=1,Table4[[#This Row],[End]],Table4[[#This Row],[EndN]])</f>
        <v>33591</v>
      </c>
      <c r="M40" t="b">
        <f>Table4[[#This Row],[Merged.Start]]=L39+1</f>
        <v>1</v>
      </c>
      <c r="O40">
        <f>Table4[[#This Row],[Section]]</f>
        <v>39</v>
      </c>
      <c r="P40">
        <f>Table4[[#This Row],[Canon]]</f>
        <v>2</v>
      </c>
      <c r="Q40" s="1" t="str">
        <f>Table4[[#This Row],[Reference]]</f>
        <v>5.29-30</v>
      </c>
      <c r="R40" t="str">
        <f>Table4[[#This Row],[StartR]]</f>
        <v>LUK 5:29</v>
      </c>
      <c r="S40" t="str">
        <f>Table4[[#This Row],[EndR]]</f>
        <v>LUK 5:30</v>
      </c>
      <c r="T40">
        <f>Table4[[#This Row],[Merged.Start]]</f>
        <v>33547</v>
      </c>
      <c r="U40">
        <f>Table4[[#This Row],[Merged.End]]</f>
        <v>33591</v>
      </c>
    </row>
    <row r="41" spans="1:21" x14ac:dyDescent="0.25">
      <c r="A41">
        <v>40</v>
      </c>
      <c r="B41">
        <v>2</v>
      </c>
      <c r="C41" t="s">
        <v>1396</v>
      </c>
      <c r="D41" t="s">
        <v>1397</v>
      </c>
      <c r="E41" t="s">
        <v>1398</v>
      </c>
      <c r="F41">
        <v>33592</v>
      </c>
      <c r="G41">
        <v>33755</v>
      </c>
      <c r="H41">
        <v>0</v>
      </c>
      <c r="K41">
        <f>IF(Table4[[#This Row],[NeedsAttention]]=1,Table4[[#This Row],[Start]],Table4[[#This Row],[StartN]])</f>
        <v>33592</v>
      </c>
      <c r="L41">
        <f>IF(Table4[[#This Row],[NeedsAttention]]=1,Table4[[#This Row],[End]],Table4[[#This Row],[EndN]])</f>
        <v>33755</v>
      </c>
      <c r="M41" t="b">
        <f>Table4[[#This Row],[Merged.Start]]=L40+1</f>
        <v>1</v>
      </c>
      <c r="O41">
        <f>Table4[[#This Row],[Section]]</f>
        <v>40</v>
      </c>
      <c r="P41">
        <f>Table4[[#This Row],[Canon]]</f>
        <v>2</v>
      </c>
      <c r="Q41" s="1" t="str">
        <f>Table4[[#This Row],[Reference]]</f>
        <v>5.31-39</v>
      </c>
      <c r="R41" t="str">
        <f>Table4[[#This Row],[StartR]]</f>
        <v>LUK 5:31</v>
      </c>
      <c r="S41" t="str">
        <f>Table4[[#This Row],[EndR]]</f>
        <v>LUK 5:39</v>
      </c>
      <c r="T41">
        <f>Table4[[#This Row],[Merged.Start]]</f>
        <v>33592</v>
      </c>
      <c r="U41">
        <f>Table4[[#This Row],[Merged.End]]</f>
        <v>33755</v>
      </c>
    </row>
    <row r="42" spans="1:21" x14ac:dyDescent="0.25">
      <c r="A42">
        <v>41</v>
      </c>
      <c r="B42">
        <v>2</v>
      </c>
      <c r="C42" t="s">
        <v>1399</v>
      </c>
      <c r="D42" t="s">
        <v>1400</v>
      </c>
      <c r="E42" t="s">
        <v>1401</v>
      </c>
      <c r="F42">
        <v>33756</v>
      </c>
      <c r="G42">
        <v>33847</v>
      </c>
      <c r="H42">
        <v>0</v>
      </c>
      <c r="K42">
        <f>IF(Table4[[#This Row],[NeedsAttention]]=1,Table4[[#This Row],[Start]],Table4[[#This Row],[StartN]])</f>
        <v>33756</v>
      </c>
      <c r="L42">
        <f>IF(Table4[[#This Row],[NeedsAttention]]=1,Table4[[#This Row],[End]],Table4[[#This Row],[EndN]])</f>
        <v>33847</v>
      </c>
      <c r="M42" t="b">
        <f>Table4[[#This Row],[Merged.Start]]=L41+1</f>
        <v>1</v>
      </c>
      <c r="O42">
        <f>Table4[[#This Row],[Section]]</f>
        <v>41</v>
      </c>
      <c r="P42">
        <f>Table4[[#This Row],[Canon]]</f>
        <v>2</v>
      </c>
      <c r="Q42" s="1" t="str">
        <f>Table4[[#This Row],[Reference]]</f>
        <v>6.1-5</v>
      </c>
      <c r="R42" t="str">
        <f>Table4[[#This Row],[StartR]]</f>
        <v>LUK 6:1</v>
      </c>
      <c r="S42" t="str">
        <f>Table4[[#This Row],[EndR]]</f>
        <v>LUK 6:5</v>
      </c>
      <c r="T42">
        <f>Table4[[#This Row],[Merged.Start]]</f>
        <v>33756</v>
      </c>
      <c r="U42">
        <f>Table4[[#This Row],[Merged.End]]</f>
        <v>33847</v>
      </c>
    </row>
    <row r="43" spans="1:21" x14ac:dyDescent="0.25">
      <c r="A43">
        <v>42</v>
      </c>
      <c r="B43">
        <v>2</v>
      </c>
      <c r="C43" t="s">
        <v>1402</v>
      </c>
      <c r="D43" t="s">
        <v>1403</v>
      </c>
      <c r="E43" t="s">
        <v>1404</v>
      </c>
      <c r="F43">
        <v>33848</v>
      </c>
      <c r="G43">
        <v>33961</v>
      </c>
      <c r="H43">
        <v>0</v>
      </c>
      <c r="K43">
        <f>IF(Table4[[#This Row],[NeedsAttention]]=1,Table4[[#This Row],[Start]],Table4[[#This Row],[StartN]])</f>
        <v>33848</v>
      </c>
      <c r="L43">
        <f>IF(Table4[[#This Row],[NeedsAttention]]=1,Table4[[#This Row],[End]],Table4[[#This Row],[EndN]])</f>
        <v>33961</v>
      </c>
      <c r="M43" t="b">
        <f>Table4[[#This Row],[Merged.Start]]=L42+1</f>
        <v>1</v>
      </c>
      <c r="O43">
        <f>Table4[[#This Row],[Section]]</f>
        <v>42</v>
      </c>
      <c r="P43">
        <f>Table4[[#This Row],[Canon]]</f>
        <v>2</v>
      </c>
      <c r="Q43" s="1" t="str">
        <f>Table4[[#This Row],[Reference]]</f>
        <v>6.6-11</v>
      </c>
      <c r="R43" t="str">
        <f>Table4[[#This Row],[StartR]]</f>
        <v>LUK 6:6</v>
      </c>
      <c r="S43" t="str">
        <f>Table4[[#This Row],[EndR]]</f>
        <v>LUK 6:11</v>
      </c>
      <c r="T43">
        <f>Table4[[#This Row],[Merged.Start]]</f>
        <v>33848</v>
      </c>
      <c r="U43">
        <f>Table4[[#This Row],[Merged.End]]</f>
        <v>33961</v>
      </c>
    </row>
    <row r="44" spans="1:21" x14ac:dyDescent="0.25">
      <c r="A44">
        <v>43</v>
      </c>
      <c r="B44">
        <v>2</v>
      </c>
      <c r="C44">
        <v>6.12</v>
      </c>
      <c r="D44" t="s">
        <v>1405</v>
      </c>
      <c r="E44" t="s">
        <v>1405</v>
      </c>
      <c r="F44">
        <v>33962</v>
      </c>
      <c r="G44">
        <v>33981</v>
      </c>
      <c r="H44">
        <v>0</v>
      </c>
      <c r="K44">
        <f>IF(Table4[[#This Row],[NeedsAttention]]=1,Table4[[#This Row],[Start]],Table4[[#This Row],[StartN]])</f>
        <v>33962</v>
      </c>
      <c r="L44">
        <f>IF(Table4[[#This Row],[NeedsAttention]]=1,Table4[[#This Row],[End]],Table4[[#This Row],[EndN]])</f>
        <v>33981</v>
      </c>
      <c r="M44" t="b">
        <f>Table4[[#This Row],[Merged.Start]]=L43+1</f>
        <v>1</v>
      </c>
      <c r="O44">
        <f>Table4[[#This Row],[Section]]</f>
        <v>43</v>
      </c>
      <c r="P44">
        <f>Table4[[#This Row],[Canon]]</f>
        <v>2</v>
      </c>
      <c r="Q44" s="1">
        <f>Table4[[#This Row],[Reference]]</f>
        <v>6.12</v>
      </c>
      <c r="R44" t="str">
        <f>Table4[[#This Row],[StartR]]</f>
        <v>LUK 6:12</v>
      </c>
      <c r="S44" t="str">
        <f>Table4[[#This Row],[EndR]]</f>
        <v>LUK 6:12</v>
      </c>
      <c r="T44">
        <f>Table4[[#This Row],[Merged.Start]]</f>
        <v>33962</v>
      </c>
      <c r="U44">
        <f>Table4[[#This Row],[Merged.End]]</f>
        <v>33981</v>
      </c>
    </row>
    <row r="45" spans="1:21" x14ac:dyDescent="0.25">
      <c r="A45">
        <v>44</v>
      </c>
      <c r="B45">
        <v>2</v>
      </c>
      <c r="C45" t="s">
        <v>1406</v>
      </c>
      <c r="D45" t="s">
        <v>1407</v>
      </c>
      <c r="E45" t="s">
        <v>1408</v>
      </c>
      <c r="F45">
        <v>33982</v>
      </c>
      <c r="G45">
        <v>34037</v>
      </c>
      <c r="H45">
        <v>0</v>
      </c>
      <c r="K45">
        <f>IF(Table4[[#This Row],[NeedsAttention]]=1,Table4[[#This Row],[Start]],Table4[[#This Row],[StartN]])</f>
        <v>33982</v>
      </c>
      <c r="L45">
        <f>IF(Table4[[#This Row],[NeedsAttention]]=1,Table4[[#This Row],[End]],Table4[[#This Row],[EndN]])</f>
        <v>34037</v>
      </c>
      <c r="M45" t="b">
        <f>Table4[[#This Row],[Merged.Start]]=L44+1</f>
        <v>1</v>
      </c>
      <c r="O45">
        <f>Table4[[#This Row],[Section]]</f>
        <v>44</v>
      </c>
      <c r="P45">
        <f>Table4[[#This Row],[Canon]]</f>
        <v>2</v>
      </c>
      <c r="Q45" s="1" t="str">
        <f>Table4[[#This Row],[Reference]]</f>
        <v>6.13-16</v>
      </c>
      <c r="R45" t="str">
        <f>Table4[[#This Row],[StartR]]</f>
        <v>LUK 6:13</v>
      </c>
      <c r="S45" t="str">
        <f>Table4[[#This Row],[EndR]]</f>
        <v>LUK 6:16</v>
      </c>
      <c r="T45">
        <f>Table4[[#This Row],[Merged.Start]]</f>
        <v>33982</v>
      </c>
      <c r="U45">
        <f>Table4[[#This Row],[Merged.End]]</f>
        <v>34037</v>
      </c>
    </row>
    <row r="46" spans="1:21" x14ac:dyDescent="0.25">
      <c r="A46">
        <v>45</v>
      </c>
      <c r="B46">
        <v>1</v>
      </c>
      <c r="C46" t="s">
        <v>1409</v>
      </c>
      <c r="D46" t="s">
        <v>1410</v>
      </c>
      <c r="E46" t="s">
        <v>1411</v>
      </c>
      <c r="F46">
        <v>34038</v>
      </c>
      <c r="G46">
        <v>34099</v>
      </c>
      <c r="H46">
        <v>0</v>
      </c>
      <c r="K46">
        <f>IF(Table4[[#This Row],[NeedsAttention]]=1,Table4[[#This Row],[Start]],Table4[[#This Row],[StartN]])</f>
        <v>34038</v>
      </c>
      <c r="L46">
        <f>IF(Table4[[#This Row],[NeedsAttention]]=1,Table4[[#This Row],[End]],Table4[[#This Row],[EndN]])</f>
        <v>34099</v>
      </c>
      <c r="M46" t="b">
        <f>Table4[[#This Row],[Merged.Start]]=L45+1</f>
        <v>1</v>
      </c>
      <c r="O46">
        <f>Table4[[#This Row],[Section]]</f>
        <v>45</v>
      </c>
      <c r="P46">
        <f>Table4[[#This Row],[Canon]]</f>
        <v>1</v>
      </c>
      <c r="Q46" s="1" t="str">
        <f>Table4[[#This Row],[Reference]]</f>
        <v>6.17-19</v>
      </c>
      <c r="R46" t="str">
        <f>Table4[[#This Row],[StartR]]</f>
        <v>LUK 6:17</v>
      </c>
      <c r="S46" t="str">
        <f>Table4[[#This Row],[EndR]]</f>
        <v>LUK 6:19</v>
      </c>
      <c r="T46">
        <f>Table4[[#This Row],[Merged.Start]]</f>
        <v>34038</v>
      </c>
      <c r="U46">
        <f>Table4[[#This Row],[Merged.End]]</f>
        <v>34099</v>
      </c>
    </row>
    <row r="47" spans="1:21" x14ac:dyDescent="0.25">
      <c r="A47">
        <v>46</v>
      </c>
      <c r="B47">
        <v>5</v>
      </c>
      <c r="C47">
        <v>6.2</v>
      </c>
      <c r="D47" t="s">
        <v>2526</v>
      </c>
      <c r="E47" t="s">
        <v>2526</v>
      </c>
      <c r="F47">
        <v>34100</v>
      </c>
      <c r="G47">
        <v>34120</v>
      </c>
      <c r="H47">
        <v>0</v>
      </c>
      <c r="K47">
        <f>IF(Table4[[#This Row],[NeedsAttention]]=1,Table4[[#This Row],[Start]],Table4[[#This Row],[StartN]])</f>
        <v>34100</v>
      </c>
      <c r="L47">
        <f>IF(Table4[[#This Row],[NeedsAttention]]=1,Table4[[#This Row],[End]],Table4[[#This Row],[EndN]])</f>
        <v>34120</v>
      </c>
      <c r="M47" t="b">
        <f>Table4[[#This Row],[Merged.Start]]=L46+1</f>
        <v>1</v>
      </c>
      <c r="O47">
        <f>Table4[[#This Row],[Section]]</f>
        <v>46</v>
      </c>
      <c r="P47">
        <f>Table4[[#This Row],[Canon]]</f>
        <v>5</v>
      </c>
      <c r="Q47" s="1">
        <f>Table4[[#This Row],[Reference]]</f>
        <v>6.2</v>
      </c>
      <c r="R47" t="str">
        <f>Table4[[#This Row],[StartR]]</f>
        <v>LUK 6:20</v>
      </c>
      <c r="S47" t="str">
        <f>Table4[[#This Row],[EndR]]</f>
        <v>LUK 6:20</v>
      </c>
      <c r="T47">
        <f>Table4[[#This Row],[Merged.Start]]</f>
        <v>34100</v>
      </c>
      <c r="U47">
        <f>Table4[[#This Row],[Merged.End]]</f>
        <v>34120</v>
      </c>
    </row>
    <row r="48" spans="1:21" x14ac:dyDescent="0.25">
      <c r="A48">
        <v>47</v>
      </c>
      <c r="B48">
        <v>5</v>
      </c>
      <c r="C48" t="s">
        <v>1412</v>
      </c>
      <c r="D48" t="s">
        <v>1413</v>
      </c>
      <c r="E48" t="s">
        <v>1413</v>
      </c>
      <c r="F48">
        <v>34121</v>
      </c>
      <c r="G48">
        <v>34132</v>
      </c>
      <c r="H48">
        <v>1</v>
      </c>
      <c r="I48">
        <v>34121</v>
      </c>
      <c r="J48">
        <v>34126</v>
      </c>
      <c r="K48">
        <f>IF(Table4[[#This Row],[NeedsAttention]]=1,Table4[[#This Row],[Start]],Table4[[#This Row],[StartN]])</f>
        <v>34121</v>
      </c>
      <c r="L48">
        <f>IF(Table4[[#This Row],[NeedsAttention]]=1,Table4[[#This Row],[End]],Table4[[#This Row],[EndN]])</f>
        <v>34126</v>
      </c>
      <c r="M48" t="b">
        <f>Table4[[#This Row],[Merged.Start]]=L47+1</f>
        <v>1</v>
      </c>
      <c r="O48">
        <f>Table4[[#This Row],[Section]]</f>
        <v>47</v>
      </c>
      <c r="P48">
        <f>Table4[[#This Row],[Canon]]</f>
        <v>5</v>
      </c>
      <c r="Q48" s="1" t="str">
        <f>Table4[[#This Row],[Reference]]</f>
        <v>6.21A</v>
      </c>
      <c r="R48" t="str">
        <f>Table4[[#This Row],[StartR]]</f>
        <v>LUK 6:21</v>
      </c>
      <c r="S48" t="str">
        <f>Table4[[#This Row],[EndR]]</f>
        <v>LUK 6:21</v>
      </c>
      <c r="T48">
        <f>Table4[[#This Row],[Merged.Start]]</f>
        <v>34121</v>
      </c>
      <c r="U48">
        <f>Table4[[#This Row],[Merged.End]]</f>
        <v>34126</v>
      </c>
    </row>
    <row r="49" spans="1:21" x14ac:dyDescent="0.25">
      <c r="A49">
        <v>48</v>
      </c>
      <c r="B49">
        <v>5</v>
      </c>
      <c r="C49" t="s">
        <v>1414</v>
      </c>
      <c r="D49" t="s">
        <v>1413</v>
      </c>
      <c r="E49" t="s">
        <v>1413</v>
      </c>
      <c r="F49">
        <v>34121</v>
      </c>
      <c r="G49">
        <v>34132</v>
      </c>
      <c r="H49">
        <v>1</v>
      </c>
      <c r="I49">
        <v>34127</v>
      </c>
      <c r="J49">
        <v>34132</v>
      </c>
      <c r="K49">
        <f>IF(Table4[[#This Row],[NeedsAttention]]=1,Table4[[#This Row],[Start]],Table4[[#This Row],[StartN]])</f>
        <v>34127</v>
      </c>
      <c r="L49">
        <f>IF(Table4[[#This Row],[NeedsAttention]]=1,Table4[[#This Row],[End]],Table4[[#This Row],[EndN]])</f>
        <v>34132</v>
      </c>
      <c r="M49" t="b">
        <f>Table4[[#This Row],[Merged.Start]]=L48+1</f>
        <v>1</v>
      </c>
      <c r="O49">
        <f>Table4[[#This Row],[Section]]</f>
        <v>48</v>
      </c>
      <c r="P49">
        <f>Table4[[#This Row],[Canon]]</f>
        <v>5</v>
      </c>
      <c r="Q49" s="1" t="str">
        <f>Table4[[#This Row],[Reference]]</f>
        <v>6.21B</v>
      </c>
      <c r="R49" t="str">
        <f>Table4[[#This Row],[StartR]]</f>
        <v>LUK 6:21</v>
      </c>
      <c r="S49" t="str">
        <f>Table4[[#This Row],[EndR]]</f>
        <v>LUK 6:21</v>
      </c>
      <c r="T49">
        <f>Table4[[#This Row],[Merged.Start]]</f>
        <v>34127</v>
      </c>
      <c r="U49">
        <f>Table4[[#This Row],[Merged.End]]</f>
        <v>34132</v>
      </c>
    </row>
    <row r="50" spans="1:21" x14ac:dyDescent="0.25">
      <c r="A50">
        <v>49</v>
      </c>
      <c r="B50">
        <v>5</v>
      </c>
      <c r="C50" t="s">
        <v>112</v>
      </c>
      <c r="D50" t="s">
        <v>1415</v>
      </c>
      <c r="E50" t="s">
        <v>1416</v>
      </c>
      <c r="F50">
        <v>34133</v>
      </c>
      <c r="G50">
        <v>34183</v>
      </c>
      <c r="H50">
        <v>0</v>
      </c>
      <c r="K50">
        <f>IF(Table4[[#This Row],[NeedsAttention]]=1,Table4[[#This Row],[Start]],Table4[[#This Row],[StartN]])</f>
        <v>34133</v>
      </c>
      <c r="L50">
        <f>IF(Table4[[#This Row],[NeedsAttention]]=1,Table4[[#This Row],[End]],Table4[[#This Row],[EndN]])</f>
        <v>34183</v>
      </c>
      <c r="M50" t="b">
        <f>Table4[[#This Row],[Merged.Start]]=L49+1</f>
        <v>1</v>
      </c>
      <c r="O50">
        <f>Table4[[#This Row],[Section]]</f>
        <v>49</v>
      </c>
      <c r="P50">
        <f>Table4[[#This Row],[Canon]]</f>
        <v>5</v>
      </c>
      <c r="Q50" s="1" t="str">
        <f>Table4[[#This Row],[Reference]]</f>
        <v>6.22-23</v>
      </c>
      <c r="R50" t="str">
        <f>Table4[[#This Row],[StartR]]</f>
        <v>LUK 6:22</v>
      </c>
      <c r="S50" t="str">
        <f>Table4[[#This Row],[EndR]]</f>
        <v>LUK 6:23</v>
      </c>
      <c r="T50">
        <f>Table4[[#This Row],[Merged.Start]]</f>
        <v>34133</v>
      </c>
      <c r="U50">
        <f>Table4[[#This Row],[Merged.End]]</f>
        <v>34183</v>
      </c>
    </row>
    <row r="51" spans="1:21" x14ac:dyDescent="0.25">
      <c r="A51">
        <v>50</v>
      </c>
      <c r="B51">
        <v>10</v>
      </c>
      <c r="C51" t="s">
        <v>1417</v>
      </c>
      <c r="D51" t="s">
        <v>1418</v>
      </c>
      <c r="E51" t="s">
        <v>1419</v>
      </c>
      <c r="F51">
        <v>34184</v>
      </c>
      <c r="G51">
        <v>34208</v>
      </c>
      <c r="H51">
        <v>0</v>
      </c>
      <c r="K51">
        <f>IF(Table4[[#This Row],[NeedsAttention]]=1,Table4[[#This Row],[Start]],Table4[[#This Row],[StartN]])</f>
        <v>34184</v>
      </c>
      <c r="L51">
        <f>IF(Table4[[#This Row],[NeedsAttention]]=1,Table4[[#This Row],[End]],Table4[[#This Row],[EndN]])</f>
        <v>34208</v>
      </c>
      <c r="M51" t="b">
        <f>Table4[[#This Row],[Merged.Start]]=L50+1</f>
        <v>1</v>
      </c>
      <c r="O51">
        <f>Table4[[#This Row],[Section]]</f>
        <v>50</v>
      </c>
      <c r="P51">
        <f>Table4[[#This Row],[Canon]]</f>
        <v>10</v>
      </c>
      <c r="Q51" s="1" t="str">
        <f>Table4[[#This Row],[Reference]]</f>
        <v>6.24-25</v>
      </c>
      <c r="R51" t="str">
        <f>Table4[[#This Row],[StartR]]</f>
        <v>LUK 6:24</v>
      </c>
      <c r="S51" t="str">
        <f>Table4[[#This Row],[EndR]]</f>
        <v>LUK 6:25</v>
      </c>
      <c r="T51">
        <f>Table4[[#This Row],[Merged.Start]]</f>
        <v>34184</v>
      </c>
      <c r="U51">
        <f>Table4[[#This Row],[Merged.End]]</f>
        <v>34208</v>
      </c>
    </row>
    <row r="52" spans="1:21" x14ac:dyDescent="0.25">
      <c r="A52">
        <v>51</v>
      </c>
      <c r="B52">
        <v>10</v>
      </c>
      <c r="C52">
        <v>6.26</v>
      </c>
      <c r="D52" t="s">
        <v>1420</v>
      </c>
      <c r="E52" t="s">
        <v>1420</v>
      </c>
      <c r="F52">
        <v>34209</v>
      </c>
      <c r="G52">
        <v>34226</v>
      </c>
      <c r="H52">
        <v>0</v>
      </c>
      <c r="K52">
        <f>IF(Table4[[#This Row],[NeedsAttention]]=1,Table4[[#This Row],[Start]],Table4[[#This Row],[StartN]])</f>
        <v>34209</v>
      </c>
      <c r="L52">
        <f>IF(Table4[[#This Row],[NeedsAttention]]=1,Table4[[#This Row],[End]],Table4[[#This Row],[EndN]])</f>
        <v>34226</v>
      </c>
      <c r="M52" t="b">
        <f>Table4[[#This Row],[Merged.Start]]=L51+1</f>
        <v>1</v>
      </c>
      <c r="O52">
        <f>Table4[[#This Row],[Section]]</f>
        <v>51</v>
      </c>
      <c r="P52">
        <f>Table4[[#This Row],[Canon]]</f>
        <v>10</v>
      </c>
      <c r="Q52" s="1">
        <f>Table4[[#This Row],[Reference]]</f>
        <v>6.26</v>
      </c>
      <c r="R52" t="str">
        <f>Table4[[#This Row],[StartR]]</f>
        <v>LUK 6:26</v>
      </c>
      <c r="S52" t="str">
        <f>Table4[[#This Row],[EndR]]</f>
        <v>LUK 6:26</v>
      </c>
      <c r="T52">
        <f>Table4[[#This Row],[Merged.Start]]</f>
        <v>34209</v>
      </c>
      <c r="U52">
        <f>Table4[[#This Row],[Merged.End]]</f>
        <v>34226</v>
      </c>
    </row>
    <row r="53" spans="1:21" x14ac:dyDescent="0.25">
      <c r="A53">
        <v>52</v>
      </c>
      <c r="B53">
        <v>5</v>
      </c>
      <c r="C53" t="s">
        <v>1421</v>
      </c>
      <c r="D53" t="s">
        <v>1422</v>
      </c>
      <c r="E53" t="s">
        <v>1423</v>
      </c>
      <c r="F53">
        <v>34227</v>
      </c>
      <c r="G53">
        <v>34249</v>
      </c>
      <c r="H53">
        <v>0</v>
      </c>
      <c r="K53">
        <f>IF(Table4[[#This Row],[NeedsAttention]]=1,Table4[[#This Row],[Start]],Table4[[#This Row],[StartN]])</f>
        <v>34227</v>
      </c>
      <c r="L53">
        <f>IF(Table4[[#This Row],[NeedsAttention]]=1,Table4[[#This Row],[End]],Table4[[#This Row],[EndN]])</f>
        <v>34249</v>
      </c>
      <c r="M53" t="b">
        <f>Table4[[#This Row],[Merged.Start]]=L52+1</f>
        <v>1</v>
      </c>
      <c r="O53">
        <f>Table4[[#This Row],[Section]]</f>
        <v>52</v>
      </c>
      <c r="P53">
        <f>Table4[[#This Row],[Canon]]</f>
        <v>5</v>
      </c>
      <c r="Q53" s="1" t="str">
        <f>Table4[[#This Row],[Reference]]</f>
        <v>6.27-28</v>
      </c>
      <c r="R53" t="str">
        <f>Table4[[#This Row],[StartR]]</f>
        <v>LUK 6:27</v>
      </c>
      <c r="S53" t="str">
        <f>Table4[[#This Row],[EndR]]</f>
        <v>LUK 6:28</v>
      </c>
      <c r="T53">
        <f>Table4[[#This Row],[Merged.Start]]</f>
        <v>34227</v>
      </c>
      <c r="U53">
        <f>Table4[[#This Row],[Merged.End]]</f>
        <v>34249</v>
      </c>
    </row>
    <row r="54" spans="1:21" x14ac:dyDescent="0.25">
      <c r="A54">
        <v>53</v>
      </c>
      <c r="B54">
        <v>5</v>
      </c>
      <c r="C54" t="s">
        <v>1424</v>
      </c>
      <c r="D54" t="s">
        <v>1425</v>
      </c>
      <c r="E54" t="s">
        <v>1426</v>
      </c>
      <c r="F54">
        <v>34250</v>
      </c>
      <c r="G54">
        <v>34283</v>
      </c>
      <c r="H54">
        <v>0</v>
      </c>
      <c r="K54">
        <f>IF(Table4[[#This Row],[NeedsAttention]]=1,Table4[[#This Row],[Start]],Table4[[#This Row],[StartN]])</f>
        <v>34250</v>
      </c>
      <c r="L54">
        <f>IF(Table4[[#This Row],[NeedsAttention]]=1,Table4[[#This Row],[End]],Table4[[#This Row],[EndN]])</f>
        <v>34283</v>
      </c>
      <c r="M54" t="b">
        <f>Table4[[#This Row],[Merged.Start]]=L53+1</f>
        <v>1</v>
      </c>
      <c r="O54">
        <f>Table4[[#This Row],[Section]]</f>
        <v>53</v>
      </c>
      <c r="P54">
        <f>Table4[[#This Row],[Canon]]</f>
        <v>5</v>
      </c>
      <c r="Q54" s="1" t="str">
        <f>Table4[[#This Row],[Reference]]</f>
        <v>6.29-30</v>
      </c>
      <c r="R54" t="str">
        <f>Table4[[#This Row],[StartR]]</f>
        <v>LUK 6:29</v>
      </c>
      <c r="S54" t="str">
        <f>Table4[[#This Row],[EndR]]</f>
        <v>LUK 6:30</v>
      </c>
      <c r="T54">
        <f>Table4[[#This Row],[Merged.Start]]</f>
        <v>34250</v>
      </c>
      <c r="U54">
        <f>Table4[[#This Row],[Merged.End]]</f>
        <v>34283</v>
      </c>
    </row>
    <row r="55" spans="1:21" x14ac:dyDescent="0.25">
      <c r="A55">
        <v>54</v>
      </c>
      <c r="B55">
        <v>5</v>
      </c>
      <c r="C55">
        <v>6.31</v>
      </c>
      <c r="D55" t="s">
        <v>1427</v>
      </c>
      <c r="E55" t="s">
        <v>1427</v>
      </c>
      <c r="F55">
        <v>34284</v>
      </c>
      <c r="G55">
        <v>34294</v>
      </c>
      <c r="H55">
        <v>0</v>
      </c>
      <c r="K55">
        <f>IF(Table4[[#This Row],[NeedsAttention]]=1,Table4[[#This Row],[Start]],Table4[[#This Row],[StartN]])</f>
        <v>34284</v>
      </c>
      <c r="L55">
        <f>IF(Table4[[#This Row],[NeedsAttention]]=1,Table4[[#This Row],[End]],Table4[[#This Row],[EndN]])</f>
        <v>34294</v>
      </c>
      <c r="M55" t="b">
        <f>Table4[[#This Row],[Merged.Start]]=L54+1</f>
        <v>1</v>
      </c>
      <c r="O55">
        <f>Table4[[#This Row],[Section]]</f>
        <v>54</v>
      </c>
      <c r="P55">
        <f>Table4[[#This Row],[Canon]]</f>
        <v>5</v>
      </c>
      <c r="Q55" s="1">
        <f>Table4[[#This Row],[Reference]]</f>
        <v>6.31</v>
      </c>
      <c r="R55" t="str">
        <f>Table4[[#This Row],[StartR]]</f>
        <v>LUK 6:31</v>
      </c>
      <c r="S55" t="str">
        <f>Table4[[#This Row],[EndR]]</f>
        <v>LUK 6:31</v>
      </c>
      <c r="T55">
        <f>Table4[[#This Row],[Merged.Start]]</f>
        <v>34284</v>
      </c>
      <c r="U55">
        <f>Table4[[#This Row],[Merged.End]]</f>
        <v>34294</v>
      </c>
    </row>
    <row r="56" spans="1:21" x14ac:dyDescent="0.25">
      <c r="A56">
        <v>55</v>
      </c>
      <c r="B56">
        <v>5</v>
      </c>
      <c r="C56" t="s">
        <v>1428</v>
      </c>
      <c r="D56" t="s">
        <v>1429</v>
      </c>
      <c r="E56" t="s">
        <v>1430</v>
      </c>
      <c r="F56">
        <v>34295</v>
      </c>
      <c r="G56">
        <v>34377</v>
      </c>
      <c r="H56">
        <v>0</v>
      </c>
      <c r="K56">
        <f>IF(Table4[[#This Row],[NeedsAttention]]=1,Table4[[#This Row],[Start]],Table4[[#This Row],[StartN]])</f>
        <v>34295</v>
      </c>
      <c r="L56">
        <f>IF(Table4[[#This Row],[NeedsAttention]]=1,Table4[[#This Row],[End]],Table4[[#This Row],[EndN]])</f>
        <v>34377</v>
      </c>
      <c r="M56" t="b">
        <f>Table4[[#This Row],[Merged.Start]]=L55+1</f>
        <v>1</v>
      </c>
      <c r="O56">
        <f>Table4[[#This Row],[Section]]</f>
        <v>55</v>
      </c>
      <c r="P56">
        <f>Table4[[#This Row],[Canon]]</f>
        <v>5</v>
      </c>
      <c r="Q56" s="1" t="str">
        <f>Table4[[#This Row],[Reference]]</f>
        <v>6.32-35</v>
      </c>
      <c r="R56" t="str">
        <f>Table4[[#This Row],[StartR]]</f>
        <v>LUK 6:32</v>
      </c>
      <c r="S56" t="str">
        <f>Table4[[#This Row],[EndR]]</f>
        <v>LUK 6:35</v>
      </c>
      <c r="T56">
        <f>Table4[[#This Row],[Merged.Start]]</f>
        <v>34295</v>
      </c>
      <c r="U56">
        <f>Table4[[#This Row],[Merged.End]]</f>
        <v>34377</v>
      </c>
    </row>
    <row r="57" spans="1:21" x14ac:dyDescent="0.25">
      <c r="A57">
        <v>56</v>
      </c>
      <c r="B57">
        <v>2</v>
      </c>
      <c r="C57" t="s">
        <v>1431</v>
      </c>
      <c r="D57" t="s">
        <v>1432</v>
      </c>
      <c r="E57" t="s">
        <v>1433</v>
      </c>
      <c r="F57">
        <v>34378</v>
      </c>
      <c r="G57">
        <v>34422</v>
      </c>
      <c r="H57">
        <v>0</v>
      </c>
      <c r="K57">
        <f>IF(Table4[[#This Row],[NeedsAttention]]=1,Table4[[#This Row],[Start]],Table4[[#This Row],[StartN]])</f>
        <v>34378</v>
      </c>
      <c r="L57">
        <f>IF(Table4[[#This Row],[NeedsAttention]]=1,Table4[[#This Row],[End]],Table4[[#This Row],[EndN]])</f>
        <v>34422</v>
      </c>
      <c r="M57" t="b">
        <f>Table4[[#This Row],[Merged.Start]]=L56+1</f>
        <v>1</v>
      </c>
      <c r="O57">
        <f>Table4[[#This Row],[Section]]</f>
        <v>56</v>
      </c>
      <c r="P57">
        <f>Table4[[#This Row],[Canon]]</f>
        <v>2</v>
      </c>
      <c r="Q57" s="1" t="str">
        <f>Table4[[#This Row],[Reference]]</f>
        <v>6.36-38</v>
      </c>
      <c r="R57" t="str">
        <f>Table4[[#This Row],[StartR]]</f>
        <v>LUK 6:36</v>
      </c>
      <c r="S57" t="str">
        <f>Table4[[#This Row],[EndR]]</f>
        <v>LUK 6:38</v>
      </c>
      <c r="T57">
        <f>Table4[[#This Row],[Merged.Start]]</f>
        <v>34378</v>
      </c>
      <c r="U57">
        <f>Table4[[#This Row],[Merged.End]]</f>
        <v>34422</v>
      </c>
    </row>
    <row r="58" spans="1:21" x14ac:dyDescent="0.25">
      <c r="A58">
        <v>57</v>
      </c>
      <c r="B58">
        <v>5</v>
      </c>
      <c r="C58">
        <v>6.39</v>
      </c>
      <c r="D58" t="s">
        <v>1434</v>
      </c>
      <c r="E58" t="s">
        <v>1434</v>
      </c>
      <c r="F58">
        <v>34423</v>
      </c>
      <c r="G58">
        <v>34437</v>
      </c>
      <c r="H58">
        <v>0</v>
      </c>
      <c r="K58">
        <f>IF(Table4[[#This Row],[NeedsAttention]]=1,Table4[[#This Row],[Start]],Table4[[#This Row],[StartN]])</f>
        <v>34423</v>
      </c>
      <c r="L58">
        <f>IF(Table4[[#This Row],[NeedsAttention]]=1,Table4[[#This Row],[End]],Table4[[#This Row],[EndN]])</f>
        <v>34437</v>
      </c>
      <c r="M58" t="b">
        <f>Table4[[#This Row],[Merged.Start]]=L57+1</f>
        <v>1</v>
      </c>
      <c r="O58">
        <f>Table4[[#This Row],[Section]]</f>
        <v>57</v>
      </c>
      <c r="P58">
        <f>Table4[[#This Row],[Canon]]</f>
        <v>5</v>
      </c>
      <c r="Q58" s="1">
        <f>Table4[[#This Row],[Reference]]</f>
        <v>6.39</v>
      </c>
      <c r="R58" t="str">
        <f>Table4[[#This Row],[StartR]]</f>
        <v>LUK 6:39</v>
      </c>
      <c r="S58" t="str">
        <f>Table4[[#This Row],[EndR]]</f>
        <v>LUK 6:39</v>
      </c>
      <c r="T58">
        <f>Table4[[#This Row],[Merged.Start]]</f>
        <v>34423</v>
      </c>
      <c r="U58">
        <f>Table4[[#This Row],[Merged.End]]</f>
        <v>34437</v>
      </c>
    </row>
    <row r="59" spans="1:21" x14ac:dyDescent="0.25">
      <c r="A59">
        <v>58</v>
      </c>
      <c r="B59">
        <v>3</v>
      </c>
      <c r="C59">
        <v>6.4</v>
      </c>
      <c r="D59" t="s">
        <v>2527</v>
      </c>
      <c r="E59" t="s">
        <v>2527</v>
      </c>
      <c r="F59">
        <v>34438</v>
      </c>
      <c r="G59">
        <v>34451</v>
      </c>
      <c r="H59">
        <v>0</v>
      </c>
      <c r="K59">
        <f>IF(Table4[[#This Row],[NeedsAttention]]=1,Table4[[#This Row],[Start]],Table4[[#This Row],[StartN]])</f>
        <v>34438</v>
      </c>
      <c r="L59">
        <f>IF(Table4[[#This Row],[NeedsAttention]]=1,Table4[[#This Row],[End]],Table4[[#This Row],[EndN]])</f>
        <v>34451</v>
      </c>
      <c r="M59" t="b">
        <f>Table4[[#This Row],[Merged.Start]]=L58+1</f>
        <v>1</v>
      </c>
      <c r="O59">
        <f>Table4[[#This Row],[Section]]</f>
        <v>58</v>
      </c>
      <c r="P59">
        <f>Table4[[#This Row],[Canon]]</f>
        <v>3</v>
      </c>
      <c r="Q59" s="1">
        <f>Table4[[#This Row],[Reference]]</f>
        <v>6.4</v>
      </c>
      <c r="R59" t="str">
        <f>Table4[[#This Row],[StartR]]</f>
        <v>LUK 6:40</v>
      </c>
      <c r="S59" t="str">
        <f>Table4[[#This Row],[EndR]]</f>
        <v>LUK 6:40</v>
      </c>
      <c r="T59">
        <f>Table4[[#This Row],[Merged.Start]]</f>
        <v>34438</v>
      </c>
      <c r="U59">
        <f>Table4[[#This Row],[Merged.End]]</f>
        <v>34451</v>
      </c>
    </row>
    <row r="60" spans="1:21" x14ac:dyDescent="0.25">
      <c r="A60">
        <v>59</v>
      </c>
      <c r="B60">
        <v>5</v>
      </c>
      <c r="C60" t="s">
        <v>1435</v>
      </c>
      <c r="D60" t="s">
        <v>1436</v>
      </c>
      <c r="E60" t="s">
        <v>1437</v>
      </c>
      <c r="F60">
        <v>34452</v>
      </c>
      <c r="G60">
        <v>34520</v>
      </c>
      <c r="H60">
        <v>0</v>
      </c>
      <c r="K60">
        <f>IF(Table4[[#This Row],[NeedsAttention]]=1,Table4[[#This Row],[Start]],Table4[[#This Row],[StartN]])</f>
        <v>34452</v>
      </c>
      <c r="L60">
        <f>IF(Table4[[#This Row],[NeedsAttention]]=1,Table4[[#This Row],[End]],Table4[[#This Row],[EndN]])</f>
        <v>34520</v>
      </c>
      <c r="M60" t="b">
        <f>Table4[[#This Row],[Merged.Start]]=L59+1</f>
        <v>1</v>
      </c>
      <c r="O60">
        <f>Table4[[#This Row],[Section]]</f>
        <v>59</v>
      </c>
      <c r="P60">
        <f>Table4[[#This Row],[Canon]]</f>
        <v>5</v>
      </c>
      <c r="Q60" s="1" t="str">
        <f>Table4[[#This Row],[Reference]]</f>
        <v>6.41-42</v>
      </c>
      <c r="R60" t="str">
        <f>Table4[[#This Row],[StartR]]</f>
        <v>LUK 6:41</v>
      </c>
      <c r="S60" t="str">
        <f>Table4[[#This Row],[EndR]]</f>
        <v>LUK 6:42</v>
      </c>
      <c r="T60">
        <f>Table4[[#This Row],[Merged.Start]]</f>
        <v>34452</v>
      </c>
      <c r="U60">
        <f>Table4[[#This Row],[Merged.End]]</f>
        <v>34520</v>
      </c>
    </row>
    <row r="61" spans="1:21" x14ac:dyDescent="0.25">
      <c r="A61">
        <v>60</v>
      </c>
      <c r="B61">
        <v>5</v>
      </c>
      <c r="C61" t="s">
        <v>1438</v>
      </c>
      <c r="D61" t="s">
        <v>1439</v>
      </c>
      <c r="E61" t="s">
        <v>1440</v>
      </c>
      <c r="F61">
        <v>34521</v>
      </c>
      <c r="G61">
        <v>34554</v>
      </c>
      <c r="H61">
        <v>1</v>
      </c>
      <c r="I61">
        <v>34521</v>
      </c>
      <c r="J61">
        <v>34543</v>
      </c>
      <c r="K61">
        <f>IF(Table4[[#This Row],[NeedsAttention]]=1,Table4[[#This Row],[Start]],Table4[[#This Row],[StartN]])</f>
        <v>34521</v>
      </c>
      <c r="L61">
        <f>IF(Table4[[#This Row],[NeedsAttention]]=1,Table4[[#This Row],[End]],Table4[[#This Row],[EndN]])</f>
        <v>34543</v>
      </c>
      <c r="M61" t="b">
        <f>Table4[[#This Row],[Merged.Start]]=L60+1</f>
        <v>1</v>
      </c>
      <c r="O61">
        <f>Table4[[#This Row],[Section]]</f>
        <v>60</v>
      </c>
      <c r="P61">
        <f>Table4[[#This Row],[Canon]]</f>
        <v>5</v>
      </c>
      <c r="Q61" s="1" t="str">
        <f>Table4[[#This Row],[Reference]]</f>
        <v>6.43-44A</v>
      </c>
      <c r="R61" t="str">
        <f>Table4[[#This Row],[StartR]]</f>
        <v>LUK 6:43</v>
      </c>
      <c r="S61" t="str">
        <f>Table4[[#This Row],[EndR]]</f>
        <v>LUK 6:44</v>
      </c>
      <c r="T61">
        <f>Table4[[#This Row],[Merged.Start]]</f>
        <v>34521</v>
      </c>
      <c r="U61">
        <f>Table4[[#This Row],[Merged.End]]</f>
        <v>34543</v>
      </c>
    </row>
    <row r="62" spans="1:21" x14ac:dyDescent="0.25">
      <c r="A62">
        <v>61</v>
      </c>
      <c r="B62">
        <v>5</v>
      </c>
      <c r="C62" t="s">
        <v>1441</v>
      </c>
      <c r="D62" t="s">
        <v>1440</v>
      </c>
      <c r="E62" t="s">
        <v>1440</v>
      </c>
      <c r="F62">
        <v>34536</v>
      </c>
      <c r="G62">
        <v>34554</v>
      </c>
      <c r="H62">
        <v>1</v>
      </c>
      <c r="I62">
        <v>34544</v>
      </c>
      <c r="J62">
        <v>34554</v>
      </c>
      <c r="K62">
        <f>IF(Table4[[#This Row],[NeedsAttention]]=1,Table4[[#This Row],[Start]],Table4[[#This Row],[StartN]])</f>
        <v>34544</v>
      </c>
      <c r="L62">
        <f>IF(Table4[[#This Row],[NeedsAttention]]=1,Table4[[#This Row],[End]],Table4[[#This Row],[EndN]])</f>
        <v>34554</v>
      </c>
      <c r="M62" t="b">
        <f>Table4[[#This Row],[Merged.Start]]=L61+1</f>
        <v>1</v>
      </c>
      <c r="O62">
        <f>Table4[[#This Row],[Section]]</f>
        <v>61</v>
      </c>
      <c r="P62">
        <f>Table4[[#This Row],[Canon]]</f>
        <v>5</v>
      </c>
      <c r="Q62" s="1" t="str">
        <f>Table4[[#This Row],[Reference]]</f>
        <v>6.44B</v>
      </c>
      <c r="R62" t="str">
        <f>Table4[[#This Row],[StartR]]</f>
        <v>LUK 6:44</v>
      </c>
      <c r="S62" t="str">
        <f>Table4[[#This Row],[EndR]]</f>
        <v>LUK 6:44</v>
      </c>
      <c r="T62">
        <f>Table4[[#This Row],[Merged.Start]]</f>
        <v>34544</v>
      </c>
      <c r="U62">
        <f>Table4[[#This Row],[Merged.End]]</f>
        <v>34554</v>
      </c>
    </row>
    <row r="63" spans="1:21" x14ac:dyDescent="0.25">
      <c r="A63">
        <v>62</v>
      </c>
      <c r="B63">
        <v>5</v>
      </c>
      <c r="C63">
        <v>6.45</v>
      </c>
      <c r="D63" t="s">
        <v>1442</v>
      </c>
      <c r="E63" t="s">
        <v>1442</v>
      </c>
      <c r="F63">
        <v>34555</v>
      </c>
      <c r="G63">
        <v>34584</v>
      </c>
      <c r="H63">
        <v>0</v>
      </c>
      <c r="K63">
        <f>IF(Table4[[#This Row],[NeedsAttention]]=1,Table4[[#This Row],[Start]],Table4[[#This Row],[StartN]])</f>
        <v>34555</v>
      </c>
      <c r="L63">
        <f>IF(Table4[[#This Row],[NeedsAttention]]=1,Table4[[#This Row],[End]],Table4[[#This Row],[EndN]])</f>
        <v>34584</v>
      </c>
      <c r="M63" t="b">
        <f>Table4[[#This Row],[Merged.Start]]=L62+1</f>
        <v>1</v>
      </c>
      <c r="O63">
        <f>Table4[[#This Row],[Section]]</f>
        <v>62</v>
      </c>
      <c r="P63">
        <f>Table4[[#This Row],[Canon]]</f>
        <v>5</v>
      </c>
      <c r="Q63" s="1">
        <f>Table4[[#This Row],[Reference]]</f>
        <v>6.45</v>
      </c>
      <c r="R63" t="str">
        <f>Table4[[#This Row],[StartR]]</f>
        <v>LUK 6:45</v>
      </c>
      <c r="S63" t="str">
        <f>Table4[[#This Row],[EndR]]</f>
        <v>LUK 6:45</v>
      </c>
      <c r="T63">
        <f>Table4[[#This Row],[Merged.Start]]</f>
        <v>34555</v>
      </c>
      <c r="U63">
        <f>Table4[[#This Row],[Merged.End]]</f>
        <v>34584</v>
      </c>
    </row>
    <row r="64" spans="1:21" x14ac:dyDescent="0.25">
      <c r="A64">
        <v>63</v>
      </c>
      <c r="B64">
        <v>3</v>
      </c>
      <c r="C64">
        <v>6.46</v>
      </c>
      <c r="D64" t="s">
        <v>1443</v>
      </c>
      <c r="E64" t="s">
        <v>1443</v>
      </c>
      <c r="F64">
        <v>34585</v>
      </c>
      <c r="G64">
        <v>34595</v>
      </c>
      <c r="H64">
        <v>0</v>
      </c>
      <c r="K64">
        <f>IF(Table4[[#This Row],[NeedsAttention]]=1,Table4[[#This Row],[Start]],Table4[[#This Row],[StartN]])</f>
        <v>34585</v>
      </c>
      <c r="L64">
        <f>IF(Table4[[#This Row],[NeedsAttention]]=1,Table4[[#This Row],[End]],Table4[[#This Row],[EndN]])</f>
        <v>34595</v>
      </c>
      <c r="M64" t="b">
        <f>Table4[[#This Row],[Merged.Start]]=L63+1</f>
        <v>1</v>
      </c>
      <c r="O64">
        <f>Table4[[#This Row],[Section]]</f>
        <v>63</v>
      </c>
      <c r="P64">
        <f>Table4[[#This Row],[Canon]]</f>
        <v>3</v>
      </c>
      <c r="Q64" s="1">
        <f>Table4[[#This Row],[Reference]]</f>
        <v>6.46</v>
      </c>
      <c r="R64" t="str">
        <f>Table4[[#This Row],[StartR]]</f>
        <v>LUK 6:46</v>
      </c>
      <c r="S64" t="str">
        <f>Table4[[#This Row],[EndR]]</f>
        <v>LUK 6:46</v>
      </c>
      <c r="T64">
        <f>Table4[[#This Row],[Merged.Start]]</f>
        <v>34585</v>
      </c>
      <c r="U64">
        <f>Table4[[#This Row],[Merged.End]]</f>
        <v>34595</v>
      </c>
    </row>
    <row r="65" spans="1:21" x14ac:dyDescent="0.25">
      <c r="A65">
        <v>64</v>
      </c>
      <c r="B65">
        <v>5</v>
      </c>
      <c r="C65" t="s">
        <v>1444</v>
      </c>
      <c r="D65" t="s">
        <v>1445</v>
      </c>
      <c r="E65" t="s">
        <v>1446</v>
      </c>
      <c r="F65">
        <v>34596</v>
      </c>
      <c r="G65">
        <v>34678</v>
      </c>
      <c r="H65">
        <v>0</v>
      </c>
      <c r="K65">
        <f>IF(Table4[[#This Row],[NeedsAttention]]=1,Table4[[#This Row],[Start]],Table4[[#This Row],[StartN]])</f>
        <v>34596</v>
      </c>
      <c r="L65">
        <f>IF(Table4[[#This Row],[NeedsAttention]]=1,Table4[[#This Row],[End]],Table4[[#This Row],[EndN]])</f>
        <v>34678</v>
      </c>
      <c r="M65" t="b">
        <f>Table4[[#This Row],[Merged.Start]]=L64+1</f>
        <v>1</v>
      </c>
      <c r="O65">
        <f>Table4[[#This Row],[Section]]</f>
        <v>64</v>
      </c>
      <c r="P65">
        <f>Table4[[#This Row],[Canon]]</f>
        <v>5</v>
      </c>
      <c r="Q65" s="1" t="str">
        <f>Table4[[#This Row],[Reference]]</f>
        <v>6.47-49</v>
      </c>
      <c r="R65" t="str">
        <f>Table4[[#This Row],[StartR]]</f>
        <v>LUK 6:47</v>
      </c>
      <c r="S65" t="str">
        <f>Table4[[#This Row],[EndR]]</f>
        <v>LUK 6:49</v>
      </c>
      <c r="T65">
        <f>Table4[[#This Row],[Merged.Start]]</f>
        <v>34596</v>
      </c>
      <c r="U65">
        <f>Table4[[#This Row],[Merged.End]]</f>
        <v>34678</v>
      </c>
    </row>
    <row r="66" spans="1:21" x14ac:dyDescent="0.25">
      <c r="A66">
        <v>65</v>
      </c>
      <c r="B66">
        <v>3</v>
      </c>
      <c r="C66" t="s">
        <v>1447</v>
      </c>
      <c r="D66" t="s">
        <v>1448</v>
      </c>
      <c r="E66" t="s">
        <v>1449</v>
      </c>
      <c r="F66">
        <v>34679</v>
      </c>
      <c r="G66">
        <v>34853</v>
      </c>
      <c r="H66">
        <v>0</v>
      </c>
      <c r="K66">
        <f>IF(Table4[[#This Row],[NeedsAttention]]=1,Table4[[#This Row],[Start]],Table4[[#This Row],[StartN]])</f>
        <v>34679</v>
      </c>
      <c r="L66">
        <f>IF(Table4[[#This Row],[NeedsAttention]]=1,Table4[[#This Row],[End]],Table4[[#This Row],[EndN]])</f>
        <v>34853</v>
      </c>
      <c r="M66" t="b">
        <f>Table4[[#This Row],[Merged.Start]]=L65+1</f>
        <v>1</v>
      </c>
      <c r="O66">
        <f>Table4[[#This Row],[Section]]</f>
        <v>65</v>
      </c>
      <c r="P66">
        <f>Table4[[#This Row],[Canon]]</f>
        <v>3</v>
      </c>
      <c r="Q66" s="1" t="str">
        <f>Table4[[#This Row],[Reference]]</f>
        <v>7.1-9</v>
      </c>
      <c r="R66" t="str">
        <f>Table4[[#This Row],[StartR]]</f>
        <v>LUK 7:1</v>
      </c>
      <c r="S66" t="str">
        <f>Table4[[#This Row],[EndR]]</f>
        <v>LUK 7:9</v>
      </c>
      <c r="T66">
        <f>Table4[[#This Row],[Merged.Start]]</f>
        <v>34679</v>
      </c>
      <c r="U66">
        <f>Table4[[#This Row],[Merged.End]]</f>
        <v>34853</v>
      </c>
    </row>
    <row r="67" spans="1:21" x14ac:dyDescent="0.25">
      <c r="A67">
        <v>66</v>
      </c>
      <c r="B67">
        <v>5</v>
      </c>
      <c r="C67">
        <v>7.1</v>
      </c>
      <c r="D67" t="s">
        <v>2528</v>
      </c>
      <c r="E67" t="s">
        <v>2528</v>
      </c>
      <c r="F67">
        <v>34854</v>
      </c>
      <c r="G67">
        <v>34864</v>
      </c>
      <c r="H67">
        <v>0</v>
      </c>
      <c r="K67">
        <f>IF(Table4[[#This Row],[NeedsAttention]]=1,Table4[[#This Row],[Start]],Table4[[#This Row],[StartN]])</f>
        <v>34854</v>
      </c>
      <c r="L67">
        <f>IF(Table4[[#This Row],[NeedsAttention]]=1,Table4[[#This Row],[End]],Table4[[#This Row],[EndN]])</f>
        <v>34864</v>
      </c>
      <c r="M67" t="b">
        <f>Table4[[#This Row],[Merged.Start]]=L66+1</f>
        <v>1</v>
      </c>
      <c r="O67">
        <f>Table4[[#This Row],[Section]]</f>
        <v>66</v>
      </c>
      <c r="P67">
        <f>Table4[[#This Row],[Canon]]</f>
        <v>5</v>
      </c>
      <c r="Q67" s="1">
        <f>Table4[[#This Row],[Reference]]</f>
        <v>7.1</v>
      </c>
      <c r="R67" t="str">
        <f>Table4[[#This Row],[StartR]]</f>
        <v>LUK 7:10</v>
      </c>
      <c r="S67" t="str">
        <f>Table4[[#This Row],[EndR]]</f>
        <v>LUK 7:10</v>
      </c>
      <c r="T67">
        <f>Table4[[#This Row],[Merged.Start]]</f>
        <v>34854</v>
      </c>
      <c r="U67">
        <f>Table4[[#This Row],[Merged.End]]</f>
        <v>34864</v>
      </c>
    </row>
    <row r="68" spans="1:21" x14ac:dyDescent="0.25">
      <c r="A68">
        <v>67</v>
      </c>
      <c r="B68">
        <v>10</v>
      </c>
      <c r="C68" t="s">
        <v>1450</v>
      </c>
      <c r="D68" t="s">
        <v>1451</v>
      </c>
      <c r="E68" t="s">
        <v>1452</v>
      </c>
      <c r="F68">
        <v>34865</v>
      </c>
      <c r="G68">
        <v>34975</v>
      </c>
      <c r="H68">
        <v>0</v>
      </c>
      <c r="K68">
        <f>IF(Table4[[#This Row],[NeedsAttention]]=1,Table4[[#This Row],[Start]],Table4[[#This Row],[StartN]])</f>
        <v>34865</v>
      </c>
      <c r="L68">
        <f>IF(Table4[[#This Row],[NeedsAttention]]=1,Table4[[#This Row],[End]],Table4[[#This Row],[EndN]])</f>
        <v>34975</v>
      </c>
      <c r="M68" t="b">
        <f>Table4[[#This Row],[Merged.Start]]=L67+1</f>
        <v>1</v>
      </c>
      <c r="O68">
        <f>Table4[[#This Row],[Section]]</f>
        <v>67</v>
      </c>
      <c r="P68">
        <f>Table4[[#This Row],[Canon]]</f>
        <v>10</v>
      </c>
      <c r="Q68" s="1" t="str">
        <f>Table4[[#This Row],[Reference]]</f>
        <v>7.11-16</v>
      </c>
      <c r="R68" t="str">
        <f>Table4[[#This Row],[StartR]]</f>
        <v>LUK 7:11</v>
      </c>
      <c r="S68" t="str">
        <f>Table4[[#This Row],[EndR]]</f>
        <v>LUK 7:16</v>
      </c>
      <c r="T68">
        <f>Table4[[#This Row],[Merged.Start]]</f>
        <v>34865</v>
      </c>
      <c r="U68">
        <f>Table4[[#This Row],[Merged.End]]</f>
        <v>34975</v>
      </c>
    </row>
    <row r="69" spans="1:21" x14ac:dyDescent="0.25">
      <c r="A69">
        <v>68</v>
      </c>
      <c r="B69">
        <v>10</v>
      </c>
      <c r="C69">
        <v>7.17</v>
      </c>
      <c r="D69" t="s">
        <v>1453</v>
      </c>
      <c r="E69" t="s">
        <v>1453</v>
      </c>
      <c r="F69">
        <v>34976</v>
      </c>
      <c r="G69">
        <v>34990</v>
      </c>
      <c r="H69">
        <v>0</v>
      </c>
      <c r="K69">
        <f>IF(Table4[[#This Row],[NeedsAttention]]=1,Table4[[#This Row],[Start]],Table4[[#This Row],[StartN]])</f>
        <v>34976</v>
      </c>
      <c r="L69">
        <f>IF(Table4[[#This Row],[NeedsAttention]]=1,Table4[[#This Row],[End]],Table4[[#This Row],[EndN]])</f>
        <v>34990</v>
      </c>
      <c r="M69" t="b">
        <f>Table4[[#This Row],[Merged.Start]]=L68+1</f>
        <v>1</v>
      </c>
      <c r="O69">
        <f>Table4[[#This Row],[Section]]</f>
        <v>68</v>
      </c>
      <c r="P69">
        <f>Table4[[#This Row],[Canon]]</f>
        <v>10</v>
      </c>
      <c r="Q69" s="1">
        <f>Table4[[#This Row],[Reference]]</f>
        <v>7.17</v>
      </c>
      <c r="R69" t="str">
        <f>Table4[[#This Row],[StartR]]</f>
        <v>LUK 7:17</v>
      </c>
      <c r="S69" t="str">
        <f>Table4[[#This Row],[EndR]]</f>
        <v>LUK 7:17</v>
      </c>
      <c r="T69">
        <f>Table4[[#This Row],[Merged.Start]]</f>
        <v>34976</v>
      </c>
      <c r="U69">
        <f>Table4[[#This Row],[Merged.End]]</f>
        <v>34990</v>
      </c>
    </row>
    <row r="70" spans="1:21" x14ac:dyDescent="0.25">
      <c r="A70">
        <v>69</v>
      </c>
      <c r="B70">
        <v>5</v>
      </c>
      <c r="C70" t="s">
        <v>1454</v>
      </c>
      <c r="D70" t="s">
        <v>1455</v>
      </c>
      <c r="E70" t="s">
        <v>1456</v>
      </c>
      <c r="F70">
        <v>34991</v>
      </c>
      <c r="G70">
        <v>35146</v>
      </c>
      <c r="H70">
        <v>0</v>
      </c>
      <c r="K70">
        <f>IF(Table4[[#This Row],[NeedsAttention]]=1,Table4[[#This Row],[Start]],Table4[[#This Row],[StartN]])</f>
        <v>34991</v>
      </c>
      <c r="L70">
        <f>IF(Table4[[#This Row],[NeedsAttention]]=1,Table4[[#This Row],[End]],Table4[[#This Row],[EndN]])</f>
        <v>35146</v>
      </c>
      <c r="M70" t="b">
        <f>Table4[[#This Row],[Merged.Start]]=L69+1</f>
        <v>1</v>
      </c>
      <c r="O70">
        <f>Table4[[#This Row],[Section]]</f>
        <v>69</v>
      </c>
      <c r="P70">
        <f>Table4[[#This Row],[Canon]]</f>
        <v>5</v>
      </c>
      <c r="Q70" s="1" t="str">
        <f>Table4[[#This Row],[Reference]]</f>
        <v>7.18-26</v>
      </c>
      <c r="R70" t="str">
        <f>Table4[[#This Row],[StartR]]</f>
        <v>LUK 7:18</v>
      </c>
      <c r="S70" t="str">
        <f>Table4[[#This Row],[EndR]]</f>
        <v>LUK 7:26</v>
      </c>
      <c r="T70">
        <f>Table4[[#This Row],[Merged.Start]]</f>
        <v>34991</v>
      </c>
      <c r="U70">
        <f>Table4[[#This Row],[Merged.End]]</f>
        <v>35146</v>
      </c>
    </row>
    <row r="71" spans="1:21" x14ac:dyDescent="0.25">
      <c r="A71">
        <v>70</v>
      </c>
      <c r="B71">
        <v>2</v>
      </c>
      <c r="C71">
        <v>7.27</v>
      </c>
      <c r="D71" t="s">
        <v>1457</v>
      </c>
      <c r="E71" t="s">
        <v>1457</v>
      </c>
      <c r="F71">
        <v>35147</v>
      </c>
      <c r="G71">
        <v>35166</v>
      </c>
      <c r="H71">
        <v>0</v>
      </c>
      <c r="K71">
        <f>IF(Table4[[#This Row],[NeedsAttention]]=1,Table4[[#This Row],[Start]],Table4[[#This Row],[StartN]])</f>
        <v>35147</v>
      </c>
      <c r="L71">
        <f>IF(Table4[[#This Row],[NeedsAttention]]=1,Table4[[#This Row],[End]],Table4[[#This Row],[EndN]])</f>
        <v>35166</v>
      </c>
      <c r="M71" t="b">
        <f>Table4[[#This Row],[Merged.Start]]=L70+1</f>
        <v>1</v>
      </c>
      <c r="O71">
        <f>Table4[[#This Row],[Section]]</f>
        <v>70</v>
      </c>
      <c r="P71">
        <f>Table4[[#This Row],[Canon]]</f>
        <v>2</v>
      </c>
      <c r="Q71" s="1">
        <f>Table4[[#This Row],[Reference]]</f>
        <v>7.27</v>
      </c>
      <c r="R71" t="str">
        <f>Table4[[#This Row],[StartR]]</f>
        <v>LUK 7:27</v>
      </c>
      <c r="S71" t="str">
        <f>Table4[[#This Row],[EndR]]</f>
        <v>LUK 7:27</v>
      </c>
      <c r="T71">
        <f>Table4[[#This Row],[Merged.Start]]</f>
        <v>35147</v>
      </c>
      <c r="U71">
        <f>Table4[[#This Row],[Merged.End]]</f>
        <v>35166</v>
      </c>
    </row>
    <row r="72" spans="1:21" x14ac:dyDescent="0.25">
      <c r="A72">
        <v>71</v>
      </c>
      <c r="B72">
        <v>5</v>
      </c>
      <c r="C72">
        <v>7.28</v>
      </c>
      <c r="D72" t="s">
        <v>1458</v>
      </c>
      <c r="E72" t="s">
        <v>1458</v>
      </c>
      <c r="F72">
        <v>35167</v>
      </c>
      <c r="G72">
        <v>35186</v>
      </c>
      <c r="H72">
        <v>0</v>
      </c>
      <c r="K72">
        <f>IF(Table4[[#This Row],[NeedsAttention]]=1,Table4[[#This Row],[Start]],Table4[[#This Row],[StartN]])</f>
        <v>35167</v>
      </c>
      <c r="L72">
        <f>IF(Table4[[#This Row],[NeedsAttention]]=1,Table4[[#This Row],[End]],Table4[[#This Row],[EndN]])</f>
        <v>35186</v>
      </c>
      <c r="M72" t="b">
        <f>Table4[[#This Row],[Merged.Start]]=L71+1</f>
        <v>1</v>
      </c>
      <c r="O72">
        <f>Table4[[#This Row],[Section]]</f>
        <v>71</v>
      </c>
      <c r="P72">
        <f>Table4[[#This Row],[Canon]]</f>
        <v>5</v>
      </c>
      <c r="Q72" s="1">
        <f>Table4[[#This Row],[Reference]]</f>
        <v>7.28</v>
      </c>
      <c r="R72" t="str">
        <f>Table4[[#This Row],[StartR]]</f>
        <v>LUK 7:28</v>
      </c>
      <c r="S72" t="str">
        <f>Table4[[#This Row],[EndR]]</f>
        <v>LUK 7:28</v>
      </c>
      <c r="T72">
        <f>Table4[[#This Row],[Merged.Start]]</f>
        <v>35167</v>
      </c>
      <c r="U72">
        <f>Table4[[#This Row],[Merged.End]]</f>
        <v>35186</v>
      </c>
    </row>
    <row r="73" spans="1:21" x14ac:dyDescent="0.25">
      <c r="A73">
        <v>72</v>
      </c>
      <c r="B73">
        <v>10</v>
      </c>
      <c r="C73" t="s">
        <v>1459</v>
      </c>
      <c r="D73" t="s">
        <v>1460</v>
      </c>
      <c r="E73" t="s">
        <v>1461</v>
      </c>
      <c r="F73">
        <v>35187</v>
      </c>
      <c r="G73">
        <v>35218</v>
      </c>
      <c r="H73">
        <v>0</v>
      </c>
      <c r="K73">
        <f>IF(Table4[[#This Row],[NeedsAttention]]=1,Table4[[#This Row],[Start]],Table4[[#This Row],[StartN]])</f>
        <v>35187</v>
      </c>
      <c r="L73">
        <f>IF(Table4[[#This Row],[NeedsAttention]]=1,Table4[[#This Row],[End]],Table4[[#This Row],[EndN]])</f>
        <v>35218</v>
      </c>
      <c r="M73" t="b">
        <f>Table4[[#This Row],[Merged.Start]]=L72+1</f>
        <v>1</v>
      </c>
      <c r="O73">
        <f>Table4[[#This Row],[Section]]</f>
        <v>72</v>
      </c>
      <c r="P73">
        <f>Table4[[#This Row],[Canon]]</f>
        <v>10</v>
      </c>
      <c r="Q73" s="1" t="str">
        <f>Table4[[#This Row],[Reference]]</f>
        <v>7.29-30</v>
      </c>
      <c r="R73" t="str">
        <f>Table4[[#This Row],[StartR]]</f>
        <v>LUK 7:29</v>
      </c>
      <c r="S73" t="str">
        <f>Table4[[#This Row],[EndR]]</f>
        <v>LUK 7:30</v>
      </c>
      <c r="T73">
        <f>Table4[[#This Row],[Merged.Start]]</f>
        <v>35187</v>
      </c>
      <c r="U73">
        <f>Table4[[#This Row],[Merged.End]]</f>
        <v>35218</v>
      </c>
    </row>
    <row r="74" spans="1:21" x14ac:dyDescent="0.25">
      <c r="A74">
        <v>73</v>
      </c>
      <c r="B74">
        <v>5</v>
      </c>
      <c r="C74" t="s">
        <v>1462</v>
      </c>
      <c r="D74" t="s">
        <v>1463</v>
      </c>
      <c r="E74" t="s">
        <v>1464</v>
      </c>
      <c r="F74">
        <v>35219</v>
      </c>
      <c r="G74">
        <v>35294</v>
      </c>
      <c r="H74">
        <v>0</v>
      </c>
      <c r="K74">
        <f>IF(Table4[[#This Row],[NeedsAttention]]=1,Table4[[#This Row],[Start]],Table4[[#This Row],[StartN]])</f>
        <v>35219</v>
      </c>
      <c r="L74">
        <f>IF(Table4[[#This Row],[NeedsAttention]]=1,Table4[[#This Row],[End]],Table4[[#This Row],[EndN]])</f>
        <v>35294</v>
      </c>
      <c r="M74" t="b">
        <f>Table4[[#This Row],[Merged.Start]]=L73+1</f>
        <v>1</v>
      </c>
      <c r="O74">
        <f>Table4[[#This Row],[Section]]</f>
        <v>73</v>
      </c>
      <c r="P74">
        <f>Table4[[#This Row],[Canon]]</f>
        <v>5</v>
      </c>
      <c r="Q74" s="1" t="str">
        <f>Table4[[#This Row],[Reference]]</f>
        <v>7.31-35</v>
      </c>
      <c r="R74" t="str">
        <f>Table4[[#This Row],[StartR]]</f>
        <v>LUK 7:31</v>
      </c>
      <c r="S74" t="str">
        <f>Table4[[#This Row],[EndR]]</f>
        <v>LUK 7:35</v>
      </c>
      <c r="T74">
        <f>Table4[[#This Row],[Merged.Start]]</f>
        <v>35219</v>
      </c>
      <c r="U74">
        <f>Table4[[#This Row],[Merged.End]]</f>
        <v>35294</v>
      </c>
    </row>
    <row r="75" spans="1:21" x14ac:dyDescent="0.25">
      <c r="A75">
        <v>74</v>
      </c>
      <c r="B75">
        <v>1</v>
      </c>
      <c r="C75" t="s">
        <v>1465</v>
      </c>
      <c r="D75" t="s">
        <v>1466</v>
      </c>
      <c r="E75" t="s">
        <v>1467</v>
      </c>
      <c r="F75">
        <v>35295</v>
      </c>
      <c r="G75">
        <v>35567</v>
      </c>
      <c r="H75">
        <v>0</v>
      </c>
      <c r="K75">
        <f>IF(Table4[[#This Row],[NeedsAttention]]=1,Table4[[#This Row],[Start]],Table4[[#This Row],[StartN]])</f>
        <v>35295</v>
      </c>
      <c r="L75">
        <f>IF(Table4[[#This Row],[NeedsAttention]]=1,Table4[[#This Row],[End]],Table4[[#This Row],[EndN]])</f>
        <v>35567</v>
      </c>
      <c r="M75" t="b">
        <f>Table4[[#This Row],[Merged.Start]]=L74+1</f>
        <v>1</v>
      </c>
      <c r="O75">
        <f>Table4[[#This Row],[Section]]</f>
        <v>74</v>
      </c>
      <c r="P75">
        <f>Table4[[#This Row],[Canon]]</f>
        <v>1</v>
      </c>
      <c r="Q75" s="1" t="str">
        <f>Table4[[#This Row],[Reference]]</f>
        <v>7.36-50</v>
      </c>
      <c r="R75" t="str">
        <f>Table4[[#This Row],[StartR]]</f>
        <v>LUK 7:36</v>
      </c>
      <c r="S75" t="str">
        <f>Table4[[#This Row],[EndR]]</f>
        <v>LUK 7:50</v>
      </c>
      <c r="T75">
        <f>Table4[[#This Row],[Merged.Start]]</f>
        <v>35295</v>
      </c>
      <c r="U75">
        <f>Table4[[#This Row],[Merged.End]]</f>
        <v>35567</v>
      </c>
    </row>
    <row r="76" spans="1:21" x14ac:dyDescent="0.25">
      <c r="A76">
        <v>75</v>
      </c>
      <c r="B76">
        <v>10</v>
      </c>
      <c r="C76" t="s">
        <v>1468</v>
      </c>
      <c r="D76" t="s">
        <v>1469</v>
      </c>
      <c r="E76" t="s">
        <v>1470</v>
      </c>
      <c r="F76">
        <v>35568</v>
      </c>
      <c r="G76">
        <v>35629</v>
      </c>
      <c r="H76">
        <v>0</v>
      </c>
      <c r="K76">
        <f>IF(Table4[[#This Row],[NeedsAttention]]=1,Table4[[#This Row],[Start]],Table4[[#This Row],[StartN]])</f>
        <v>35568</v>
      </c>
      <c r="L76">
        <f>IF(Table4[[#This Row],[NeedsAttention]]=1,Table4[[#This Row],[End]],Table4[[#This Row],[EndN]])</f>
        <v>35629</v>
      </c>
      <c r="M76" t="b">
        <f>Table4[[#This Row],[Merged.Start]]=L75+1</f>
        <v>1</v>
      </c>
      <c r="O76">
        <f>Table4[[#This Row],[Section]]</f>
        <v>75</v>
      </c>
      <c r="P76">
        <f>Table4[[#This Row],[Canon]]</f>
        <v>10</v>
      </c>
      <c r="Q76" s="1" t="str">
        <f>Table4[[#This Row],[Reference]]</f>
        <v>8.1-3</v>
      </c>
      <c r="R76" t="str">
        <f>Table4[[#This Row],[StartR]]</f>
        <v>LUK 8:1</v>
      </c>
      <c r="S76" t="str">
        <f>Table4[[#This Row],[EndR]]</f>
        <v>LUK 8:3</v>
      </c>
      <c r="T76">
        <f>Table4[[#This Row],[Merged.Start]]</f>
        <v>35568</v>
      </c>
      <c r="U76">
        <f>Table4[[#This Row],[Merged.End]]</f>
        <v>35629</v>
      </c>
    </row>
    <row r="77" spans="1:21" x14ac:dyDescent="0.25">
      <c r="A77">
        <v>76</v>
      </c>
      <c r="B77">
        <v>2</v>
      </c>
      <c r="C77" t="s">
        <v>1471</v>
      </c>
      <c r="D77" t="s">
        <v>1472</v>
      </c>
      <c r="E77" t="s">
        <v>1473</v>
      </c>
      <c r="F77">
        <v>35630</v>
      </c>
      <c r="G77">
        <v>35755</v>
      </c>
      <c r="H77">
        <v>1</v>
      </c>
      <c r="I77">
        <v>35630</v>
      </c>
      <c r="J77">
        <v>35742</v>
      </c>
      <c r="K77">
        <f>IF(Table4[[#This Row],[NeedsAttention]]=1,Table4[[#This Row],[Start]],Table4[[#This Row],[StartN]])</f>
        <v>35630</v>
      </c>
      <c r="L77">
        <f>IF(Table4[[#This Row],[NeedsAttention]]=1,Table4[[#This Row],[End]],Table4[[#This Row],[EndN]])</f>
        <v>35742</v>
      </c>
      <c r="M77" t="b">
        <f>Table4[[#This Row],[Merged.Start]]=L76+1</f>
        <v>1</v>
      </c>
      <c r="O77">
        <f>Table4[[#This Row],[Section]]</f>
        <v>76</v>
      </c>
      <c r="P77">
        <f>Table4[[#This Row],[Canon]]</f>
        <v>2</v>
      </c>
      <c r="Q77" s="1" t="str">
        <f>Table4[[#This Row],[Reference]]</f>
        <v>8.4-10A</v>
      </c>
      <c r="R77" t="str">
        <f>Table4[[#This Row],[StartR]]</f>
        <v>LUK 8:4</v>
      </c>
      <c r="S77" t="str">
        <f>Table4[[#This Row],[EndR]]</f>
        <v>LUK 8:10</v>
      </c>
      <c r="T77">
        <f>Table4[[#This Row],[Merged.Start]]</f>
        <v>35630</v>
      </c>
      <c r="U77">
        <f>Table4[[#This Row],[Merged.End]]</f>
        <v>35742</v>
      </c>
    </row>
    <row r="78" spans="1:21" x14ac:dyDescent="0.25">
      <c r="A78">
        <v>77</v>
      </c>
      <c r="B78">
        <v>1</v>
      </c>
      <c r="C78" t="s">
        <v>1474</v>
      </c>
      <c r="D78" t="s">
        <v>1473</v>
      </c>
      <c r="E78" t="s">
        <v>1473</v>
      </c>
      <c r="F78">
        <v>35731</v>
      </c>
      <c r="G78">
        <v>35755</v>
      </c>
      <c r="H78">
        <v>1</v>
      </c>
      <c r="I78">
        <v>35743</v>
      </c>
      <c r="J78">
        <v>35755</v>
      </c>
      <c r="K78">
        <f>IF(Table4[[#This Row],[NeedsAttention]]=1,Table4[[#This Row],[Start]],Table4[[#This Row],[StartN]])</f>
        <v>35743</v>
      </c>
      <c r="L78">
        <f>IF(Table4[[#This Row],[NeedsAttention]]=1,Table4[[#This Row],[End]],Table4[[#This Row],[EndN]])</f>
        <v>35755</v>
      </c>
      <c r="M78" t="b">
        <f>Table4[[#This Row],[Merged.Start]]=L77+1</f>
        <v>1</v>
      </c>
      <c r="O78">
        <f>Table4[[#This Row],[Section]]</f>
        <v>77</v>
      </c>
      <c r="P78">
        <f>Table4[[#This Row],[Canon]]</f>
        <v>1</v>
      </c>
      <c r="Q78" s="1" t="str">
        <f>Table4[[#This Row],[Reference]]</f>
        <v>8.10B</v>
      </c>
      <c r="R78" t="str">
        <f>Table4[[#This Row],[StartR]]</f>
        <v>LUK 8:10</v>
      </c>
      <c r="S78" t="str">
        <f>Table4[[#This Row],[EndR]]</f>
        <v>LUK 8:10</v>
      </c>
      <c r="T78">
        <f>Table4[[#This Row],[Merged.Start]]</f>
        <v>35743</v>
      </c>
      <c r="U78">
        <f>Table4[[#This Row],[Merged.End]]</f>
        <v>35755</v>
      </c>
    </row>
    <row r="79" spans="1:21" x14ac:dyDescent="0.25">
      <c r="A79">
        <v>78</v>
      </c>
      <c r="B79">
        <v>2</v>
      </c>
      <c r="C79" t="s">
        <v>1475</v>
      </c>
      <c r="D79" t="s">
        <v>1476</v>
      </c>
      <c r="E79" t="s">
        <v>1477</v>
      </c>
      <c r="F79">
        <v>35756</v>
      </c>
      <c r="G79">
        <v>35864</v>
      </c>
      <c r="H79">
        <v>0</v>
      </c>
      <c r="K79">
        <f>IF(Table4[[#This Row],[NeedsAttention]]=1,Table4[[#This Row],[Start]],Table4[[#This Row],[StartN]])</f>
        <v>35756</v>
      </c>
      <c r="L79">
        <f>IF(Table4[[#This Row],[NeedsAttention]]=1,Table4[[#This Row],[End]],Table4[[#This Row],[EndN]])</f>
        <v>35864</v>
      </c>
      <c r="M79" t="b">
        <f>Table4[[#This Row],[Merged.Start]]=L78+1</f>
        <v>1</v>
      </c>
      <c r="O79">
        <f>Table4[[#This Row],[Section]]</f>
        <v>78</v>
      </c>
      <c r="P79">
        <f>Table4[[#This Row],[Canon]]</f>
        <v>2</v>
      </c>
      <c r="Q79" s="1" t="str">
        <f>Table4[[#This Row],[Reference]]</f>
        <v>8.11-15</v>
      </c>
      <c r="R79" t="str">
        <f>Table4[[#This Row],[StartR]]</f>
        <v>LUK 8:11</v>
      </c>
      <c r="S79" t="str">
        <f>Table4[[#This Row],[EndR]]</f>
        <v>LUK 8:15</v>
      </c>
      <c r="T79">
        <f>Table4[[#This Row],[Merged.Start]]</f>
        <v>35756</v>
      </c>
      <c r="U79">
        <f>Table4[[#This Row],[Merged.End]]</f>
        <v>35864</v>
      </c>
    </row>
    <row r="80" spans="1:21" x14ac:dyDescent="0.25">
      <c r="A80">
        <v>79</v>
      </c>
      <c r="B80">
        <v>2</v>
      </c>
      <c r="C80">
        <v>8.16</v>
      </c>
      <c r="D80" t="s">
        <v>1478</v>
      </c>
      <c r="E80" t="s">
        <v>1478</v>
      </c>
      <c r="F80">
        <v>35865</v>
      </c>
      <c r="G80">
        <v>35885</v>
      </c>
      <c r="H80">
        <v>0</v>
      </c>
      <c r="K80">
        <f>IF(Table4[[#This Row],[NeedsAttention]]=1,Table4[[#This Row],[Start]],Table4[[#This Row],[StartN]])</f>
        <v>35865</v>
      </c>
      <c r="L80">
        <f>IF(Table4[[#This Row],[NeedsAttention]]=1,Table4[[#This Row],[End]],Table4[[#This Row],[EndN]])</f>
        <v>35885</v>
      </c>
      <c r="M80" t="b">
        <f>Table4[[#This Row],[Merged.Start]]=L79+1</f>
        <v>1</v>
      </c>
      <c r="O80">
        <f>Table4[[#This Row],[Section]]</f>
        <v>79</v>
      </c>
      <c r="P80">
        <f>Table4[[#This Row],[Canon]]</f>
        <v>2</v>
      </c>
      <c r="Q80" s="1">
        <f>Table4[[#This Row],[Reference]]</f>
        <v>8.16</v>
      </c>
      <c r="R80" t="str">
        <f>Table4[[#This Row],[StartR]]</f>
        <v>LUK 8:16</v>
      </c>
      <c r="S80" t="str">
        <f>Table4[[#This Row],[EndR]]</f>
        <v>LUK 8:16</v>
      </c>
      <c r="T80">
        <f>Table4[[#This Row],[Merged.Start]]</f>
        <v>35865</v>
      </c>
      <c r="U80">
        <f>Table4[[#This Row],[Merged.End]]</f>
        <v>35885</v>
      </c>
    </row>
    <row r="81" spans="1:21" x14ac:dyDescent="0.25">
      <c r="A81">
        <v>80</v>
      </c>
      <c r="B81">
        <v>2</v>
      </c>
      <c r="C81">
        <v>8.17</v>
      </c>
      <c r="D81" t="s">
        <v>1479</v>
      </c>
      <c r="E81" t="s">
        <v>1479</v>
      </c>
      <c r="F81">
        <v>35886</v>
      </c>
      <c r="G81">
        <v>35903</v>
      </c>
      <c r="H81">
        <v>0</v>
      </c>
      <c r="K81">
        <f>IF(Table4[[#This Row],[NeedsAttention]]=1,Table4[[#This Row],[Start]],Table4[[#This Row],[StartN]])</f>
        <v>35886</v>
      </c>
      <c r="L81">
        <f>IF(Table4[[#This Row],[NeedsAttention]]=1,Table4[[#This Row],[End]],Table4[[#This Row],[EndN]])</f>
        <v>35903</v>
      </c>
      <c r="M81" t="b">
        <f>Table4[[#This Row],[Merged.Start]]=L80+1</f>
        <v>1</v>
      </c>
      <c r="O81">
        <f>Table4[[#This Row],[Section]]</f>
        <v>80</v>
      </c>
      <c r="P81">
        <f>Table4[[#This Row],[Canon]]</f>
        <v>2</v>
      </c>
      <c r="Q81" s="1">
        <f>Table4[[#This Row],[Reference]]</f>
        <v>8.17</v>
      </c>
      <c r="R81" t="str">
        <f>Table4[[#This Row],[StartR]]</f>
        <v>LUK 8:17</v>
      </c>
      <c r="S81" t="str">
        <f>Table4[[#This Row],[EndR]]</f>
        <v>LUK 8:17</v>
      </c>
      <c r="T81">
        <f>Table4[[#This Row],[Merged.Start]]</f>
        <v>35886</v>
      </c>
      <c r="U81">
        <f>Table4[[#This Row],[Merged.End]]</f>
        <v>35903</v>
      </c>
    </row>
    <row r="82" spans="1:21" x14ac:dyDescent="0.25">
      <c r="A82">
        <v>81</v>
      </c>
      <c r="B82">
        <v>5</v>
      </c>
      <c r="C82">
        <v>8.18</v>
      </c>
      <c r="D82" t="s">
        <v>1480</v>
      </c>
      <c r="E82" t="s">
        <v>1480</v>
      </c>
      <c r="F82">
        <v>35904</v>
      </c>
      <c r="G82">
        <v>35925</v>
      </c>
      <c r="H82">
        <v>0</v>
      </c>
      <c r="K82">
        <f>IF(Table4[[#This Row],[NeedsAttention]]=1,Table4[[#This Row],[Start]],Table4[[#This Row],[StartN]])</f>
        <v>35904</v>
      </c>
      <c r="L82">
        <f>IF(Table4[[#This Row],[NeedsAttention]]=1,Table4[[#This Row],[End]],Table4[[#This Row],[EndN]])</f>
        <v>35925</v>
      </c>
      <c r="M82" t="b">
        <f>Table4[[#This Row],[Merged.Start]]=L81+1</f>
        <v>1</v>
      </c>
      <c r="O82">
        <f>Table4[[#This Row],[Section]]</f>
        <v>81</v>
      </c>
      <c r="P82">
        <f>Table4[[#This Row],[Canon]]</f>
        <v>5</v>
      </c>
      <c r="Q82" s="1">
        <f>Table4[[#This Row],[Reference]]</f>
        <v>8.18</v>
      </c>
      <c r="R82" t="str">
        <f>Table4[[#This Row],[StartR]]</f>
        <v>LUK 8:18</v>
      </c>
      <c r="S82" t="str">
        <f>Table4[[#This Row],[EndR]]</f>
        <v>LUK 8:18</v>
      </c>
      <c r="T82">
        <f>Table4[[#This Row],[Merged.Start]]</f>
        <v>35904</v>
      </c>
      <c r="U82">
        <f>Table4[[#This Row],[Merged.End]]</f>
        <v>35925</v>
      </c>
    </row>
    <row r="83" spans="1:21" x14ac:dyDescent="0.25">
      <c r="A83">
        <v>82</v>
      </c>
      <c r="B83">
        <v>2</v>
      </c>
      <c r="C83" t="s">
        <v>1481</v>
      </c>
      <c r="D83" t="s">
        <v>1482</v>
      </c>
      <c r="E83" t="s">
        <v>1483</v>
      </c>
      <c r="F83">
        <v>35926</v>
      </c>
      <c r="G83">
        <v>35979</v>
      </c>
      <c r="H83">
        <v>0</v>
      </c>
      <c r="K83">
        <f>IF(Table4[[#This Row],[NeedsAttention]]=1,Table4[[#This Row],[Start]],Table4[[#This Row],[StartN]])</f>
        <v>35926</v>
      </c>
      <c r="L83">
        <f>IF(Table4[[#This Row],[NeedsAttention]]=1,Table4[[#This Row],[End]],Table4[[#This Row],[EndN]])</f>
        <v>35979</v>
      </c>
      <c r="M83" t="b">
        <f>Table4[[#This Row],[Merged.Start]]=L82+1</f>
        <v>1</v>
      </c>
      <c r="O83">
        <f>Table4[[#This Row],[Section]]</f>
        <v>82</v>
      </c>
      <c r="P83">
        <f>Table4[[#This Row],[Canon]]</f>
        <v>2</v>
      </c>
      <c r="Q83" s="1" t="str">
        <f>Table4[[#This Row],[Reference]]</f>
        <v>8.19-21</v>
      </c>
      <c r="R83" t="str">
        <f>Table4[[#This Row],[StartR]]</f>
        <v>LUK 8:19</v>
      </c>
      <c r="S83" t="str">
        <f>Table4[[#This Row],[EndR]]</f>
        <v>LUK 8:21</v>
      </c>
      <c r="T83">
        <f>Table4[[#This Row],[Merged.Start]]</f>
        <v>35926</v>
      </c>
      <c r="U83">
        <f>Table4[[#This Row],[Merged.End]]</f>
        <v>35979</v>
      </c>
    </row>
    <row r="84" spans="1:21" x14ac:dyDescent="0.25">
      <c r="A84">
        <v>83</v>
      </c>
      <c r="B84">
        <v>2</v>
      </c>
      <c r="C84" t="s">
        <v>1484</v>
      </c>
      <c r="D84" t="s">
        <v>1485</v>
      </c>
      <c r="E84" t="s">
        <v>1486</v>
      </c>
      <c r="F84">
        <v>35980</v>
      </c>
      <c r="G84">
        <v>36325</v>
      </c>
      <c r="H84">
        <v>1</v>
      </c>
      <c r="I84">
        <v>35980</v>
      </c>
      <c r="J84">
        <v>36319</v>
      </c>
      <c r="K84">
        <f>IF(Table4[[#This Row],[NeedsAttention]]=1,Table4[[#This Row],[Start]],Table4[[#This Row],[StartN]])</f>
        <v>35980</v>
      </c>
      <c r="L84">
        <f>IF(Table4[[#This Row],[NeedsAttention]]=1,Table4[[#This Row],[End]],Table4[[#This Row],[EndN]])</f>
        <v>36319</v>
      </c>
      <c r="M84" t="b">
        <f>Table4[[#This Row],[Merged.Start]]=L83+1</f>
        <v>1</v>
      </c>
      <c r="O84">
        <f>Table4[[#This Row],[Section]]</f>
        <v>83</v>
      </c>
      <c r="P84">
        <f>Table4[[#This Row],[Canon]]</f>
        <v>2</v>
      </c>
      <c r="Q84" s="1" t="str">
        <f>Table4[[#This Row],[Reference]]</f>
        <v>8.22-37A</v>
      </c>
      <c r="R84" t="str">
        <f>Table4[[#This Row],[StartR]]</f>
        <v>LUK 8:22</v>
      </c>
      <c r="S84" t="str">
        <f>Table4[[#This Row],[EndR]]</f>
        <v>LUK 8:37</v>
      </c>
      <c r="T84">
        <f>Table4[[#This Row],[Merged.Start]]</f>
        <v>35980</v>
      </c>
      <c r="U84">
        <f>Table4[[#This Row],[Merged.End]]</f>
        <v>36319</v>
      </c>
    </row>
    <row r="85" spans="1:21" x14ac:dyDescent="0.25">
      <c r="A85">
        <v>84</v>
      </c>
      <c r="B85">
        <v>8</v>
      </c>
      <c r="C85" t="s">
        <v>1487</v>
      </c>
      <c r="D85" t="s">
        <v>1486</v>
      </c>
      <c r="E85" t="s">
        <v>1488</v>
      </c>
      <c r="F85">
        <v>36303</v>
      </c>
      <c r="G85">
        <v>36366</v>
      </c>
      <c r="H85">
        <v>1</v>
      </c>
      <c r="I85">
        <v>36320</v>
      </c>
      <c r="J85">
        <v>36366</v>
      </c>
      <c r="K85">
        <f>IF(Table4[[#This Row],[NeedsAttention]]=1,Table4[[#This Row],[Start]],Table4[[#This Row],[StartN]])</f>
        <v>36320</v>
      </c>
      <c r="L85">
        <f>IF(Table4[[#This Row],[NeedsAttention]]=1,Table4[[#This Row],[End]],Table4[[#This Row],[EndN]])</f>
        <v>36366</v>
      </c>
      <c r="M85" t="b">
        <f>Table4[[#This Row],[Merged.Start]]=L84+1</f>
        <v>1</v>
      </c>
      <c r="O85">
        <f>Table4[[#This Row],[Section]]</f>
        <v>84</v>
      </c>
      <c r="P85">
        <f>Table4[[#This Row],[Canon]]</f>
        <v>8</v>
      </c>
      <c r="Q85" s="1" t="str">
        <f>Table4[[#This Row],[Reference]]</f>
        <v>8.37B-39</v>
      </c>
      <c r="R85" t="str">
        <f>Table4[[#This Row],[StartR]]</f>
        <v>LUK 8:37</v>
      </c>
      <c r="S85" t="str">
        <f>Table4[[#This Row],[EndR]]</f>
        <v>LUK 8:39</v>
      </c>
      <c r="T85">
        <f>Table4[[#This Row],[Merged.Start]]</f>
        <v>36320</v>
      </c>
      <c r="U85">
        <f>Table4[[#This Row],[Merged.End]]</f>
        <v>36366</v>
      </c>
    </row>
    <row r="86" spans="1:21" x14ac:dyDescent="0.25">
      <c r="A86">
        <v>85</v>
      </c>
      <c r="B86">
        <v>2</v>
      </c>
      <c r="C86" t="s">
        <v>1489</v>
      </c>
      <c r="D86" t="s">
        <v>1490</v>
      </c>
      <c r="E86" t="s">
        <v>1491</v>
      </c>
      <c r="F86">
        <v>36367</v>
      </c>
      <c r="G86">
        <v>36653</v>
      </c>
      <c r="H86">
        <v>0</v>
      </c>
      <c r="K86">
        <f>IF(Table4[[#This Row],[NeedsAttention]]=1,Table4[[#This Row],[Start]],Table4[[#This Row],[StartN]])</f>
        <v>36367</v>
      </c>
      <c r="L86">
        <f>IF(Table4[[#This Row],[NeedsAttention]]=1,Table4[[#This Row],[End]],Table4[[#This Row],[EndN]])</f>
        <v>36653</v>
      </c>
      <c r="M86" t="b">
        <f>Table4[[#This Row],[Merged.Start]]=L85+1</f>
        <v>1</v>
      </c>
      <c r="O86">
        <f>Table4[[#This Row],[Section]]</f>
        <v>85</v>
      </c>
      <c r="P86">
        <f>Table4[[#This Row],[Canon]]</f>
        <v>2</v>
      </c>
      <c r="Q86" s="1" t="str">
        <f>Table4[[#This Row],[Reference]]</f>
        <v>8.40-56</v>
      </c>
      <c r="R86" t="str">
        <f>Table4[[#This Row],[StartR]]</f>
        <v>LUK 8:40</v>
      </c>
      <c r="S86" t="str">
        <f>Table4[[#This Row],[EndR]]</f>
        <v>LUK 8:56</v>
      </c>
      <c r="T86">
        <f>Table4[[#This Row],[Merged.Start]]</f>
        <v>36367</v>
      </c>
      <c r="U86">
        <f>Table4[[#This Row],[Merged.End]]</f>
        <v>36653</v>
      </c>
    </row>
    <row r="87" spans="1:21" x14ac:dyDescent="0.25">
      <c r="A87">
        <v>86</v>
      </c>
      <c r="B87">
        <v>2</v>
      </c>
      <c r="C87" t="s">
        <v>1492</v>
      </c>
      <c r="D87" t="s">
        <v>1493</v>
      </c>
      <c r="E87" t="s">
        <v>1494</v>
      </c>
      <c r="F87">
        <v>36654</v>
      </c>
      <c r="G87">
        <v>36681</v>
      </c>
      <c r="H87">
        <v>0</v>
      </c>
      <c r="K87">
        <f>IF(Table4[[#This Row],[NeedsAttention]]=1,Table4[[#This Row],[Start]],Table4[[#This Row],[StartN]])</f>
        <v>36654</v>
      </c>
      <c r="L87">
        <f>IF(Table4[[#This Row],[NeedsAttention]]=1,Table4[[#This Row],[End]],Table4[[#This Row],[EndN]])</f>
        <v>36681</v>
      </c>
      <c r="M87" t="b">
        <f>Table4[[#This Row],[Merged.Start]]=L86+1</f>
        <v>1</v>
      </c>
      <c r="O87">
        <f>Table4[[#This Row],[Section]]</f>
        <v>86</v>
      </c>
      <c r="P87">
        <f>Table4[[#This Row],[Canon]]</f>
        <v>2</v>
      </c>
      <c r="Q87" s="1" t="str">
        <f>Table4[[#This Row],[Reference]]</f>
        <v>9.1-2</v>
      </c>
      <c r="R87" t="str">
        <f>Table4[[#This Row],[StartR]]</f>
        <v>LUK 9:1</v>
      </c>
      <c r="S87" t="str">
        <f>Table4[[#This Row],[EndR]]</f>
        <v>LUK 9:2</v>
      </c>
      <c r="T87">
        <f>Table4[[#This Row],[Merged.Start]]</f>
        <v>36654</v>
      </c>
      <c r="U87">
        <f>Table4[[#This Row],[Merged.End]]</f>
        <v>36681</v>
      </c>
    </row>
    <row r="88" spans="1:21" x14ac:dyDescent="0.25">
      <c r="A88">
        <v>87</v>
      </c>
      <c r="B88">
        <v>2</v>
      </c>
      <c r="C88" t="s">
        <v>1495</v>
      </c>
      <c r="D88" t="s">
        <v>1496</v>
      </c>
      <c r="E88" t="s">
        <v>1497</v>
      </c>
      <c r="F88">
        <v>36682</v>
      </c>
      <c r="G88">
        <v>36714</v>
      </c>
      <c r="H88">
        <v>0</v>
      </c>
      <c r="K88">
        <f>IF(Table4[[#This Row],[NeedsAttention]]=1,Table4[[#This Row],[Start]],Table4[[#This Row],[StartN]])</f>
        <v>36682</v>
      </c>
      <c r="L88">
        <f>IF(Table4[[#This Row],[NeedsAttention]]=1,Table4[[#This Row],[End]],Table4[[#This Row],[EndN]])</f>
        <v>36714</v>
      </c>
      <c r="M88" t="b">
        <f>Table4[[#This Row],[Merged.Start]]=L87+1</f>
        <v>1</v>
      </c>
      <c r="O88">
        <f>Table4[[#This Row],[Section]]</f>
        <v>87</v>
      </c>
      <c r="P88">
        <f>Table4[[#This Row],[Canon]]</f>
        <v>2</v>
      </c>
      <c r="Q88" s="1" t="str">
        <f>Table4[[#This Row],[Reference]]</f>
        <v>9.3-4</v>
      </c>
      <c r="R88" t="str">
        <f>Table4[[#This Row],[StartR]]</f>
        <v>LUK 9:3</v>
      </c>
      <c r="S88" t="str">
        <f>Table4[[#This Row],[EndR]]</f>
        <v>LUK 9:4</v>
      </c>
      <c r="T88">
        <f>Table4[[#This Row],[Merged.Start]]</f>
        <v>36682</v>
      </c>
      <c r="U88">
        <f>Table4[[#This Row],[Merged.End]]</f>
        <v>36714</v>
      </c>
    </row>
    <row r="89" spans="1:21" x14ac:dyDescent="0.25">
      <c r="A89">
        <v>88</v>
      </c>
      <c r="B89">
        <v>2</v>
      </c>
      <c r="C89">
        <v>9.5</v>
      </c>
      <c r="D89" t="s">
        <v>1498</v>
      </c>
      <c r="E89" t="s">
        <v>1498</v>
      </c>
      <c r="F89">
        <v>36715</v>
      </c>
      <c r="G89">
        <v>36736</v>
      </c>
      <c r="H89">
        <v>0</v>
      </c>
      <c r="K89">
        <f>IF(Table4[[#This Row],[NeedsAttention]]=1,Table4[[#This Row],[Start]],Table4[[#This Row],[StartN]])</f>
        <v>36715</v>
      </c>
      <c r="L89">
        <f>IF(Table4[[#This Row],[NeedsAttention]]=1,Table4[[#This Row],[End]],Table4[[#This Row],[EndN]])</f>
        <v>36736</v>
      </c>
      <c r="M89" t="b">
        <f>Table4[[#This Row],[Merged.Start]]=L88+1</f>
        <v>1</v>
      </c>
      <c r="O89">
        <f>Table4[[#This Row],[Section]]</f>
        <v>88</v>
      </c>
      <c r="P89">
        <f>Table4[[#This Row],[Canon]]</f>
        <v>2</v>
      </c>
      <c r="Q89" s="1">
        <f>Table4[[#This Row],[Reference]]</f>
        <v>9.5</v>
      </c>
      <c r="R89" t="str">
        <f>Table4[[#This Row],[StartR]]</f>
        <v>LUK 9:5</v>
      </c>
      <c r="S89" t="str">
        <f>Table4[[#This Row],[EndR]]</f>
        <v>LUK 9:5</v>
      </c>
      <c r="T89">
        <f>Table4[[#This Row],[Merged.Start]]</f>
        <v>36715</v>
      </c>
      <c r="U89">
        <f>Table4[[#This Row],[Merged.End]]</f>
        <v>36736</v>
      </c>
    </row>
    <row r="90" spans="1:21" x14ac:dyDescent="0.25">
      <c r="A90">
        <v>89</v>
      </c>
      <c r="B90">
        <v>8</v>
      </c>
      <c r="C90">
        <v>9.6</v>
      </c>
      <c r="D90" t="s">
        <v>1499</v>
      </c>
      <c r="E90" t="s">
        <v>1499</v>
      </c>
      <c r="F90">
        <v>36737</v>
      </c>
      <c r="G90">
        <v>36746</v>
      </c>
      <c r="H90">
        <v>0</v>
      </c>
      <c r="K90">
        <f>IF(Table4[[#This Row],[NeedsAttention]]=1,Table4[[#This Row],[Start]],Table4[[#This Row],[StartN]])</f>
        <v>36737</v>
      </c>
      <c r="L90">
        <f>IF(Table4[[#This Row],[NeedsAttention]]=1,Table4[[#This Row],[End]],Table4[[#This Row],[EndN]])</f>
        <v>36746</v>
      </c>
      <c r="M90" t="b">
        <f>Table4[[#This Row],[Merged.Start]]=L89+1</f>
        <v>1</v>
      </c>
      <c r="O90">
        <f>Table4[[#This Row],[Section]]</f>
        <v>89</v>
      </c>
      <c r="P90">
        <f>Table4[[#This Row],[Canon]]</f>
        <v>8</v>
      </c>
      <c r="Q90" s="1">
        <f>Table4[[#This Row],[Reference]]</f>
        <v>9.6</v>
      </c>
      <c r="R90" t="str">
        <f>Table4[[#This Row],[StartR]]</f>
        <v>LUK 9:6</v>
      </c>
      <c r="S90" t="str">
        <f>Table4[[#This Row],[EndR]]</f>
        <v>LUK 9:6</v>
      </c>
      <c r="T90">
        <f>Table4[[#This Row],[Merged.Start]]</f>
        <v>36737</v>
      </c>
      <c r="U90">
        <f>Table4[[#This Row],[Merged.End]]</f>
        <v>36746</v>
      </c>
    </row>
    <row r="91" spans="1:21" x14ac:dyDescent="0.25">
      <c r="A91">
        <v>90</v>
      </c>
      <c r="B91">
        <v>2</v>
      </c>
      <c r="C91" t="s">
        <v>1500</v>
      </c>
      <c r="D91" t="s">
        <v>1501</v>
      </c>
      <c r="E91" t="s">
        <v>1502</v>
      </c>
      <c r="F91">
        <v>36747</v>
      </c>
      <c r="G91">
        <v>36799</v>
      </c>
      <c r="H91">
        <v>0</v>
      </c>
      <c r="K91">
        <f>IF(Table4[[#This Row],[NeedsAttention]]=1,Table4[[#This Row],[Start]],Table4[[#This Row],[StartN]])</f>
        <v>36747</v>
      </c>
      <c r="L91">
        <f>IF(Table4[[#This Row],[NeedsAttention]]=1,Table4[[#This Row],[End]],Table4[[#This Row],[EndN]])</f>
        <v>36799</v>
      </c>
      <c r="M91" t="b">
        <f>Table4[[#This Row],[Merged.Start]]=L90+1</f>
        <v>1</v>
      </c>
      <c r="O91">
        <f>Table4[[#This Row],[Section]]</f>
        <v>90</v>
      </c>
      <c r="P91">
        <f>Table4[[#This Row],[Canon]]</f>
        <v>2</v>
      </c>
      <c r="Q91" s="1" t="str">
        <f>Table4[[#This Row],[Reference]]</f>
        <v>9.7-9</v>
      </c>
      <c r="R91" t="str">
        <f>Table4[[#This Row],[StartR]]</f>
        <v>LUK 9:7</v>
      </c>
      <c r="S91" t="str">
        <f>Table4[[#This Row],[EndR]]</f>
        <v>LUK 9:9</v>
      </c>
      <c r="T91">
        <f>Table4[[#This Row],[Merged.Start]]</f>
        <v>36747</v>
      </c>
      <c r="U91">
        <f>Table4[[#This Row],[Merged.End]]</f>
        <v>36799</v>
      </c>
    </row>
    <row r="92" spans="1:21" x14ac:dyDescent="0.25">
      <c r="A92">
        <v>91</v>
      </c>
      <c r="B92">
        <v>8</v>
      </c>
      <c r="C92" t="s">
        <v>1503</v>
      </c>
      <c r="D92" t="s">
        <v>1504</v>
      </c>
      <c r="E92" t="s">
        <v>1504</v>
      </c>
      <c r="F92">
        <v>36800</v>
      </c>
      <c r="G92">
        <v>36817</v>
      </c>
      <c r="H92">
        <v>1</v>
      </c>
      <c r="I92">
        <v>36800</v>
      </c>
      <c r="J92">
        <v>36807</v>
      </c>
      <c r="K92">
        <f>IF(Table4[[#This Row],[NeedsAttention]]=1,Table4[[#This Row],[Start]],Table4[[#This Row],[StartN]])</f>
        <v>36800</v>
      </c>
      <c r="L92">
        <f>IF(Table4[[#This Row],[NeedsAttention]]=1,Table4[[#This Row],[End]],Table4[[#This Row],[EndN]])</f>
        <v>36807</v>
      </c>
      <c r="M92" t="b">
        <f>Table4[[#This Row],[Merged.Start]]=L91+1</f>
        <v>1</v>
      </c>
      <c r="O92">
        <f>Table4[[#This Row],[Section]]</f>
        <v>91</v>
      </c>
      <c r="P92">
        <f>Table4[[#This Row],[Canon]]</f>
        <v>8</v>
      </c>
      <c r="Q92" s="1" t="str">
        <f>Table4[[#This Row],[Reference]]</f>
        <v>9.10A</v>
      </c>
      <c r="R92" t="str">
        <f>Table4[[#This Row],[StartR]]</f>
        <v>LUK 9:10</v>
      </c>
      <c r="S92" t="str">
        <f>Table4[[#This Row],[EndR]]</f>
        <v>LUK 9:10</v>
      </c>
      <c r="T92">
        <f>Table4[[#This Row],[Merged.Start]]</f>
        <v>36800</v>
      </c>
      <c r="U92">
        <f>Table4[[#This Row],[Merged.End]]</f>
        <v>36807</v>
      </c>
    </row>
    <row r="93" spans="1:21" x14ac:dyDescent="0.25">
      <c r="A93">
        <v>92</v>
      </c>
      <c r="B93">
        <v>3</v>
      </c>
      <c r="C93" t="s">
        <v>1505</v>
      </c>
      <c r="D93" t="s">
        <v>1504</v>
      </c>
      <c r="E93" t="s">
        <v>1506</v>
      </c>
      <c r="F93">
        <v>36800</v>
      </c>
      <c r="G93">
        <v>36839</v>
      </c>
      <c r="H93">
        <v>1</v>
      </c>
      <c r="I93">
        <v>36808</v>
      </c>
      <c r="J93">
        <v>36839</v>
      </c>
      <c r="K93">
        <f>IF(Table4[[#This Row],[NeedsAttention]]=1,Table4[[#This Row],[Start]],Table4[[#This Row],[StartN]])</f>
        <v>36808</v>
      </c>
      <c r="L93">
        <f>IF(Table4[[#This Row],[NeedsAttention]]=1,Table4[[#This Row],[End]],Table4[[#This Row],[EndN]])</f>
        <v>36839</v>
      </c>
      <c r="M93" t="b">
        <f>Table4[[#This Row],[Merged.Start]]=L92+1</f>
        <v>1</v>
      </c>
      <c r="O93">
        <f>Table4[[#This Row],[Section]]</f>
        <v>92</v>
      </c>
      <c r="P93">
        <f>Table4[[#This Row],[Canon]]</f>
        <v>3</v>
      </c>
      <c r="Q93" s="1" t="str">
        <f>Table4[[#This Row],[Reference]]</f>
        <v>9.10B-11</v>
      </c>
      <c r="R93" t="str">
        <f>Table4[[#This Row],[StartR]]</f>
        <v>LUK 9:10</v>
      </c>
      <c r="S93" t="str">
        <f>Table4[[#This Row],[EndR]]</f>
        <v>LUK 9:11</v>
      </c>
      <c r="T93">
        <f>Table4[[#This Row],[Merged.Start]]</f>
        <v>36808</v>
      </c>
      <c r="U93">
        <f>Table4[[#This Row],[Merged.End]]</f>
        <v>36839</v>
      </c>
    </row>
    <row r="94" spans="1:21" x14ac:dyDescent="0.25">
      <c r="A94">
        <v>93</v>
      </c>
      <c r="B94">
        <v>1</v>
      </c>
      <c r="C94" t="s">
        <v>176</v>
      </c>
      <c r="D94" t="s">
        <v>1507</v>
      </c>
      <c r="E94" t="s">
        <v>1508</v>
      </c>
      <c r="F94">
        <v>36840</v>
      </c>
      <c r="G94">
        <v>36963</v>
      </c>
      <c r="H94">
        <v>0</v>
      </c>
      <c r="K94">
        <f>IF(Table4[[#This Row],[NeedsAttention]]=1,Table4[[#This Row],[Start]],Table4[[#This Row],[StartN]])</f>
        <v>36840</v>
      </c>
      <c r="L94">
        <f>IF(Table4[[#This Row],[NeedsAttention]]=1,Table4[[#This Row],[End]],Table4[[#This Row],[EndN]])</f>
        <v>36963</v>
      </c>
      <c r="M94" t="b">
        <f>Table4[[#This Row],[Merged.Start]]=L93+1</f>
        <v>1</v>
      </c>
      <c r="O94">
        <f>Table4[[#This Row],[Section]]</f>
        <v>93</v>
      </c>
      <c r="P94">
        <f>Table4[[#This Row],[Canon]]</f>
        <v>1</v>
      </c>
      <c r="Q94" s="1" t="str">
        <f>Table4[[#This Row],[Reference]]</f>
        <v>9.12-17</v>
      </c>
      <c r="R94" t="str">
        <f>Table4[[#This Row],[StartR]]</f>
        <v>LUK 9:12</v>
      </c>
      <c r="S94" t="str">
        <f>Table4[[#This Row],[EndR]]</f>
        <v>LUK 9:17</v>
      </c>
      <c r="T94">
        <f>Table4[[#This Row],[Merged.Start]]</f>
        <v>36840</v>
      </c>
      <c r="U94">
        <f>Table4[[#This Row],[Merged.End]]</f>
        <v>36963</v>
      </c>
    </row>
    <row r="95" spans="1:21" x14ac:dyDescent="0.25">
      <c r="A95">
        <v>94</v>
      </c>
      <c r="B95">
        <v>1</v>
      </c>
      <c r="C95" t="s">
        <v>1509</v>
      </c>
      <c r="D95" t="s">
        <v>1510</v>
      </c>
      <c r="E95" t="s">
        <v>1511</v>
      </c>
      <c r="F95">
        <v>36964</v>
      </c>
      <c r="G95">
        <v>37021</v>
      </c>
      <c r="H95">
        <v>0</v>
      </c>
      <c r="K95">
        <f>IF(Table4[[#This Row],[NeedsAttention]]=1,Table4[[#This Row],[Start]],Table4[[#This Row],[StartN]])</f>
        <v>36964</v>
      </c>
      <c r="L95">
        <f>IF(Table4[[#This Row],[NeedsAttention]]=1,Table4[[#This Row],[End]],Table4[[#This Row],[EndN]])</f>
        <v>37021</v>
      </c>
      <c r="M95" t="b">
        <f>Table4[[#This Row],[Merged.Start]]=L94+1</f>
        <v>1</v>
      </c>
      <c r="O95">
        <f>Table4[[#This Row],[Section]]</f>
        <v>94</v>
      </c>
      <c r="P95">
        <f>Table4[[#This Row],[Canon]]</f>
        <v>1</v>
      </c>
      <c r="Q95" s="1" t="str">
        <f>Table4[[#This Row],[Reference]]</f>
        <v>9.18-20</v>
      </c>
      <c r="R95" t="str">
        <f>Table4[[#This Row],[StartR]]</f>
        <v>LUK 9:18</v>
      </c>
      <c r="S95" t="str">
        <f>Table4[[#This Row],[EndR]]</f>
        <v>LUK 9:20</v>
      </c>
      <c r="T95">
        <f>Table4[[#This Row],[Merged.Start]]</f>
        <v>36964</v>
      </c>
      <c r="U95">
        <f>Table4[[#This Row],[Merged.End]]</f>
        <v>37021</v>
      </c>
    </row>
    <row r="96" spans="1:21" x14ac:dyDescent="0.25">
      <c r="A96">
        <v>95</v>
      </c>
      <c r="B96">
        <v>2</v>
      </c>
      <c r="C96" t="s">
        <v>1512</v>
      </c>
      <c r="D96" t="s">
        <v>1513</v>
      </c>
      <c r="E96" t="s">
        <v>1514</v>
      </c>
      <c r="F96">
        <v>37022</v>
      </c>
      <c r="G96">
        <v>37054</v>
      </c>
      <c r="H96">
        <v>0</v>
      </c>
      <c r="K96">
        <f>IF(Table4[[#This Row],[NeedsAttention]]=1,Table4[[#This Row],[Start]],Table4[[#This Row],[StartN]])</f>
        <v>37022</v>
      </c>
      <c r="L96">
        <f>IF(Table4[[#This Row],[NeedsAttention]]=1,Table4[[#This Row],[End]],Table4[[#This Row],[EndN]])</f>
        <v>37054</v>
      </c>
      <c r="M96" t="b">
        <f>Table4[[#This Row],[Merged.Start]]=L95+1</f>
        <v>1</v>
      </c>
      <c r="O96">
        <f>Table4[[#This Row],[Section]]</f>
        <v>95</v>
      </c>
      <c r="P96">
        <f>Table4[[#This Row],[Canon]]</f>
        <v>2</v>
      </c>
      <c r="Q96" s="1" t="str">
        <f>Table4[[#This Row],[Reference]]</f>
        <v>9.21-22</v>
      </c>
      <c r="R96" t="str">
        <f>Table4[[#This Row],[StartR]]</f>
        <v>LUK 9:21</v>
      </c>
      <c r="S96" t="str">
        <f>Table4[[#This Row],[EndR]]</f>
        <v>LUK 9:22</v>
      </c>
      <c r="T96">
        <f>Table4[[#This Row],[Merged.Start]]</f>
        <v>37022</v>
      </c>
      <c r="U96">
        <f>Table4[[#This Row],[Merged.End]]</f>
        <v>37054</v>
      </c>
    </row>
    <row r="97" spans="1:21" x14ac:dyDescent="0.25">
      <c r="A97">
        <v>96</v>
      </c>
      <c r="B97">
        <v>2</v>
      </c>
      <c r="C97" t="s">
        <v>1515</v>
      </c>
      <c r="D97" t="s">
        <v>1516</v>
      </c>
      <c r="E97" t="s">
        <v>1517</v>
      </c>
      <c r="F97">
        <v>37055</v>
      </c>
      <c r="G97">
        <v>37111</v>
      </c>
      <c r="H97">
        <v>0</v>
      </c>
      <c r="K97">
        <f>IF(Table4[[#This Row],[NeedsAttention]]=1,Table4[[#This Row],[Start]],Table4[[#This Row],[StartN]])</f>
        <v>37055</v>
      </c>
      <c r="L97">
        <f>IF(Table4[[#This Row],[NeedsAttention]]=1,Table4[[#This Row],[End]],Table4[[#This Row],[EndN]])</f>
        <v>37111</v>
      </c>
      <c r="M97" t="b">
        <f>Table4[[#This Row],[Merged.Start]]=L96+1</f>
        <v>1</v>
      </c>
      <c r="O97">
        <f>Table4[[#This Row],[Section]]</f>
        <v>96</v>
      </c>
      <c r="P97">
        <f>Table4[[#This Row],[Canon]]</f>
        <v>2</v>
      </c>
      <c r="Q97" s="1" t="str">
        <f>Table4[[#This Row],[Reference]]</f>
        <v>9.23-25</v>
      </c>
      <c r="R97" t="str">
        <f>Table4[[#This Row],[StartR]]</f>
        <v>LUK 9:23</v>
      </c>
      <c r="S97" t="str">
        <f>Table4[[#This Row],[EndR]]</f>
        <v>LUK 9:25</v>
      </c>
      <c r="T97">
        <f>Table4[[#This Row],[Merged.Start]]</f>
        <v>37055</v>
      </c>
      <c r="U97">
        <f>Table4[[#This Row],[Merged.End]]</f>
        <v>37111</v>
      </c>
    </row>
    <row r="98" spans="1:21" x14ac:dyDescent="0.25">
      <c r="A98">
        <v>97</v>
      </c>
      <c r="B98">
        <v>2</v>
      </c>
      <c r="C98">
        <v>9.26</v>
      </c>
      <c r="D98" t="s">
        <v>1518</v>
      </c>
      <c r="E98" t="s">
        <v>1518</v>
      </c>
      <c r="F98">
        <v>37112</v>
      </c>
      <c r="G98">
        <v>37139</v>
      </c>
      <c r="H98">
        <v>0</v>
      </c>
      <c r="K98">
        <f>IF(Table4[[#This Row],[NeedsAttention]]=1,Table4[[#This Row],[Start]],Table4[[#This Row],[StartN]])</f>
        <v>37112</v>
      </c>
      <c r="L98">
        <f>IF(Table4[[#This Row],[NeedsAttention]]=1,Table4[[#This Row],[End]],Table4[[#This Row],[EndN]])</f>
        <v>37139</v>
      </c>
      <c r="M98" t="b">
        <f>Table4[[#This Row],[Merged.Start]]=L97+1</f>
        <v>1</v>
      </c>
      <c r="O98">
        <f>Table4[[#This Row],[Section]]</f>
        <v>97</v>
      </c>
      <c r="P98">
        <f>Table4[[#This Row],[Canon]]</f>
        <v>2</v>
      </c>
      <c r="Q98" s="1">
        <f>Table4[[#This Row],[Reference]]</f>
        <v>9.26</v>
      </c>
      <c r="R98" t="str">
        <f>Table4[[#This Row],[StartR]]</f>
        <v>LUK 9:26</v>
      </c>
      <c r="S98" t="str">
        <f>Table4[[#This Row],[EndR]]</f>
        <v>LUK 9:26</v>
      </c>
      <c r="T98">
        <f>Table4[[#This Row],[Merged.Start]]</f>
        <v>37112</v>
      </c>
      <c r="U98">
        <f>Table4[[#This Row],[Merged.End]]</f>
        <v>37139</v>
      </c>
    </row>
    <row r="99" spans="1:21" x14ac:dyDescent="0.25">
      <c r="A99">
        <v>98</v>
      </c>
      <c r="B99">
        <v>2</v>
      </c>
      <c r="C99" t="s">
        <v>1519</v>
      </c>
      <c r="D99" t="s">
        <v>1520</v>
      </c>
      <c r="E99" t="s">
        <v>1521</v>
      </c>
      <c r="F99">
        <v>37140</v>
      </c>
      <c r="G99">
        <v>37338</v>
      </c>
      <c r="H99">
        <v>0</v>
      </c>
      <c r="K99">
        <f>IF(Table4[[#This Row],[NeedsAttention]]=1,Table4[[#This Row],[Start]],Table4[[#This Row],[StartN]])</f>
        <v>37140</v>
      </c>
      <c r="L99">
        <f>IF(Table4[[#This Row],[NeedsAttention]]=1,Table4[[#This Row],[End]],Table4[[#This Row],[EndN]])</f>
        <v>37338</v>
      </c>
      <c r="M99" t="b">
        <f>Table4[[#This Row],[Merged.Start]]=L98+1</f>
        <v>1</v>
      </c>
      <c r="O99">
        <f>Table4[[#This Row],[Section]]</f>
        <v>98</v>
      </c>
      <c r="P99">
        <f>Table4[[#This Row],[Canon]]</f>
        <v>2</v>
      </c>
      <c r="Q99" s="1" t="str">
        <f>Table4[[#This Row],[Reference]]</f>
        <v>9.27-36</v>
      </c>
      <c r="R99" t="str">
        <f>Table4[[#This Row],[StartR]]</f>
        <v>LUK 9:27</v>
      </c>
      <c r="S99" t="str">
        <f>Table4[[#This Row],[EndR]]</f>
        <v>LUK 9:36</v>
      </c>
      <c r="T99">
        <f>Table4[[#This Row],[Merged.Start]]</f>
        <v>37140</v>
      </c>
      <c r="U99">
        <f>Table4[[#This Row],[Merged.End]]</f>
        <v>37338</v>
      </c>
    </row>
    <row r="100" spans="1:21" x14ac:dyDescent="0.25">
      <c r="A100">
        <v>99</v>
      </c>
      <c r="B100">
        <v>2</v>
      </c>
      <c r="C100" t="s">
        <v>1522</v>
      </c>
      <c r="D100" t="s">
        <v>1523</v>
      </c>
      <c r="E100" t="s">
        <v>1524</v>
      </c>
      <c r="F100">
        <v>37339</v>
      </c>
      <c r="G100">
        <v>37454</v>
      </c>
      <c r="H100">
        <v>0</v>
      </c>
      <c r="K100">
        <f>IF(Table4[[#This Row],[NeedsAttention]]=1,Table4[[#This Row],[Start]],Table4[[#This Row],[StartN]])</f>
        <v>37339</v>
      </c>
      <c r="L100">
        <f>IF(Table4[[#This Row],[NeedsAttention]]=1,Table4[[#This Row],[End]],Table4[[#This Row],[EndN]])</f>
        <v>37454</v>
      </c>
      <c r="M100" t="b">
        <f>Table4[[#This Row],[Merged.Start]]=L99+1</f>
        <v>1</v>
      </c>
      <c r="O100">
        <f>Table4[[#This Row],[Section]]</f>
        <v>99</v>
      </c>
      <c r="P100">
        <f>Table4[[#This Row],[Canon]]</f>
        <v>2</v>
      </c>
      <c r="Q100" s="1" t="str">
        <f>Table4[[#This Row],[Reference]]</f>
        <v>9.37-42</v>
      </c>
      <c r="R100" t="str">
        <f>Table4[[#This Row],[StartR]]</f>
        <v>LUK 9:37</v>
      </c>
      <c r="S100" t="str">
        <f>Table4[[#This Row],[EndR]]</f>
        <v>LUK 9:42</v>
      </c>
      <c r="T100">
        <f>Table4[[#This Row],[Merged.Start]]</f>
        <v>37339</v>
      </c>
      <c r="U100">
        <f>Table4[[#This Row],[Merged.End]]</f>
        <v>37454</v>
      </c>
    </row>
    <row r="101" spans="1:21" x14ac:dyDescent="0.25">
      <c r="A101">
        <v>100</v>
      </c>
      <c r="B101">
        <v>8</v>
      </c>
      <c r="C101" t="s">
        <v>1525</v>
      </c>
      <c r="D101" t="s">
        <v>1526</v>
      </c>
      <c r="E101" t="s">
        <v>1526</v>
      </c>
      <c r="F101">
        <v>37455</v>
      </c>
      <c r="G101">
        <v>37474</v>
      </c>
      <c r="H101">
        <v>1</v>
      </c>
      <c r="I101">
        <v>37455</v>
      </c>
      <c r="J101">
        <v>37462</v>
      </c>
      <c r="K101">
        <f>IF(Table4[[#This Row],[NeedsAttention]]=1,Table4[[#This Row],[Start]],Table4[[#This Row],[StartN]])</f>
        <v>37455</v>
      </c>
      <c r="L101">
        <f>IF(Table4[[#This Row],[NeedsAttention]]=1,Table4[[#This Row],[End]],Table4[[#This Row],[EndN]])</f>
        <v>37462</v>
      </c>
      <c r="M101" t="b">
        <f>Table4[[#This Row],[Merged.Start]]=L100+1</f>
        <v>1</v>
      </c>
      <c r="O101">
        <f>Table4[[#This Row],[Section]]</f>
        <v>100</v>
      </c>
      <c r="P101">
        <f>Table4[[#This Row],[Canon]]</f>
        <v>8</v>
      </c>
      <c r="Q101" s="1" t="str">
        <f>Table4[[#This Row],[Reference]]</f>
        <v>9.43A</v>
      </c>
      <c r="R101" t="str">
        <f>Table4[[#This Row],[StartR]]</f>
        <v>LUK 9:43</v>
      </c>
      <c r="S101" t="str">
        <f>Table4[[#This Row],[EndR]]</f>
        <v>LUK 9:43</v>
      </c>
      <c r="T101">
        <f>Table4[[#This Row],[Merged.Start]]</f>
        <v>37455</v>
      </c>
      <c r="U101">
        <f>Table4[[#This Row],[Merged.End]]</f>
        <v>37462</v>
      </c>
    </row>
    <row r="102" spans="1:21" x14ac:dyDescent="0.25">
      <c r="A102">
        <v>101</v>
      </c>
      <c r="B102">
        <v>2</v>
      </c>
      <c r="C102" t="s">
        <v>1527</v>
      </c>
      <c r="D102" t="s">
        <v>1526</v>
      </c>
      <c r="E102" t="s">
        <v>1528</v>
      </c>
      <c r="F102">
        <v>37455</v>
      </c>
      <c r="G102">
        <v>37516</v>
      </c>
      <c r="H102">
        <v>1</v>
      </c>
      <c r="I102">
        <v>37463</v>
      </c>
      <c r="J102">
        <v>37516</v>
      </c>
      <c r="K102">
        <f>IF(Table4[[#This Row],[NeedsAttention]]=1,Table4[[#This Row],[Start]],Table4[[#This Row],[StartN]])</f>
        <v>37463</v>
      </c>
      <c r="L102">
        <f>IF(Table4[[#This Row],[NeedsAttention]]=1,Table4[[#This Row],[End]],Table4[[#This Row],[EndN]])</f>
        <v>37516</v>
      </c>
      <c r="M102" t="b">
        <f>Table4[[#This Row],[Merged.Start]]=L101+1</f>
        <v>1</v>
      </c>
      <c r="O102">
        <f>Table4[[#This Row],[Section]]</f>
        <v>101</v>
      </c>
      <c r="P102">
        <f>Table4[[#This Row],[Canon]]</f>
        <v>2</v>
      </c>
      <c r="Q102" s="1" t="str">
        <f>Table4[[#This Row],[Reference]]</f>
        <v>9.43B-45</v>
      </c>
      <c r="R102" t="str">
        <f>Table4[[#This Row],[StartR]]</f>
        <v>LUK 9:43</v>
      </c>
      <c r="S102" t="str">
        <f>Table4[[#This Row],[EndR]]</f>
        <v>LUK 9:45</v>
      </c>
      <c r="T102">
        <f>Table4[[#This Row],[Merged.Start]]</f>
        <v>37463</v>
      </c>
      <c r="U102">
        <f>Table4[[#This Row],[Merged.End]]</f>
        <v>37516</v>
      </c>
    </row>
    <row r="103" spans="1:21" x14ac:dyDescent="0.25">
      <c r="A103">
        <v>102</v>
      </c>
      <c r="B103">
        <v>2</v>
      </c>
      <c r="C103" t="s">
        <v>1529</v>
      </c>
      <c r="D103" t="s">
        <v>1530</v>
      </c>
      <c r="E103" t="s">
        <v>1531</v>
      </c>
      <c r="F103">
        <v>37517</v>
      </c>
      <c r="G103">
        <v>37576</v>
      </c>
      <c r="H103">
        <v>0</v>
      </c>
      <c r="K103">
        <f>IF(Table4[[#This Row],[NeedsAttention]]=1,Table4[[#This Row],[Start]],Table4[[#This Row],[StartN]])</f>
        <v>37517</v>
      </c>
      <c r="L103">
        <f>IF(Table4[[#This Row],[NeedsAttention]]=1,Table4[[#This Row],[End]],Table4[[#This Row],[EndN]])</f>
        <v>37576</v>
      </c>
      <c r="M103" t="b">
        <f>Table4[[#This Row],[Merged.Start]]=L102+1</f>
        <v>1</v>
      </c>
      <c r="O103">
        <f>Table4[[#This Row],[Section]]</f>
        <v>102</v>
      </c>
      <c r="P103">
        <f>Table4[[#This Row],[Canon]]</f>
        <v>2</v>
      </c>
      <c r="Q103" s="1" t="str">
        <f>Table4[[#This Row],[Reference]]</f>
        <v>9.46-48</v>
      </c>
      <c r="R103" t="str">
        <f>Table4[[#This Row],[StartR]]</f>
        <v>LUK 9:46</v>
      </c>
      <c r="S103" t="str">
        <f>Table4[[#This Row],[EndR]]</f>
        <v>LUK 9:48</v>
      </c>
      <c r="T103">
        <f>Table4[[#This Row],[Merged.Start]]</f>
        <v>37517</v>
      </c>
      <c r="U103">
        <f>Table4[[#This Row],[Merged.End]]</f>
        <v>37576</v>
      </c>
    </row>
    <row r="104" spans="1:21" x14ac:dyDescent="0.25">
      <c r="A104">
        <v>103</v>
      </c>
      <c r="B104">
        <v>8</v>
      </c>
      <c r="C104" t="s">
        <v>1532</v>
      </c>
      <c r="D104" t="s">
        <v>1533</v>
      </c>
      <c r="E104" t="s">
        <v>1534</v>
      </c>
      <c r="F104">
        <v>37577</v>
      </c>
      <c r="G104">
        <v>37614</v>
      </c>
      <c r="H104">
        <v>0</v>
      </c>
      <c r="K104">
        <f>IF(Table4[[#This Row],[NeedsAttention]]=1,Table4[[#This Row],[Start]],Table4[[#This Row],[StartN]])</f>
        <v>37577</v>
      </c>
      <c r="L104">
        <f>IF(Table4[[#This Row],[NeedsAttention]]=1,Table4[[#This Row],[End]],Table4[[#This Row],[EndN]])</f>
        <v>37614</v>
      </c>
      <c r="M104" t="b">
        <f>Table4[[#This Row],[Merged.Start]]=L103+1</f>
        <v>1</v>
      </c>
      <c r="O104">
        <f>Table4[[#This Row],[Section]]</f>
        <v>103</v>
      </c>
      <c r="P104">
        <f>Table4[[#This Row],[Canon]]</f>
        <v>8</v>
      </c>
      <c r="Q104" s="1" t="str">
        <f>Table4[[#This Row],[Reference]]</f>
        <v>9.49-50</v>
      </c>
      <c r="R104" t="str">
        <f>Table4[[#This Row],[StartR]]</f>
        <v>LUK 9:49</v>
      </c>
      <c r="S104" t="str">
        <f>Table4[[#This Row],[EndR]]</f>
        <v>LUK 9:50</v>
      </c>
      <c r="T104">
        <f>Table4[[#This Row],[Merged.Start]]</f>
        <v>37577</v>
      </c>
      <c r="U104">
        <f>Table4[[#This Row],[Merged.End]]</f>
        <v>37614</v>
      </c>
    </row>
    <row r="105" spans="1:21" x14ac:dyDescent="0.25">
      <c r="A105">
        <v>104</v>
      </c>
      <c r="B105">
        <v>10</v>
      </c>
      <c r="C105" t="s">
        <v>1535</v>
      </c>
      <c r="D105" t="s">
        <v>1536</v>
      </c>
      <c r="E105" t="s">
        <v>1537</v>
      </c>
      <c r="F105">
        <v>37615</v>
      </c>
      <c r="G105">
        <v>37688</v>
      </c>
      <c r="H105">
        <v>0</v>
      </c>
      <c r="K105">
        <f>IF(Table4[[#This Row],[NeedsAttention]]=1,Table4[[#This Row],[Start]],Table4[[#This Row],[StartN]])</f>
        <v>37615</v>
      </c>
      <c r="L105">
        <f>IF(Table4[[#This Row],[NeedsAttention]]=1,Table4[[#This Row],[End]],Table4[[#This Row],[EndN]])</f>
        <v>37688</v>
      </c>
      <c r="M105" t="b">
        <f>Table4[[#This Row],[Merged.Start]]=L104+1</f>
        <v>1</v>
      </c>
      <c r="O105">
        <f>Table4[[#This Row],[Section]]</f>
        <v>104</v>
      </c>
      <c r="P105">
        <f>Table4[[#This Row],[Canon]]</f>
        <v>10</v>
      </c>
      <c r="Q105" s="1" t="str">
        <f>Table4[[#This Row],[Reference]]</f>
        <v>9.51-56</v>
      </c>
      <c r="R105" t="str">
        <f>Table4[[#This Row],[StartR]]</f>
        <v>LUK 9:51</v>
      </c>
      <c r="S105" t="str">
        <f>Table4[[#This Row],[EndR]]</f>
        <v>LUK 9:56</v>
      </c>
      <c r="T105">
        <f>Table4[[#This Row],[Merged.Start]]</f>
        <v>37615</v>
      </c>
      <c r="U105">
        <f>Table4[[#This Row],[Merged.End]]</f>
        <v>37688</v>
      </c>
    </row>
    <row r="106" spans="1:21" x14ac:dyDescent="0.25">
      <c r="A106">
        <v>105</v>
      </c>
      <c r="B106">
        <v>5</v>
      </c>
      <c r="C106" t="s">
        <v>1538</v>
      </c>
      <c r="D106" t="s">
        <v>1539</v>
      </c>
      <c r="E106" t="s">
        <v>1540</v>
      </c>
      <c r="F106">
        <v>37689</v>
      </c>
      <c r="G106">
        <v>37765</v>
      </c>
      <c r="H106">
        <v>0</v>
      </c>
      <c r="K106">
        <f>IF(Table4[[#This Row],[NeedsAttention]]=1,Table4[[#This Row],[Start]],Table4[[#This Row],[StartN]])</f>
        <v>37689</v>
      </c>
      <c r="L106">
        <f>IF(Table4[[#This Row],[NeedsAttention]]=1,Table4[[#This Row],[End]],Table4[[#This Row],[EndN]])</f>
        <v>37765</v>
      </c>
      <c r="M106" t="b">
        <f>Table4[[#This Row],[Merged.Start]]=L105+1</f>
        <v>1</v>
      </c>
      <c r="O106">
        <f>Table4[[#This Row],[Section]]</f>
        <v>105</v>
      </c>
      <c r="P106">
        <f>Table4[[#This Row],[Canon]]</f>
        <v>5</v>
      </c>
      <c r="Q106" s="1" t="str">
        <f>Table4[[#This Row],[Reference]]</f>
        <v>9.57-60</v>
      </c>
      <c r="R106" t="str">
        <f>Table4[[#This Row],[StartR]]</f>
        <v>LUK 9:57</v>
      </c>
      <c r="S106" t="str">
        <f>Table4[[#This Row],[EndR]]</f>
        <v>LUK 9:60</v>
      </c>
      <c r="T106">
        <f>Table4[[#This Row],[Merged.Start]]</f>
        <v>37689</v>
      </c>
      <c r="U106">
        <f>Table4[[#This Row],[Merged.End]]</f>
        <v>37765</v>
      </c>
    </row>
    <row r="107" spans="1:21" x14ac:dyDescent="0.25">
      <c r="A107">
        <v>106</v>
      </c>
      <c r="B107">
        <v>10</v>
      </c>
      <c r="C107" t="s">
        <v>1541</v>
      </c>
      <c r="D107" t="s">
        <v>1542</v>
      </c>
      <c r="E107" t="s">
        <v>1543</v>
      </c>
      <c r="F107">
        <v>37766</v>
      </c>
      <c r="G107">
        <v>37803</v>
      </c>
      <c r="H107">
        <v>0</v>
      </c>
      <c r="K107">
        <f>IF(Table4[[#This Row],[NeedsAttention]]=1,Table4[[#This Row],[Start]],Table4[[#This Row],[StartN]])</f>
        <v>37766</v>
      </c>
      <c r="L107">
        <f>IF(Table4[[#This Row],[NeedsAttention]]=1,Table4[[#This Row],[End]],Table4[[#This Row],[EndN]])</f>
        <v>37803</v>
      </c>
      <c r="M107" t="b">
        <f>Table4[[#This Row],[Merged.Start]]=L106+1</f>
        <v>1</v>
      </c>
      <c r="O107">
        <f>Table4[[#This Row],[Section]]</f>
        <v>106</v>
      </c>
      <c r="P107">
        <f>Table4[[#This Row],[Canon]]</f>
        <v>10</v>
      </c>
      <c r="Q107" s="1" t="str">
        <f>Table4[[#This Row],[Reference]]</f>
        <v>9.61-62</v>
      </c>
      <c r="R107" t="str">
        <f>Table4[[#This Row],[StartR]]</f>
        <v>LUK 9:61</v>
      </c>
      <c r="S107" t="str">
        <f>Table4[[#This Row],[EndR]]</f>
        <v>LUK 9:62</v>
      </c>
      <c r="T107">
        <f>Table4[[#This Row],[Merged.Start]]</f>
        <v>37766</v>
      </c>
      <c r="U107">
        <f>Table4[[#This Row],[Merged.End]]</f>
        <v>37803</v>
      </c>
    </row>
    <row r="108" spans="1:21" x14ac:dyDescent="0.25">
      <c r="A108">
        <v>107</v>
      </c>
      <c r="B108">
        <v>10</v>
      </c>
      <c r="C108">
        <v>10.1</v>
      </c>
      <c r="D108" t="s">
        <v>1544</v>
      </c>
      <c r="E108" t="s">
        <v>1544</v>
      </c>
      <c r="F108">
        <v>37804</v>
      </c>
      <c r="G108">
        <v>37831</v>
      </c>
      <c r="H108">
        <v>0</v>
      </c>
      <c r="K108">
        <f>IF(Table4[[#This Row],[NeedsAttention]]=1,Table4[[#This Row],[Start]],Table4[[#This Row],[StartN]])</f>
        <v>37804</v>
      </c>
      <c r="L108">
        <f>IF(Table4[[#This Row],[NeedsAttention]]=1,Table4[[#This Row],[End]],Table4[[#This Row],[EndN]])</f>
        <v>37831</v>
      </c>
      <c r="M108" t="b">
        <f>Table4[[#This Row],[Merged.Start]]=L107+1</f>
        <v>1</v>
      </c>
      <c r="O108">
        <f>Table4[[#This Row],[Section]]</f>
        <v>107</v>
      </c>
      <c r="P108">
        <f>Table4[[#This Row],[Canon]]</f>
        <v>10</v>
      </c>
      <c r="Q108" s="1">
        <f>Table4[[#This Row],[Reference]]</f>
        <v>10.1</v>
      </c>
      <c r="R108" t="str">
        <f>Table4[[#This Row],[StartR]]</f>
        <v>LUK 10:1</v>
      </c>
      <c r="S108" t="str">
        <f>Table4[[#This Row],[EndR]]</f>
        <v>LUK 10:1</v>
      </c>
      <c r="T108">
        <f>Table4[[#This Row],[Merged.Start]]</f>
        <v>37804</v>
      </c>
      <c r="U108">
        <f>Table4[[#This Row],[Merged.End]]</f>
        <v>37831</v>
      </c>
    </row>
    <row r="109" spans="1:21" x14ac:dyDescent="0.25">
      <c r="A109">
        <v>108</v>
      </c>
      <c r="B109">
        <v>5</v>
      </c>
      <c r="C109">
        <v>10.199999999999999</v>
      </c>
      <c r="D109" t="s">
        <v>1545</v>
      </c>
      <c r="E109" t="s">
        <v>1545</v>
      </c>
      <c r="F109">
        <v>37832</v>
      </c>
      <c r="G109">
        <v>37856</v>
      </c>
      <c r="H109">
        <v>0</v>
      </c>
      <c r="K109">
        <f>IF(Table4[[#This Row],[NeedsAttention]]=1,Table4[[#This Row],[Start]],Table4[[#This Row],[StartN]])</f>
        <v>37832</v>
      </c>
      <c r="L109">
        <f>IF(Table4[[#This Row],[NeedsAttention]]=1,Table4[[#This Row],[End]],Table4[[#This Row],[EndN]])</f>
        <v>37856</v>
      </c>
      <c r="M109" t="b">
        <f>Table4[[#This Row],[Merged.Start]]=L108+1</f>
        <v>1</v>
      </c>
      <c r="O109">
        <f>Table4[[#This Row],[Section]]</f>
        <v>108</v>
      </c>
      <c r="P109">
        <f>Table4[[#This Row],[Canon]]</f>
        <v>5</v>
      </c>
      <c r="Q109" s="1">
        <f>Table4[[#This Row],[Reference]]</f>
        <v>10.199999999999999</v>
      </c>
      <c r="R109" t="str">
        <f>Table4[[#This Row],[StartR]]</f>
        <v>LUK 10:2</v>
      </c>
      <c r="S109" t="str">
        <f>Table4[[#This Row],[EndR]]</f>
        <v>LUK 10:2</v>
      </c>
      <c r="T109">
        <f>Table4[[#This Row],[Merged.Start]]</f>
        <v>37832</v>
      </c>
      <c r="U109">
        <f>Table4[[#This Row],[Merged.End]]</f>
        <v>37856</v>
      </c>
    </row>
    <row r="110" spans="1:21" x14ac:dyDescent="0.25">
      <c r="A110">
        <v>109</v>
      </c>
      <c r="B110">
        <v>5</v>
      </c>
      <c r="C110">
        <v>10.3</v>
      </c>
      <c r="D110" t="s">
        <v>1546</v>
      </c>
      <c r="E110" t="s">
        <v>1546</v>
      </c>
      <c r="F110">
        <v>37857</v>
      </c>
      <c r="G110">
        <v>37865</v>
      </c>
      <c r="H110">
        <v>0</v>
      </c>
      <c r="K110">
        <f>IF(Table4[[#This Row],[NeedsAttention]]=1,Table4[[#This Row],[Start]],Table4[[#This Row],[StartN]])</f>
        <v>37857</v>
      </c>
      <c r="L110">
        <f>IF(Table4[[#This Row],[NeedsAttention]]=1,Table4[[#This Row],[End]],Table4[[#This Row],[EndN]])</f>
        <v>37865</v>
      </c>
      <c r="M110" t="b">
        <f>Table4[[#This Row],[Merged.Start]]=L109+1</f>
        <v>1</v>
      </c>
      <c r="O110">
        <f>Table4[[#This Row],[Section]]</f>
        <v>109</v>
      </c>
      <c r="P110">
        <f>Table4[[#This Row],[Canon]]</f>
        <v>5</v>
      </c>
      <c r="Q110" s="1">
        <f>Table4[[#This Row],[Reference]]</f>
        <v>10.3</v>
      </c>
      <c r="R110" t="str">
        <f>Table4[[#This Row],[StartR]]</f>
        <v>LUK 10:3</v>
      </c>
      <c r="S110" t="str">
        <f>Table4[[#This Row],[EndR]]</f>
        <v>LUK 10:3</v>
      </c>
      <c r="T110">
        <f>Table4[[#This Row],[Merged.Start]]</f>
        <v>37857</v>
      </c>
      <c r="U110">
        <f>Table4[[#This Row],[Merged.End]]</f>
        <v>37865</v>
      </c>
    </row>
    <row r="111" spans="1:21" x14ac:dyDescent="0.25">
      <c r="A111">
        <v>110</v>
      </c>
      <c r="B111">
        <v>2</v>
      </c>
      <c r="C111">
        <v>10.4</v>
      </c>
      <c r="D111" t="s">
        <v>1547</v>
      </c>
      <c r="E111" t="s">
        <v>1547</v>
      </c>
      <c r="F111">
        <v>37866</v>
      </c>
      <c r="G111">
        <v>37878</v>
      </c>
      <c r="H111">
        <v>0</v>
      </c>
      <c r="K111">
        <f>IF(Table4[[#This Row],[NeedsAttention]]=1,Table4[[#This Row],[Start]],Table4[[#This Row],[StartN]])</f>
        <v>37866</v>
      </c>
      <c r="L111">
        <f>IF(Table4[[#This Row],[NeedsAttention]]=1,Table4[[#This Row],[End]],Table4[[#This Row],[EndN]])</f>
        <v>37878</v>
      </c>
      <c r="M111" t="b">
        <f>Table4[[#This Row],[Merged.Start]]=L110+1</f>
        <v>1</v>
      </c>
      <c r="O111">
        <f>Table4[[#This Row],[Section]]</f>
        <v>110</v>
      </c>
      <c r="P111">
        <f>Table4[[#This Row],[Canon]]</f>
        <v>2</v>
      </c>
      <c r="Q111" s="1">
        <f>Table4[[#This Row],[Reference]]</f>
        <v>10.4</v>
      </c>
      <c r="R111" t="str">
        <f>Table4[[#This Row],[StartR]]</f>
        <v>LUK 10:4</v>
      </c>
      <c r="S111" t="str">
        <f>Table4[[#This Row],[EndR]]</f>
        <v>LUK 10:4</v>
      </c>
      <c r="T111">
        <f>Table4[[#This Row],[Merged.Start]]</f>
        <v>37866</v>
      </c>
      <c r="U111">
        <f>Table4[[#This Row],[Merged.End]]</f>
        <v>37878</v>
      </c>
    </row>
    <row r="112" spans="1:21" x14ac:dyDescent="0.25">
      <c r="A112">
        <v>111</v>
      </c>
      <c r="B112">
        <v>5</v>
      </c>
      <c r="C112" t="s">
        <v>192</v>
      </c>
      <c r="D112" t="s">
        <v>1548</v>
      </c>
      <c r="E112" t="s">
        <v>1549</v>
      </c>
      <c r="F112">
        <v>37879</v>
      </c>
      <c r="G112">
        <v>37908</v>
      </c>
      <c r="H112">
        <v>0</v>
      </c>
      <c r="K112">
        <f>IF(Table4[[#This Row],[NeedsAttention]]=1,Table4[[#This Row],[Start]],Table4[[#This Row],[StartN]])</f>
        <v>37879</v>
      </c>
      <c r="L112">
        <f>IF(Table4[[#This Row],[NeedsAttention]]=1,Table4[[#This Row],[End]],Table4[[#This Row],[EndN]])</f>
        <v>37908</v>
      </c>
      <c r="M112" t="b">
        <f>Table4[[#This Row],[Merged.Start]]=L111+1</f>
        <v>1</v>
      </c>
      <c r="O112">
        <f>Table4[[#This Row],[Section]]</f>
        <v>111</v>
      </c>
      <c r="P112">
        <f>Table4[[#This Row],[Canon]]</f>
        <v>5</v>
      </c>
      <c r="Q112" s="1" t="str">
        <f>Table4[[#This Row],[Reference]]</f>
        <v>10.5-6</v>
      </c>
      <c r="R112" t="str">
        <f>Table4[[#This Row],[StartR]]</f>
        <v>LUK 10:5</v>
      </c>
      <c r="S112" t="str">
        <f>Table4[[#This Row],[EndR]]</f>
        <v>LUK 10:6</v>
      </c>
      <c r="T112">
        <f>Table4[[#This Row],[Merged.Start]]</f>
        <v>37879</v>
      </c>
      <c r="U112">
        <f>Table4[[#This Row],[Merged.End]]</f>
        <v>37908</v>
      </c>
    </row>
    <row r="113" spans="1:21" x14ac:dyDescent="0.25">
      <c r="A113">
        <v>112</v>
      </c>
      <c r="B113">
        <v>2</v>
      </c>
      <c r="C113" t="s">
        <v>1550</v>
      </c>
      <c r="D113" t="s">
        <v>1551</v>
      </c>
      <c r="E113" t="s">
        <v>1551</v>
      </c>
      <c r="F113">
        <v>37909</v>
      </c>
      <c r="G113">
        <v>37933</v>
      </c>
      <c r="H113">
        <v>1</v>
      </c>
      <c r="I113">
        <v>37909</v>
      </c>
      <c r="J113">
        <v>37927</v>
      </c>
      <c r="K113">
        <f>IF(Table4[[#This Row],[NeedsAttention]]=1,Table4[[#This Row],[Start]],Table4[[#This Row],[StartN]])</f>
        <v>37909</v>
      </c>
      <c r="L113">
        <f>IF(Table4[[#This Row],[NeedsAttention]]=1,Table4[[#This Row],[End]],Table4[[#This Row],[EndN]])</f>
        <v>37927</v>
      </c>
      <c r="M113" t="b">
        <f>Table4[[#This Row],[Merged.Start]]=L112+1</f>
        <v>1</v>
      </c>
      <c r="O113">
        <f>Table4[[#This Row],[Section]]</f>
        <v>112</v>
      </c>
      <c r="P113">
        <f>Table4[[#This Row],[Canon]]</f>
        <v>2</v>
      </c>
      <c r="Q113" s="1" t="str">
        <f>Table4[[#This Row],[Reference]]</f>
        <v>10.7A</v>
      </c>
      <c r="R113" t="str">
        <f>Table4[[#This Row],[StartR]]</f>
        <v>LUK 10:7</v>
      </c>
      <c r="S113" t="str">
        <f>Table4[[#This Row],[EndR]]</f>
        <v>LUK 10:7</v>
      </c>
      <c r="T113">
        <f>Table4[[#This Row],[Merged.Start]]</f>
        <v>37909</v>
      </c>
      <c r="U113">
        <f>Table4[[#This Row],[Merged.End]]</f>
        <v>37927</v>
      </c>
    </row>
    <row r="114" spans="1:21" x14ac:dyDescent="0.25">
      <c r="A114">
        <v>113</v>
      </c>
      <c r="B114">
        <v>10</v>
      </c>
      <c r="C114" t="s">
        <v>1552</v>
      </c>
      <c r="D114" t="s">
        <v>1551</v>
      </c>
      <c r="E114" t="s">
        <v>1553</v>
      </c>
      <c r="F114">
        <v>37909</v>
      </c>
      <c r="G114">
        <v>37962</v>
      </c>
      <c r="H114">
        <v>1</v>
      </c>
      <c r="I114">
        <v>37928</v>
      </c>
      <c r="J114">
        <v>37962</v>
      </c>
      <c r="K114">
        <f>IF(Table4[[#This Row],[NeedsAttention]]=1,Table4[[#This Row],[Start]],Table4[[#This Row],[StartN]])</f>
        <v>37928</v>
      </c>
      <c r="L114">
        <f>IF(Table4[[#This Row],[NeedsAttention]]=1,Table4[[#This Row],[End]],Table4[[#This Row],[EndN]])</f>
        <v>37962</v>
      </c>
      <c r="M114" t="b">
        <f>Table4[[#This Row],[Merged.Start]]=L113+1</f>
        <v>1</v>
      </c>
      <c r="O114">
        <f>Table4[[#This Row],[Section]]</f>
        <v>113</v>
      </c>
      <c r="P114">
        <f>Table4[[#This Row],[Canon]]</f>
        <v>10</v>
      </c>
      <c r="Q114" s="1" t="str">
        <f>Table4[[#This Row],[Reference]]</f>
        <v>10.7B-9</v>
      </c>
      <c r="R114" t="str">
        <f>Table4[[#This Row],[StartR]]</f>
        <v>LUK 10:7</v>
      </c>
      <c r="S114" t="str">
        <f>Table4[[#This Row],[EndR]]</f>
        <v>LUK 10:9</v>
      </c>
      <c r="T114">
        <f>Table4[[#This Row],[Merged.Start]]</f>
        <v>37928</v>
      </c>
      <c r="U114">
        <f>Table4[[#This Row],[Merged.End]]</f>
        <v>37962</v>
      </c>
    </row>
    <row r="115" spans="1:21" x14ac:dyDescent="0.25">
      <c r="A115">
        <v>114</v>
      </c>
      <c r="B115">
        <v>2</v>
      </c>
      <c r="C115" t="s">
        <v>1554</v>
      </c>
      <c r="D115" t="s">
        <v>1555</v>
      </c>
      <c r="E115" t="s">
        <v>1556</v>
      </c>
      <c r="F115">
        <v>37963</v>
      </c>
      <c r="G115">
        <v>38016</v>
      </c>
      <c r="H115">
        <v>0</v>
      </c>
      <c r="K115">
        <f>IF(Table4[[#This Row],[NeedsAttention]]=1,Table4[[#This Row],[Start]],Table4[[#This Row],[StartN]])</f>
        <v>37963</v>
      </c>
      <c r="L115">
        <f>IF(Table4[[#This Row],[NeedsAttention]]=1,Table4[[#This Row],[End]],Table4[[#This Row],[EndN]])</f>
        <v>38016</v>
      </c>
      <c r="M115" t="b">
        <f>Table4[[#This Row],[Merged.Start]]=L114+1</f>
        <v>1</v>
      </c>
      <c r="O115">
        <f>Table4[[#This Row],[Section]]</f>
        <v>114</v>
      </c>
      <c r="P115">
        <f>Table4[[#This Row],[Canon]]</f>
        <v>2</v>
      </c>
      <c r="Q115" s="1" t="str">
        <f>Table4[[#This Row],[Reference]]</f>
        <v>10.10-12</v>
      </c>
      <c r="R115" t="str">
        <f>Table4[[#This Row],[StartR]]</f>
        <v>LUK 10:10</v>
      </c>
      <c r="S115" t="str">
        <f>Table4[[#This Row],[EndR]]</f>
        <v>LUK 10:12</v>
      </c>
      <c r="T115">
        <f>Table4[[#This Row],[Merged.Start]]</f>
        <v>37963</v>
      </c>
      <c r="U115">
        <f>Table4[[#This Row],[Merged.End]]</f>
        <v>38016</v>
      </c>
    </row>
    <row r="116" spans="1:21" x14ac:dyDescent="0.25">
      <c r="A116">
        <v>115</v>
      </c>
      <c r="B116">
        <v>5</v>
      </c>
      <c r="C116" t="s">
        <v>1557</v>
      </c>
      <c r="D116" t="s">
        <v>1558</v>
      </c>
      <c r="E116" t="s">
        <v>1559</v>
      </c>
      <c r="F116">
        <v>38017</v>
      </c>
      <c r="G116">
        <v>38065</v>
      </c>
      <c r="H116">
        <v>0</v>
      </c>
      <c r="K116">
        <f>IF(Table4[[#This Row],[NeedsAttention]]=1,Table4[[#This Row],[Start]],Table4[[#This Row],[StartN]])</f>
        <v>38017</v>
      </c>
      <c r="L116">
        <f>IF(Table4[[#This Row],[NeedsAttention]]=1,Table4[[#This Row],[End]],Table4[[#This Row],[EndN]])</f>
        <v>38065</v>
      </c>
      <c r="M116" t="b">
        <f>Table4[[#This Row],[Merged.Start]]=L115+1</f>
        <v>1</v>
      </c>
      <c r="O116">
        <f>Table4[[#This Row],[Section]]</f>
        <v>115</v>
      </c>
      <c r="P116">
        <f>Table4[[#This Row],[Canon]]</f>
        <v>5</v>
      </c>
      <c r="Q116" s="1" t="str">
        <f>Table4[[#This Row],[Reference]]</f>
        <v>10.13-15</v>
      </c>
      <c r="R116" t="str">
        <f>Table4[[#This Row],[StartR]]</f>
        <v>LUK 10:13</v>
      </c>
      <c r="S116" t="str">
        <f>Table4[[#This Row],[EndR]]</f>
        <v>LUK 10:15</v>
      </c>
      <c r="T116">
        <f>Table4[[#This Row],[Merged.Start]]</f>
        <v>38017</v>
      </c>
      <c r="U116">
        <f>Table4[[#This Row],[Merged.End]]</f>
        <v>38065</v>
      </c>
    </row>
    <row r="117" spans="1:21" x14ac:dyDescent="0.25">
      <c r="A117">
        <v>116</v>
      </c>
      <c r="B117">
        <v>1</v>
      </c>
      <c r="C117">
        <v>10.16</v>
      </c>
      <c r="D117" t="s">
        <v>1560</v>
      </c>
      <c r="E117" t="s">
        <v>1560</v>
      </c>
      <c r="F117">
        <v>38066</v>
      </c>
      <c r="G117">
        <v>38084</v>
      </c>
      <c r="H117">
        <v>0</v>
      </c>
      <c r="K117">
        <f>IF(Table4[[#This Row],[NeedsAttention]]=1,Table4[[#This Row],[Start]],Table4[[#This Row],[StartN]])</f>
        <v>38066</v>
      </c>
      <c r="L117">
        <f>IF(Table4[[#This Row],[NeedsAttention]]=1,Table4[[#This Row],[End]],Table4[[#This Row],[EndN]])</f>
        <v>38084</v>
      </c>
      <c r="M117" t="b">
        <f>Table4[[#This Row],[Merged.Start]]=L116+1</f>
        <v>1</v>
      </c>
      <c r="O117">
        <f>Table4[[#This Row],[Section]]</f>
        <v>116</v>
      </c>
      <c r="P117">
        <f>Table4[[#This Row],[Canon]]</f>
        <v>1</v>
      </c>
      <c r="Q117" s="1">
        <f>Table4[[#This Row],[Reference]]</f>
        <v>10.16</v>
      </c>
      <c r="R117" t="str">
        <f>Table4[[#This Row],[StartR]]</f>
        <v>LUK 10:16</v>
      </c>
      <c r="S117" t="str">
        <f>Table4[[#This Row],[EndR]]</f>
        <v>LUK 10:16</v>
      </c>
      <c r="T117">
        <f>Table4[[#This Row],[Merged.Start]]</f>
        <v>38066</v>
      </c>
      <c r="U117">
        <f>Table4[[#This Row],[Merged.End]]</f>
        <v>38084</v>
      </c>
    </row>
    <row r="118" spans="1:21" x14ac:dyDescent="0.25">
      <c r="A118">
        <v>117</v>
      </c>
      <c r="B118">
        <v>10</v>
      </c>
      <c r="C118" t="s">
        <v>1561</v>
      </c>
      <c r="D118" t="s">
        <v>1562</v>
      </c>
      <c r="E118" t="s">
        <v>1563</v>
      </c>
      <c r="F118">
        <v>38085</v>
      </c>
      <c r="G118">
        <v>38158</v>
      </c>
      <c r="H118">
        <v>0</v>
      </c>
      <c r="K118">
        <f>IF(Table4[[#This Row],[NeedsAttention]]=1,Table4[[#This Row],[Start]],Table4[[#This Row],[StartN]])</f>
        <v>38085</v>
      </c>
      <c r="L118">
        <f>IF(Table4[[#This Row],[NeedsAttention]]=1,Table4[[#This Row],[End]],Table4[[#This Row],[EndN]])</f>
        <v>38158</v>
      </c>
      <c r="M118" t="b">
        <f>Table4[[#This Row],[Merged.Start]]=L117+1</f>
        <v>1</v>
      </c>
      <c r="O118">
        <f>Table4[[#This Row],[Section]]</f>
        <v>117</v>
      </c>
      <c r="P118">
        <f>Table4[[#This Row],[Canon]]</f>
        <v>10</v>
      </c>
      <c r="Q118" s="1" t="str">
        <f>Table4[[#This Row],[Reference]]</f>
        <v>10.17-20</v>
      </c>
      <c r="R118" t="str">
        <f>Table4[[#This Row],[StartR]]</f>
        <v>LUK 10:17</v>
      </c>
      <c r="S118" t="str">
        <f>Table4[[#This Row],[EndR]]</f>
        <v>LUK 10:20</v>
      </c>
      <c r="T118">
        <f>Table4[[#This Row],[Merged.Start]]</f>
        <v>38085</v>
      </c>
      <c r="U118">
        <f>Table4[[#This Row],[Merged.End]]</f>
        <v>38158</v>
      </c>
    </row>
    <row r="119" spans="1:21" x14ac:dyDescent="0.25">
      <c r="A119">
        <v>118</v>
      </c>
      <c r="B119">
        <v>5</v>
      </c>
      <c r="C119">
        <v>10.210000000000001</v>
      </c>
      <c r="D119" t="s">
        <v>1564</v>
      </c>
      <c r="E119" t="s">
        <v>1564</v>
      </c>
      <c r="F119">
        <v>38159</v>
      </c>
      <c r="G119">
        <v>38198</v>
      </c>
      <c r="H119">
        <v>0</v>
      </c>
      <c r="K119">
        <f>IF(Table4[[#This Row],[NeedsAttention]]=1,Table4[[#This Row],[Start]],Table4[[#This Row],[StartN]])</f>
        <v>38159</v>
      </c>
      <c r="L119">
        <f>IF(Table4[[#This Row],[NeedsAttention]]=1,Table4[[#This Row],[End]],Table4[[#This Row],[EndN]])</f>
        <v>38198</v>
      </c>
      <c r="M119" t="b">
        <f>Table4[[#This Row],[Merged.Start]]=L118+1</f>
        <v>1</v>
      </c>
      <c r="O119">
        <f>Table4[[#This Row],[Section]]</f>
        <v>118</v>
      </c>
      <c r="P119">
        <f>Table4[[#This Row],[Canon]]</f>
        <v>5</v>
      </c>
      <c r="Q119" s="1">
        <f>Table4[[#This Row],[Reference]]</f>
        <v>10.210000000000001</v>
      </c>
      <c r="R119" t="str">
        <f>Table4[[#This Row],[StartR]]</f>
        <v>LUK 10:21</v>
      </c>
      <c r="S119" t="str">
        <f>Table4[[#This Row],[EndR]]</f>
        <v>LUK 10:21</v>
      </c>
      <c r="T119">
        <f>Table4[[#This Row],[Merged.Start]]</f>
        <v>38159</v>
      </c>
      <c r="U119">
        <f>Table4[[#This Row],[Merged.End]]</f>
        <v>38198</v>
      </c>
    </row>
    <row r="120" spans="1:21" x14ac:dyDescent="0.25">
      <c r="A120">
        <v>119</v>
      </c>
      <c r="B120">
        <v>3</v>
      </c>
      <c r="C120">
        <v>10.220000000000001</v>
      </c>
      <c r="D120" t="s">
        <v>1565</v>
      </c>
      <c r="E120" t="s">
        <v>1565</v>
      </c>
      <c r="F120">
        <v>38199</v>
      </c>
      <c r="G120">
        <v>38232</v>
      </c>
      <c r="H120">
        <v>0</v>
      </c>
      <c r="K120">
        <f>IF(Table4[[#This Row],[NeedsAttention]]=1,Table4[[#This Row],[Start]],Table4[[#This Row],[StartN]])</f>
        <v>38199</v>
      </c>
      <c r="L120">
        <f>IF(Table4[[#This Row],[NeedsAttention]]=1,Table4[[#This Row],[End]],Table4[[#This Row],[EndN]])</f>
        <v>38232</v>
      </c>
      <c r="M120" t="b">
        <f>Table4[[#This Row],[Merged.Start]]=L119+1</f>
        <v>1</v>
      </c>
      <c r="O120">
        <f>Table4[[#This Row],[Section]]</f>
        <v>119</v>
      </c>
      <c r="P120">
        <f>Table4[[#This Row],[Canon]]</f>
        <v>3</v>
      </c>
      <c r="Q120" s="1">
        <f>Table4[[#This Row],[Reference]]</f>
        <v>10.220000000000001</v>
      </c>
      <c r="R120" t="str">
        <f>Table4[[#This Row],[StartR]]</f>
        <v>LUK 10:22</v>
      </c>
      <c r="S120" t="str">
        <f>Table4[[#This Row],[EndR]]</f>
        <v>LUK 10:22</v>
      </c>
      <c r="T120">
        <f>Table4[[#This Row],[Merged.Start]]</f>
        <v>38199</v>
      </c>
      <c r="U120">
        <f>Table4[[#This Row],[Merged.End]]</f>
        <v>38232</v>
      </c>
    </row>
    <row r="121" spans="1:21" x14ac:dyDescent="0.25">
      <c r="A121">
        <v>120</v>
      </c>
      <c r="B121">
        <v>5</v>
      </c>
      <c r="C121" t="s">
        <v>1566</v>
      </c>
      <c r="D121" t="s">
        <v>1567</v>
      </c>
      <c r="E121" t="s">
        <v>1568</v>
      </c>
      <c r="F121">
        <v>38233</v>
      </c>
      <c r="G121">
        <v>38270</v>
      </c>
      <c r="H121">
        <v>0</v>
      </c>
      <c r="K121">
        <f>IF(Table4[[#This Row],[NeedsAttention]]=1,Table4[[#This Row],[Start]],Table4[[#This Row],[StartN]])</f>
        <v>38233</v>
      </c>
      <c r="L121">
        <f>IF(Table4[[#This Row],[NeedsAttention]]=1,Table4[[#This Row],[End]],Table4[[#This Row],[EndN]])</f>
        <v>38270</v>
      </c>
      <c r="M121" t="b">
        <f>Table4[[#This Row],[Merged.Start]]=L120+1</f>
        <v>1</v>
      </c>
      <c r="O121">
        <f>Table4[[#This Row],[Section]]</f>
        <v>120</v>
      </c>
      <c r="P121">
        <f>Table4[[#This Row],[Canon]]</f>
        <v>5</v>
      </c>
      <c r="Q121" s="1" t="str">
        <f>Table4[[#This Row],[Reference]]</f>
        <v>10.23-24</v>
      </c>
      <c r="R121" t="str">
        <f>Table4[[#This Row],[StartR]]</f>
        <v>LUK 10:23</v>
      </c>
      <c r="S121" t="str">
        <f>Table4[[#This Row],[EndR]]</f>
        <v>LUK 10:24</v>
      </c>
      <c r="T121">
        <f>Table4[[#This Row],[Merged.Start]]</f>
        <v>38233</v>
      </c>
      <c r="U121">
        <f>Table4[[#This Row],[Merged.End]]</f>
        <v>38270</v>
      </c>
    </row>
    <row r="122" spans="1:21" x14ac:dyDescent="0.25">
      <c r="A122">
        <v>121</v>
      </c>
      <c r="B122">
        <v>2</v>
      </c>
      <c r="C122" t="s">
        <v>1569</v>
      </c>
      <c r="D122" t="s">
        <v>1570</v>
      </c>
      <c r="E122" t="s">
        <v>1571</v>
      </c>
      <c r="F122">
        <v>38271</v>
      </c>
      <c r="G122">
        <v>38343</v>
      </c>
      <c r="H122">
        <v>0</v>
      </c>
      <c r="K122">
        <f>IF(Table4[[#This Row],[NeedsAttention]]=1,Table4[[#This Row],[Start]],Table4[[#This Row],[StartN]])</f>
        <v>38271</v>
      </c>
      <c r="L122">
        <f>IF(Table4[[#This Row],[NeedsAttention]]=1,Table4[[#This Row],[End]],Table4[[#This Row],[EndN]])</f>
        <v>38343</v>
      </c>
      <c r="M122" t="b">
        <f>Table4[[#This Row],[Merged.Start]]=L121+1</f>
        <v>1</v>
      </c>
      <c r="O122">
        <f>Table4[[#This Row],[Section]]</f>
        <v>121</v>
      </c>
      <c r="P122">
        <f>Table4[[#This Row],[Canon]]</f>
        <v>2</v>
      </c>
      <c r="Q122" s="1" t="str">
        <f>Table4[[#This Row],[Reference]]</f>
        <v>10.25-28</v>
      </c>
      <c r="R122" t="str">
        <f>Table4[[#This Row],[StartR]]</f>
        <v>LUK 10:25</v>
      </c>
      <c r="S122" t="str">
        <f>Table4[[#This Row],[EndR]]</f>
        <v>LUK 10:28</v>
      </c>
      <c r="T122">
        <f>Table4[[#This Row],[Merged.Start]]</f>
        <v>38271</v>
      </c>
      <c r="U122">
        <f>Table4[[#This Row],[Merged.End]]</f>
        <v>38343</v>
      </c>
    </row>
    <row r="123" spans="1:21" x14ac:dyDescent="0.25">
      <c r="A123">
        <v>122</v>
      </c>
      <c r="B123">
        <v>10</v>
      </c>
      <c r="C123" t="s">
        <v>1572</v>
      </c>
      <c r="D123" t="s">
        <v>1573</v>
      </c>
      <c r="E123" t="s">
        <v>1574</v>
      </c>
      <c r="F123">
        <v>38344</v>
      </c>
      <c r="G123">
        <v>38591</v>
      </c>
      <c r="H123">
        <v>0</v>
      </c>
      <c r="K123">
        <f>IF(Table4[[#This Row],[NeedsAttention]]=1,Table4[[#This Row],[Start]],Table4[[#This Row],[StartN]])</f>
        <v>38344</v>
      </c>
      <c r="L123">
        <f>IF(Table4[[#This Row],[NeedsAttention]]=1,Table4[[#This Row],[End]],Table4[[#This Row],[EndN]])</f>
        <v>38591</v>
      </c>
      <c r="M123" t="b">
        <f>Table4[[#This Row],[Merged.Start]]=L122+1</f>
        <v>1</v>
      </c>
      <c r="O123">
        <f>Table4[[#This Row],[Section]]</f>
        <v>122</v>
      </c>
      <c r="P123">
        <f>Table4[[#This Row],[Canon]]</f>
        <v>10</v>
      </c>
      <c r="Q123" s="1" t="str">
        <f>Table4[[#This Row],[Reference]]</f>
        <v>10.29-42</v>
      </c>
      <c r="R123" t="str">
        <f>Table4[[#This Row],[StartR]]</f>
        <v>LUK 10:29</v>
      </c>
      <c r="S123" t="str">
        <f>Table4[[#This Row],[EndR]]</f>
        <v>LUK 10:42</v>
      </c>
      <c r="T123">
        <f>Table4[[#This Row],[Merged.Start]]</f>
        <v>38344</v>
      </c>
      <c r="U123">
        <f>Table4[[#This Row],[Merged.End]]</f>
        <v>38591</v>
      </c>
    </row>
    <row r="124" spans="1:21" x14ac:dyDescent="0.25">
      <c r="A124">
        <v>123</v>
      </c>
      <c r="B124">
        <v>5</v>
      </c>
      <c r="C124" t="s">
        <v>1575</v>
      </c>
      <c r="D124" t="s">
        <v>1576</v>
      </c>
      <c r="E124" t="s">
        <v>1577</v>
      </c>
      <c r="F124">
        <v>38592</v>
      </c>
      <c r="G124">
        <v>38665</v>
      </c>
      <c r="H124">
        <v>0</v>
      </c>
      <c r="K124">
        <f>IF(Table4[[#This Row],[NeedsAttention]]=1,Table4[[#This Row],[Start]],Table4[[#This Row],[StartN]])</f>
        <v>38592</v>
      </c>
      <c r="L124">
        <f>IF(Table4[[#This Row],[NeedsAttention]]=1,Table4[[#This Row],[End]],Table4[[#This Row],[EndN]])</f>
        <v>38665</v>
      </c>
      <c r="M124" t="b">
        <f>Table4[[#This Row],[Merged.Start]]=L123+1</f>
        <v>1</v>
      </c>
      <c r="O124">
        <f>Table4[[#This Row],[Section]]</f>
        <v>123</v>
      </c>
      <c r="P124">
        <f>Table4[[#This Row],[Canon]]</f>
        <v>5</v>
      </c>
      <c r="Q124" s="1" t="str">
        <f>Table4[[#This Row],[Reference]]</f>
        <v>11.1-4</v>
      </c>
      <c r="R124" t="str">
        <f>Table4[[#This Row],[StartR]]</f>
        <v>LUK 11:1</v>
      </c>
      <c r="S124" t="str">
        <f>Table4[[#This Row],[EndR]]</f>
        <v>LUK 11:4</v>
      </c>
      <c r="T124">
        <f>Table4[[#This Row],[Merged.Start]]</f>
        <v>38592</v>
      </c>
      <c r="U124">
        <f>Table4[[#This Row],[Merged.End]]</f>
        <v>38665</v>
      </c>
    </row>
    <row r="125" spans="1:21" x14ac:dyDescent="0.25">
      <c r="A125">
        <v>124</v>
      </c>
      <c r="B125">
        <v>10</v>
      </c>
      <c r="C125" t="s">
        <v>1578</v>
      </c>
      <c r="D125" t="s">
        <v>1579</v>
      </c>
      <c r="E125" t="s">
        <v>1580</v>
      </c>
      <c r="F125">
        <v>38666</v>
      </c>
      <c r="G125">
        <v>38751</v>
      </c>
      <c r="H125">
        <v>0</v>
      </c>
      <c r="K125">
        <f>IF(Table4[[#This Row],[NeedsAttention]]=1,Table4[[#This Row],[Start]],Table4[[#This Row],[StartN]])</f>
        <v>38666</v>
      </c>
      <c r="L125">
        <f>IF(Table4[[#This Row],[NeedsAttention]]=1,Table4[[#This Row],[End]],Table4[[#This Row],[EndN]])</f>
        <v>38751</v>
      </c>
      <c r="M125" t="b">
        <f>Table4[[#This Row],[Merged.Start]]=L124+1</f>
        <v>1</v>
      </c>
      <c r="O125">
        <f>Table4[[#This Row],[Section]]</f>
        <v>124</v>
      </c>
      <c r="P125">
        <f>Table4[[#This Row],[Canon]]</f>
        <v>10</v>
      </c>
      <c r="Q125" s="1" t="str">
        <f>Table4[[#This Row],[Reference]]</f>
        <v>11.5-8</v>
      </c>
      <c r="R125" t="str">
        <f>Table4[[#This Row],[StartR]]</f>
        <v>LUK 11:5</v>
      </c>
      <c r="S125" t="str">
        <f>Table4[[#This Row],[EndR]]</f>
        <v>LUK 11:8</v>
      </c>
      <c r="T125">
        <f>Table4[[#This Row],[Merged.Start]]</f>
        <v>38666</v>
      </c>
      <c r="U125">
        <f>Table4[[#This Row],[Merged.End]]</f>
        <v>38751</v>
      </c>
    </row>
    <row r="126" spans="1:21" x14ac:dyDescent="0.25">
      <c r="A126">
        <v>125</v>
      </c>
      <c r="B126">
        <v>5</v>
      </c>
      <c r="C126" t="s">
        <v>1581</v>
      </c>
      <c r="D126" t="s">
        <v>1582</v>
      </c>
      <c r="E126" t="s">
        <v>1583</v>
      </c>
      <c r="F126">
        <v>38752</v>
      </c>
      <c r="G126">
        <v>38826</v>
      </c>
      <c r="H126">
        <v>0</v>
      </c>
      <c r="K126">
        <f>IF(Table4[[#This Row],[NeedsAttention]]=1,Table4[[#This Row],[Start]],Table4[[#This Row],[StartN]])</f>
        <v>38752</v>
      </c>
      <c r="L126">
        <f>IF(Table4[[#This Row],[NeedsAttention]]=1,Table4[[#This Row],[End]],Table4[[#This Row],[EndN]])</f>
        <v>38826</v>
      </c>
      <c r="M126" t="b">
        <f>Table4[[#This Row],[Merged.Start]]=L125+1</f>
        <v>1</v>
      </c>
      <c r="O126">
        <f>Table4[[#This Row],[Section]]</f>
        <v>125</v>
      </c>
      <c r="P126">
        <f>Table4[[#This Row],[Canon]]</f>
        <v>5</v>
      </c>
      <c r="Q126" s="1" t="str">
        <f>Table4[[#This Row],[Reference]]</f>
        <v>11.9-13</v>
      </c>
      <c r="R126" t="str">
        <f>Table4[[#This Row],[StartR]]</f>
        <v>LUK 11:9</v>
      </c>
      <c r="S126" t="str">
        <f>Table4[[#This Row],[EndR]]</f>
        <v>LUK 11:13</v>
      </c>
      <c r="T126">
        <f>Table4[[#This Row],[Merged.Start]]</f>
        <v>38752</v>
      </c>
      <c r="U126">
        <f>Table4[[#This Row],[Merged.End]]</f>
        <v>38826</v>
      </c>
    </row>
    <row r="127" spans="1:21" x14ac:dyDescent="0.25">
      <c r="A127">
        <v>126</v>
      </c>
      <c r="B127">
        <v>5</v>
      </c>
      <c r="C127">
        <v>11.14</v>
      </c>
      <c r="D127" t="s">
        <v>1584</v>
      </c>
      <c r="E127" t="s">
        <v>1584</v>
      </c>
      <c r="F127">
        <v>38827</v>
      </c>
      <c r="G127">
        <v>38843</v>
      </c>
      <c r="H127">
        <v>0</v>
      </c>
      <c r="K127">
        <f>IF(Table4[[#This Row],[NeedsAttention]]=1,Table4[[#This Row],[Start]],Table4[[#This Row],[StartN]])</f>
        <v>38827</v>
      </c>
      <c r="L127">
        <f>IF(Table4[[#This Row],[NeedsAttention]]=1,Table4[[#This Row],[End]],Table4[[#This Row],[EndN]])</f>
        <v>38843</v>
      </c>
      <c r="M127" t="b">
        <f>Table4[[#This Row],[Merged.Start]]=L126+1</f>
        <v>1</v>
      </c>
      <c r="O127">
        <f>Table4[[#This Row],[Section]]</f>
        <v>126</v>
      </c>
      <c r="P127">
        <f>Table4[[#This Row],[Canon]]</f>
        <v>5</v>
      </c>
      <c r="Q127" s="1">
        <f>Table4[[#This Row],[Reference]]</f>
        <v>11.14</v>
      </c>
      <c r="R127" t="str">
        <f>Table4[[#This Row],[StartR]]</f>
        <v>LUK 11:14</v>
      </c>
      <c r="S127" t="str">
        <f>Table4[[#This Row],[EndR]]</f>
        <v>LUK 11:14</v>
      </c>
      <c r="T127">
        <f>Table4[[#This Row],[Merged.Start]]</f>
        <v>38827</v>
      </c>
      <c r="U127">
        <f>Table4[[#This Row],[Merged.End]]</f>
        <v>38843</v>
      </c>
    </row>
    <row r="128" spans="1:21" x14ac:dyDescent="0.25">
      <c r="A128">
        <v>127</v>
      </c>
      <c r="B128">
        <v>2</v>
      </c>
      <c r="C128">
        <v>11.15</v>
      </c>
      <c r="D128" t="s">
        <v>1585</v>
      </c>
      <c r="E128" t="s">
        <v>1585</v>
      </c>
      <c r="F128">
        <v>38844</v>
      </c>
      <c r="G128">
        <v>38857</v>
      </c>
      <c r="H128">
        <v>0</v>
      </c>
      <c r="K128">
        <f>IF(Table4[[#This Row],[NeedsAttention]]=1,Table4[[#This Row],[Start]],Table4[[#This Row],[StartN]])</f>
        <v>38844</v>
      </c>
      <c r="L128">
        <f>IF(Table4[[#This Row],[NeedsAttention]]=1,Table4[[#This Row],[End]],Table4[[#This Row],[EndN]])</f>
        <v>38857</v>
      </c>
      <c r="M128" t="b">
        <f>Table4[[#This Row],[Merged.Start]]=L127+1</f>
        <v>1</v>
      </c>
      <c r="O128">
        <f>Table4[[#This Row],[Section]]</f>
        <v>127</v>
      </c>
      <c r="P128">
        <f>Table4[[#This Row],[Canon]]</f>
        <v>2</v>
      </c>
      <c r="Q128" s="1">
        <f>Table4[[#This Row],[Reference]]</f>
        <v>11.15</v>
      </c>
      <c r="R128" t="str">
        <f>Table4[[#This Row],[StartR]]</f>
        <v>LUK 11:15</v>
      </c>
      <c r="S128" t="str">
        <f>Table4[[#This Row],[EndR]]</f>
        <v>LUK 11:15</v>
      </c>
      <c r="T128">
        <f>Table4[[#This Row],[Merged.Start]]</f>
        <v>38844</v>
      </c>
      <c r="U128">
        <f>Table4[[#This Row],[Merged.End]]</f>
        <v>38857</v>
      </c>
    </row>
    <row r="129" spans="1:21" x14ac:dyDescent="0.25">
      <c r="A129">
        <v>128</v>
      </c>
      <c r="B129">
        <v>5</v>
      </c>
      <c r="C129">
        <v>11.16</v>
      </c>
      <c r="D129" t="s">
        <v>1586</v>
      </c>
      <c r="E129" t="s">
        <v>1586</v>
      </c>
      <c r="F129">
        <v>38858</v>
      </c>
      <c r="G129">
        <v>38866</v>
      </c>
      <c r="H129">
        <v>0</v>
      </c>
      <c r="K129">
        <f>IF(Table4[[#This Row],[NeedsAttention]]=1,Table4[[#This Row],[Start]],Table4[[#This Row],[StartN]])</f>
        <v>38858</v>
      </c>
      <c r="L129">
        <f>IF(Table4[[#This Row],[NeedsAttention]]=1,Table4[[#This Row],[End]],Table4[[#This Row],[EndN]])</f>
        <v>38866</v>
      </c>
      <c r="M129" t="b">
        <f>Table4[[#This Row],[Merged.Start]]=L128+1</f>
        <v>1</v>
      </c>
      <c r="O129">
        <f>Table4[[#This Row],[Section]]</f>
        <v>128</v>
      </c>
      <c r="P129">
        <f>Table4[[#This Row],[Canon]]</f>
        <v>5</v>
      </c>
      <c r="Q129" s="1">
        <f>Table4[[#This Row],[Reference]]</f>
        <v>11.16</v>
      </c>
      <c r="R129" t="str">
        <f>Table4[[#This Row],[StartR]]</f>
        <v>LUK 11:16</v>
      </c>
      <c r="S129" t="str">
        <f>Table4[[#This Row],[EndR]]</f>
        <v>LUK 11:16</v>
      </c>
      <c r="T129">
        <f>Table4[[#This Row],[Merged.Start]]</f>
        <v>38858</v>
      </c>
      <c r="U129">
        <f>Table4[[#This Row],[Merged.End]]</f>
        <v>38866</v>
      </c>
    </row>
    <row r="130" spans="1:21" x14ac:dyDescent="0.25">
      <c r="A130">
        <v>129</v>
      </c>
      <c r="B130">
        <v>2</v>
      </c>
      <c r="C130" t="s">
        <v>1587</v>
      </c>
      <c r="D130" t="s">
        <v>1588</v>
      </c>
      <c r="E130" t="s">
        <v>1589</v>
      </c>
      <c r="F130">
        <v>38867</v>
      </c>
      <c r="G130">
        <v>38990</v>
      </c>
      <c r="H130">
        <v>0</v>
      </c>
      <c r="K130">
        <f>IF(Table4[[#This Row],[NeedsAttention]]=1,Table4[[#This Row],[Start]],Table4[[#This Row],[StartN]])</f>
        <v>38867</v>
      </c>
      <c r="L130">
        <f>IF(Table4[[#This Row],[NeedsAttention]]=1,Table4[[#This Row],[End]],Table4[[#This Row],[EndN]])</f>
        <v>38990</v>
      </c>
      <c r="M130" t="b">
        <f>Table4[[#This Row],[Merged.Start]]=L129+1</f>
        <v>1</v>
      </c>
      <c r="O130">
        <f>Table4[[#This Row],[Section]]</f>
        <v>129</v>
      </c>
      <c r="P130">
        <f>Table4[[#This Row],[Canon]]</f>
        <v>2</v>
      </c>
      <c r="Q130" s="1" t="str">
        <f>Table4[[#This Row],[Reference]]</f>
        <v>11.17-23</v>
      </c>
      <c r="R130" t="str">
        <f>Table4[[#This Row],[StartR]]</f>
        <v>LUK 11:17</v>
      </c>
      <c r="S130" t="str">
        <f>Table4[[#This Row],[EndR]]</f>
        <v>LUK 11:23</v>
      </c>
      <c r="T130">
        <f>Table4[[#This Row],[Merged.Start]]</f>
        <v>38867</v>
      </c>
      <c r="U130">
        <f>Table4[[#This Row],[Merged.End]]</f>
        <v>38990</v>
      </c>
    </row>
    <row r="131" spans="1:21" x14ac:dyDescent="0.25">
      <c r="A131">
        <v>130</v>
      </c>
      <c r="B131">
        <v>5</v>
      </c>
      <c r="C131" t="s">
        <v>1590</v>
      </c>
      <c r="D131" t="s">
        <v>1591</v>
      </c>
      <c r="E131" t="s">
        <v>1592</v>
      </c>
      <c r="F131">
        <v>38991</v>
      </c>
      <c r="G131">
        <v>39044</v>
      </c>
      <c r="H131">
        <v>0</v>
      </c>
      <c r="K131">
        <f>IF(Table4[[#This Row],[NeedsAttention]]=1,Table4[[#This Row],[Start]],Table4[[#This Row],[StartN]])</f>
        <v>38991</v>
      </c>
      <c r="L131">
        <f>IF(Table4[[#This Row],[NeedsAttention]]=1,Table4[[#This Row],[End]],Table4[[#This Row],[EndN]])</f>
        <v>39044</v>
      </c>
      <c r="M131" t="b">
        <f>Table4[[#This Row],[Merged.Start]]=L130+1</f>
        <v>1</v>
      </c>
      <c r="O131">
        <f>Table4[[#This Row],[Section]]</f>
        <v>130</v>
      </c>
      <c r="P131">
        <f>Table4[[#This Row],[Canon]]</f>
        <v>5</v>
      </c>
      <c r="Q131" s="1" t="str">
        <f>Table4[[#This Row],[Reference]]</f>
        <v>11.24-26</v>
      </c>
      <c r="R131" t="str">
        <f>Table4[[#This Row],[StartR]]</f>
        <v>LUK 11:24</v>
      </c>
      <c r="S131" t="str">
        <f>Table4[[#This Row],[EndR]]</f>
        <v>LUK 11:26</v>
      </c>
      <c r="T131">
        <f>Table4[[#This Row],[Merged.Start]]</f>
        <v>38991</v>
      </c>
      <c r="U131">
        <f>Table4[[#This Row],[Merged.End]]</f>
        <v>39044</v>
      </c>
    </row>
    <row r="132" spans="1:21" x14ac:dyDescent="0.25">
      <c r="A132">
        <v>131</v>
      </c>
      <c r="B132">
        <v>10</v>
      </c>
      <c r="C132" t="s">
        <v>1593</v>
      </c>
      <c r="D132" t="s">
        <v>1594</v>
      </c>
      <c r="E132" t="s">
        <v>1595</v>
      </c>
      <c r="F132">
        <v>39045</v>
      </c>
      <c r="G132">
        <v>39083</v>
      </c>
      <c r="H132">
        <v>0</v>
      </c>
      <c r="K132">
        <f>IF(Table4[[#This Row],[NeedsAttention]]=1,Table4[[#This Row],[Start]],Table4[[#This Row],[StartN]])</f>
        <v>39045</v>
      </c>
      <c r="L132">
        <f>IF(Table4[[#This Row],[NeedsAttention]]=1,Table4[[#This Row],[End]],Table4[[#This Row],[EndN]])</f>
        <v>39083</v>
      </c>
      <c r="M132" t="b">
        <f>Table4[[#This Row],[Merged.Start]]=L131+1</f>
        <v>1</v>
      </c>
      <c r="O132">
        <f>Table4[[#This Row],[Section]]</f>
        <v>131</v>
      </c>
      <c r="P132">
        <f>Table4[[#This Row],[Canon]]</f>
        <v>10</v>
      </c>
      <c r="Q132" s="1" t="str">
        <f>Table4[[#This Row],[Reference]]</f>
        <v>11.27-28</v>
      </c>
      <c r="R132" t="str">
        <f>Table4[[#This Row],[StartR]]</f>
        <v>LUK 11:27</v>
      </c>
      <c r="S132" t="str">
        <f>Table4[[#This Row],[EndR]]</f>
        <v>LUK 11:28</v>
      </c>
      <c r="T132">
        <f>Table4[[#This Row],[Merged.Start]]</f>
        <v>39045</v>
      </c>
      <c r="U132">
        <f>Table4[[#This Row],[Merged.End]]</f>
        <v>39083</v>
      </c>
    </row>
    <row r="133" spans="1:21" x14ac:dyDescent="0.25">
      <c r="A133">
        <v>132</v>
      </c>
      <c r="B133">
        <v>5</v>
      </c>
      <c r="C133" t="s">
        <v>1596</v>
      </c>
      <c r="D133" t="s">
        <v>1597</v>
      </c>
      <c r="E133" t="s">
        <v>1598</v>
      </c>
      <c r="F133">
        <v>39084</v>
      </c>
      <c r="G133">
        <v>39179</v>
      </c>
      <c r="H133">
        <v>0</v>
      </c>
      <c r="K133">
        <f>IF(Table4[[#This Row],[NeedsAttention]]=1,Table4[[#This Row],[Start]],Table4[[#This Row],[StartN]])</f>
        <v>39084</v>
      </c>
      <c r="L133">
        <f>IF(Table4[[#This Row],[NeedsAttention]]=1,Table4[[#This Row],[End]],Table4[[#This Row],[EndN]])</f>
        <v>39179</v>
      </c>
      <c r="M133" t="b">
        <f>Table4[[#This Row],[Merged.Start]]=L132+1</f>
        <v>1</v>
      </c>
      <c r="O133">
        <f>Table4[[#This Row],[Section]]</f>
        <v>132</v>
      </c>
      <c r="P133">
        <f>Table4[[#This Row],[Canon]]</f>
        <v>5</v>
      </c>
      <c r="Q133" s="1" t="str">
        <f>Table4[[#This Row],[Reference]]</f>
        <v>11.29-32</v>
      </c>
      <c r="R133" t="str">
        <f>Table4[[#This Row],[StartR]]</f>
        <v>LUK 11:29</v>
      </c>
      <c r="S133" t="str">
        <f>Table4[[#This Row],[EndR]]</f>
        <v>LUK 11:32</v>
      </c>
      <c r="T133">
        <f>Table4[[#This Row],[Merged.Start]]</f>
        <v>39084</v>
      </c>
      <c r="U133">
        <f>Table4[[#This Row],[Merged.End]]</f>
        <v>39179</v>
      </c>
    </row>
    <row r="134" spans="1:21" x14ac:dyDescent="0.25">
      <c r="A134">
        <v>133</v>
      </c>
      <c r="B134">
        <v>2</v>
      </c>
      <c r="C134">
        <v>11.33</v>
      </c>
      <c r="D134" t="s">
        <v>1599</v>
      </c>
      <c r="E134" t="s">
        <v>1599</v>
      </c>
      <c r="F134">
        <v>39180</v>
      </c>
      <c r="G134">
        <v>39199</v>
      </c>
      <c r="H134">
        <v>0</v>
      </c>
      <c r="K134">
        <f>IF(Table4[[#This Row],[NeedsAttention]]=1,Table4[[#This Row],[Start]],Table4[[#This Row],[StartN]])</f>
        <v>39180</v>
      </c>
      <c r="L134">
        <f>IF(Table4[[#This Row],[NeedsAttention]]=1,Table4[[#This Row],[End]],Table4[[#This Row],[EndN]])</f>
        <v>39199</v>
      </c>
      <c r="M134" t="b">
        <f>Table4[[#This Row],[Merged.Start]]=L133+1</f>
        <v>1</v>
      </c>
      <c r="O134">
        <f>Table4[[#This Row],[Section]]</f>
        <v>133</v>
      </c>
      <c r="P134">
        <f>Table4[[#This Row],[Canon]]</f>
        <v>2</v>
      </c>
      <c r="Q134" s="1">
        <f>Table4[[#This Row],[Reference]]</f>
        <v>11.33</v>
      </c>
      <c r="R134" t="str">
        <f>Table4[[#This Row],[StartR]]</f>
        <v>LUK 11:33</v>
      </c>
      <c r="S134" t="str">
        <f>Table4[[#This Row],[EndR]]</f>
        <v>LUK 11:33</v>
      </c>
      <c r="T134">
        <f>Table4[[#This Row],[Merged.Start]]</f>
        <v>39180</v>
      </c>
      <c r="U134">
        <f>Table4[[#This Row],[Merged.End]]</f>
        <v>39199</v>
      </c>
    </row>
    <row r="135" spans="1:21" x14ac:dyDescent="0.25">
      <c r="A135">
        <v>134</v>
      </c>
      <c r="B135">
        <v>5</v>
      </c>
      <c r="C135" t="s">
        <v>1600</v>
      </c>
      <c r="D135" t="s">
        <v>1601</v>
      </c>
      <c r="E135" t="s">
        <v>1602</v>
      </c>
      <c r="F135">
        <v>39200</v>
      </c>
      <c r="G135">
        <v>39262</v>
      </c>
      <c r="H135">
        <v>0</v>
      </c>
      <c r="K135">
        <f>IF(Table4[[#This Row],[NeedsAttention]]=1,Table4[[#This Row],[Start]],Table4[[#This Row],[StartN]])</f>
        <v>39200</v>
      </c>
      <c r="L135">
        <f>IF(Table4[[#This Row],[NeedsAttention]]=1,Table4[[#This Row],[End]],Table4[[#This Row],[EndN]])</f>
        <v>39262</v>
      </c>
      <c r="M135" t="b">
        <f>Table4[[#This Row],[Merged.Start]]=L134+1</f>
        <v>1</v>
      </c>
      <c r="O135">
        <f>Table4[[#This Row],[Section]]</f>
        <v>134</v>
      </c>
      <c r="P135">
        <f>Table4[[#This Row],[Canon]]</f>
        <v>5</v>
      </c>
      <c r="Q135" s="1" t="str">
        <f>Table4[[#This Row],[Reference]]</f>
        <v>11.34-36</v>
      </c>
      <c r="R135" t="str">
        <f>Table4[[#This Row],[StartR]]</f>
        <v>LUK 11:34</v>
      </c>
      <c r="S135" t="str">
        <f>Table4[[#This Row],[EndR]]</f>
        <v>LUK 11:36</v>
      </c>
      <c r="T135">
        <f>Table4[[#This Row],[Merged.Start]]</f>
        <v>39200</v>
      </c>
      <c r="U135">
        <f>Table4[[#This Row],[Merged.End]]</f>
        <v>39262</v>
      </c>
    </row>
    <row r="136" spans="1:21" x14ac:dyDescent="0.25">
      <c r="A136">
        <v>135</v>
      </c>
      <c r="B136">
        <v>5</v>
      </c>
      <c r="C136" t="s">
        <v>1603</v>
      </c>
      <c r="D136" t="s">
        <v>1604</v>
      </c>
      <c r="E136" t="s">
        <v>1605</v>
      </c>
      <c r="F136">
        <v>39263</v>
      </c>
      <c r="G136">
        <v>39335</v>
      </c>
      <c r="H136">
        <v>0</v>
      </c>
      <c r="K136">
        <f>IF(Table4[[#This Row],[NeedsAttention]]=1,Table4[[#This Row],[Start]],Table4[[#This Row],[StartN]])</f>
        <v>39263</v>
      </c>
      <c r="L136">
        <f>IF(Table4[[#This Row],[NeedsAttention]]=1,Table4[[#This Row],[End]],Table4[[#This Row],[EndN]])</f>
        <v>39335</v>
      </c>
      <c r="M136" t="b">
        <f>Table4[[#This Row],[Merged.Start]]=L135+1</f>
        <v>1</v>
      </c>
      <c r="O136">
        <f>Table4[[#This Row],[Section]]</f>
        <v>135</v>
      </c>
      <c r="P136">
        <f>Table4[[#This Row],[Canon]]</f>
        <v>5</v>
      </c>
      <c r="Q136" s="1" t="str">
        <f>Table4[[#This Row],[Reference]]</f>
        <v>11.37-41</v>
      </c>
      <c r="R136" t="str">
        <f>Table4[[#This Row],[StartR]]</f>
        <v>LUK 11:37</v>
      </c>
      <c r="S136" t="str">
        <f>Table4[[#This Row],[EndR]]</f>
        <v>LUK 11:41</v>
      </c>
      <c r="T136">
        <f>Table4[[#This Row],[Merged.Start]]</f>
        <v>39263</v>
      </c>
      <c r="U136">
        <f>Table4[[#This Row],[Merged.End]]</f>
        <v>39335</v>
      </c>
    </row>
    <row r="137" spans="1:21" x14ac:dyDescent="0.25">
      <c r="A137">
        <v>136</v>
      </c>
      <c r="B137">
        <v>5</v>
      </c>
      <c r="C137">
        <v>11.42</v>
      </c>
      <c r="D137" t="s">
        <v>1606</v>
      </c>
      <c r="E137" t="s">
        <v>1606</v>
      </c>
      <c r="F137">
        <v>39336</v>
      </c>
      <c r="G137">
        <v>39366</v>
      </c>
      <c r="H137">
        <v>0</v>
      </c>
      <c r="K137">
        <f>IF(Table4[[#This Row],[NeedsAttention]]=1,Table4[[#This Row],[Start]],Table4[[#This Row],[StartN]])</f>
        <v>39336</v>
      </c>
      <c r="L137">
        <f>IF(Table4[[#This Row],[NeedsAttention]]=1,Table4[[#This Row],[End]],Table4[[#This Row],[EndN]])</f>
        <v>39366</v>
      </c>
      <c r="M137" t="b">
        <f>Table4[[#This Row],[Merged.Start]]=L136+1</f>
        <v>1</v>
      </c>
      <c r="O137">
        <f>Table4[[#This Row],[Section]]</f>
        <v>136</v>
      </c>
      <c r="P137">
        <f>Table4[[#This Row],[Canon]]</f>
        <v>5</v>
      </c>
      <c r="Q137" s="1">
        <f>Table4[[#This Row],[Reference]]</f>
        <v>11.42</v>
      </c>
      <c r="R137" t="str">
        <f>Table4[[#This Row],[StartR]]</f>
        <v>LUK 11:42</v>
      </c>
      <c r="S137" t="str">
        <f>Table4[[#This Row],[EndR]]</f>
        <v>LUK 11:42</v>
      </c>
      <c r="T137">
        <f>Table4[[#This Row],[Merged.Start]]</f>
        <v>39336</v>
      </c>
      <c r="U137">
        <f>Table4[[#This Row],[Merged.End]]</f>
        <v>39366</v>
      </c>
    </row>
    <row r="138" spans="1:21" x14ac:dyDescent="0.25">
      <c r="A138">
        <v>137</v>
      </c>
      <c r="B138">
        <v>2</v>
      </c>
      <c r="C138">
        <v>11.43</v>
      </c>
      <c r="D138" t="s">
        <v>1607</v>
      </c>
      <c r="E138" t="s">
        <v>1607</v>
      </c>
      <c r="F138">
        <v>39367</v>
      </c>
      <c r="G138">
        <v>39383</v>
      </c>
      <c r="H138">
        <v>0</v>
      </c>
      <c r="K138">
        <f>IF(Table4[[#This Row],[NeedsAttention]]=1,Table4[[#This Row],[Start]],Table4[[#This Row],[StartN]])</f>
        <v>39367</v>
      </c>
      <c r="L138">
        <f>IF(Table4[[#This Row],[NeedsAttention]]=1,Table4[[#This Row],[End]],Table4[[#This Row],[EndN]])</f>
        <v>39383</v>
      </c>
      <c r="M138" t="b">
        <f>Table4[[#This Row],[Merged.Start]]=L137+1</f>
        <v>1</v>
      </c>
      <c r="O138">
        <f>Table4[[#This Row],[Section]]</f>
        <v>137</v>
      </c>
      <c r="P138">
        <f>Table4[[#This Row],[Canon]]</f>
        <v>2</v>
      </c>
      <c r="Q138" s="1">
        <f>Table4[[#This Row],[Reference]]</f>
        <v>11.43</v>
      </c>
      <c r="R138" t="str">
        <f>Table4[[#This Row],[StartR]]</f>
        <v>LUK 11:43</v>
      </c>
      <c r="S138" t="str">
        <f>Table4[[#This Row],[EndR]]</f>
        <v>LUK 11:43</v>
      </c>
      <c r="T138">
        <f>Table4[[#This Row],[Merged.Start]]</f>
        <v>39367</v>
      </c>
      <c r="U138">
        <f>Table4[[#This Row],[Merged.End]]</f>
        <v>39383</v>
      </c>
    </row>
    <row r="139" spans="1:21" x14ac:dyDescent="0.25">
      <c r="A139">
        <v>138</v>
      </c>
      <c r="B139">
        <v>5</v>
      </c>
      <c r="C139">
        <v>11.44</v>
      </c>
      <c r="D139" t="s">
        <v>1608</v>
      </c>
      <c r="E139" t="s">
        <v>1608</v>
      </c>
      <c r="F139">
        <v>39384</v>
      </c>
      <c r="G139">
        <v>39400</v>
      </c>
      <c r="H139">
        <v>0</v>
      </c>
      <c r="K139">
        <f>IF(Table4[[#This Row],[NeedsAttention]]=1,Table4[[#This Row],[Start]],Table4[[#This Row],[StartN]])</f>
        <v>39384</v>
      </c>
      <c r="L139">
        <f>IF(Table4[[#This Row],[NeedsAttention]]=1,Table4[[#This Row],[End]],Table4[[#This Row],[EndN]])</f>
        <v>39400</v>
      </c>
      <c r="M139" t="b">
        <f>Table4[[#This Row],[Merged.Start]]=L138+1</f>
        <v>1</v>
      </c>
      <c r="O139">
        <f>Table4[[#This Row],[Section]]</f>
        <v>138</v>
      </c>
      <c r="P139">
        <f>Table4[[#This Row],[Canon]]</f>
        <v>5</v>
      </c>
      <c r="Q139" s="1">
        <f>Table4[[#This Row],[Reference]]</f>
        <v>11.44</v>
      </c>
      <c r="R139" t="str">
        <f>Table4[[#This Row],[StartR]]</f>
        <v>LUK 11:44</v>
      </c>
      <c r="S139" t="str">
        <f>Table4[[#This Row],[EndR]]</f>
        <v>LUK 11:44</v>
      </c>
      <c r="T139">
        <f>Table4[[#This Row],[Merged.Start]]</f>
        <v>39384</v>
      </c>
      <c r="U139">
        <f>Table4[[#This Row],[Merged.End]]</f>
        <v>39400</v>
      </c>
    </row>
    <row r="140" spans="1:21" x14ac:dyDescent="0.25">
      <c r="A140">
        <v>139</v>
      </c>
      <c r="B140">
        <v>5</v>
      </c>
      <c r="C140" t="s">
        <v>1609</v>
      </c>
      <c r="D140" t="s">
        <v>1610</v>
      </c>
      <c r="E140" t="s">
        <v>1611</v>
      </c>
      <c r="F140">
        <v>39401</v>
      </c>
      <c r="G140">
        <v>39437</v>
      </c>
      <c r="H140">
        <v>0</v>
      </c>
      <c r="K140">
        <f>IF(Table4[[#This Row],[NeedsAttention]]=1,Table4[[#This Row],[Start]],Table4[[#This Row],[StartN]])</f>
        <v>39401</v>
      </c>
      <c r="L140">
        <f>IF(Table4[[#This Row],[NeedsAttention]]=1,Table4[[#This Row],[End]],Table4[[#This Row],[EndN]])</f>
        <v>39437</v>
      </c>
      <c r="M140" t="b">
        <f>Table4[[#This Row],[Merged.Start]]=L139+1</f>
        <v>1</v>
      </c>
      <c r="O140">
        <f>Table4[[#This Row],[Section]]</f>
        <v>139</v>
      </c>
      <c r="P140">
        <f>Table4[[#This Row],[Canon]]</f>
        <v>5</v>
      </c>
      <c r="Q140" s="1" t="str">
        <f>Table4[[#This Row],[Reference]]</f>
        <v>11.45-46</v>
      </c>
      <c r="R140" t="str">
        <f>Table4[[#This Row],[StartR]]</f>
        <v>LUK 11:45</v>
      </c>
      <c r="S140" t="str">
        <f>Table4[[#This Row],[EndR]]</f>
        <v>LUK 11:46</v>
      </c>
      <c r="T140">
        <f>Table4[[#This Row],[Merged.Start]]</f>
        <v>39401</v>
      </c>
      <c r="U140">
        <f>Table4[[#This Row],[Merged.End]]</f>
        <v>39437</v>
      </c>
    </row>
    <row r="141" spans="1:21" x14ac:dyDescent="0.25">
      <c r="A141">
        <v>140</v>
      </c>
      <c r="B141">
        <v>5</v>
      </c>
      <c r="C141" t="s">
        <v>1612</v>
      </c>
      <c r="D141" t="s">
        <v>1613</v>
      </c>
      <c r="E141" t="s">
        <v>1614</v>
      </c>
      <c r="F141">
        <v>39438</v>
      </c>
      <c r="G141">
        <v>39469</v>
      </c>
      <c r="H141">
        <v>0</v>
      </c>
      <c r="K141">
        <f>IF(Table4[[#This Row],[NeedsAttention]]=1,Table4[[#This Row],[Start]],Table4[[#This Row],[StartN]])</f>
        <v>39438</v>
      </c>
      <c r="L141">
        <f>IF(Table4[[#This Row],[NeedsAttention]]=1,Table4[[#This Row],[End]],Table4[[#This Row],[EndN]])</f>
        <v>39469</v>
      </c>
      <c r="M141" t="b">
        <f>Table4[[#This Row],[Merged.Start]]=L140+1</f>
        <v>1</v>
      </c>
      <c r="O141">
        <f>Table4[[#This Row],[Section]]</f>
        <v>140</v>
      </c>
      <c r="P141">
        <f>Table4[[#This Row],[Canon]]</f>
        <v>5</v>
      </c>
      <c r="Q141" s="1" t="str">
        <f>Table4[[#This Row],[Reference]]</f>
        <v>11.47-48</v>
      </c>
      <c r="R141" t="str">
        <f>Table4[[#This Row],[StartR]]</f>
        <v>LUK 11:47</v>
      </c>
      <c r="S141" t="str">
        <f>Table4[[#This Row],[EndR]]</f>
        <v>LUK 11:48</v>
      </c>
      <c r="T141">
        <f>Table4[[#This Row],[Merged.Start]]</f>
        <v>39438</v>
      </c>
      <c r="U141">
        <f>Table4[[#This Row],[Merged.End]]</f>
        <v>39469</v>
      </c>
    </row>
    <row r="142" spans="1:21" x14ac:dyDescent="0.25">
      <c r="A142">
        <v>141</v>
      </c>
      <c r="B142">
        <v>5</v>
      </c>
      <c r="C142" t="s">
        <v>1615</v>
      </c>
      <c r="D142" t="s">
        <v>1616</v>
      </c>
      <c r="E142" t="s">
        <v>1617</v>
      </c>
      <c r="F142">
        <v>39470</v>
      </c>
      <c r="G142">
        <v>39527</v>
      </c>
      <c r="H142">
        <v>0</v>
      </c>
      <c r="K142">
        <f>IF(Table4[[#This Row],[NeedsAttention]]=1,Table4[[#This Row],[Start]],Table4[[#This Row],[StartN]])</f>
        <v>39470</v>
      </c>
      <c r="L142">
        <f>IF(Table4[[#This Row],[NeedsAttention]]=1,Table4[[#This Row],[End]],Table4[[#This Row],[EndN]])</f>
        <v>39527</v>
      </c>
      <c r="M142" t="b">
        <f>Table4[[#This Row],[Merged.Start]]=L141+1</f>
        <v>1</v>
      </c>
      <c r="O142">
        <f>Table4[[#This Row],[Section]]</f>
        <v>141</v>
      </c>
      <c r="P142">
        <f>Table4[[#This Row],[Canon]]</f>
        <v>5</v>
      </c>
      <c r="Q142" s="1" t="str">
        <f>Table4[[#This Row],[Reference]]</f>
        <v>11.49-51</v>
      </c>
      <c r="R142" t="str">
        <f>Table4[[#This Row],[StartR]]</f>
        <v>LUK 11:49</v>
      </c>
      <c r="S142" t="str">
        <f>Table4[[#This Row],[EndR]]</f>
        <v>LUK 11:51</v>
      </c>
      <c r="T142">
        <f>Table4[[#This Row],[Merged.Start]]</f>
        <v>39470</v>
      </c>
      <c r="U142">
        <f>Table4[[#This Row],[Merged.End]]</f>
        <v>39527</v>
      </c>
    </row>
    <row r="143" spans="1:21" x14ac:dyDescent="0.25">
      <c r="A143">
        <v>142</v>
      </c>
      <c r="B143">
        <v>5</v>
      </c>
      <c r="C143">
        <v>11.52</v>
      </c>
      <c r="D143" t="s">
        <v>1618</v>
      </c>
      <c r="E143" t="s">
        <v>1618</v>
      </c>
      <c r="F143">
        <v>39528</v>
      </c>
      <c r="G143">
        <v>39544</v>
      </c>
      <c r="H143">
        <v>0</v>
      </c>
      <c r="K143">
        <f>IF(Table4[[#This Row],[NeedsAttention]]=1,Table4[[#This Row],[Start]],Table4[[#This Row],[StartN]])</f>
        <v>39528</v>
      </c>
      <c r="L143">
        <f>IF(Table4[[#This Row],[NeedsAttention]]=1,Table4[[#This Row],[End]],Table4[[#This Row],[EndN]])</f>
        <v>39544</v>
      </c>
      <c r="M143" t="b">
        <f>Table4[[#This Row],[Merged.Start]]=L142+1</f>
        <v>1</v>
      </c>
      <c r="O143">
        <f>Table4[[#This Row],[Section]]</f>
        <v>142</v>
      </c>
      <c r="P143">
        <f>Table4[[#This Row],[Canon]]</f>
        <v>5</v>
      </c>
      <c r="Q143" s="1">
        <f>Table4[[#This Row],[Reference]]</f>
        <v>11.52</v>
      </c>
      <c r="R143" t="str">
        <f>Table4[[#This Row],[StartR]]</f>
        <v>LUK 11:52</v>
      </c>
      <c r="S143" t="str">
        <f>Table4[[#This Row],[EndR]]</f>
        <v>LUK 11:52</v>
      </c>
      <c r="T143">
        <f>Table4[[#This Row],[Merged.Start]]</f>
        <v>39528</v>
      </c>
      <c r="U143">
        <f>Table4[[#This Row],[Merged.End]]</f>
        <v>39544</v>
      </c>
    </row>
    <row r="144" spans="1:21" x14ac:dyDescent="0.25">
      <c r="A144">
        <v>143</v>
      </c>
      <c r="B144">
        <v>10</v>
      </c>
      <c r="C144" t="s">
        <v>1619</v>
      </c>
      <c r="D144" t="s">
        <v>1620</v>
      </c>
      <c r="E144" t="s">
        <v>1621</v>
      </c>
      <c r="F144">
        <v>39545</v>
      </c>
      <c r="G144">
        <v>39595</v>
      </c>
      <c r="H144">
        <v>1</v>
      </c>
      <c r="I144">
        <v>39545</v>
      </c>
      <c r="J144">
        <v>39585</v>
      </c>
      <c r="K144">
        <f>IF(Table4[[#This Row],[NeedsAttention]]=1,Table4[[#This Row],[Start]],Table4[[#This Row],[StartN]])</f>
        <v>39545</v>
      </c>
      <c r="L144">
        <f>IF(Table4[[#This Row],[NeedsAttention]]=1,Table4[[#This Row],[End]],Table4[[#This Row],[EndN]])</f>
        <v>39585</v>
      </c>
      <c r="M144" t="b">
        <f>Table4[[#This Row],[Merged.Start]]=L143+1</f>
        <v>1</v>
      </c>
      <c r="O144">
        <f>Table4[[#This Row],[Section]]</f>
        <v>143</v>
      </c>
      <c r="P144">
        <f>Table4[[#This Row],[Canon]]</f>
        <v>10</v>
      </c>
      <c r="Q144" s="1" t="str">
        <f>Table4[[#This Row],[Reference]]</f>
        <v>11.53-12.1B</v>
      </c>
      <c r="R144" t="str">
        <f>Table4[[#This Row],[StartR]]</f>
        <v>LUK 11:53</v>
      </c>
      <c r="S144" t="str">
        <f>Table4[[#This Row],[EndR]]</f>
        <v>LUK 12:1</v>
      </c>
      <c r="T144">
        <f>Table4[[#This Row],[Merged.Start]]</f>
        <v>39545</v>
      </c>
      <c r="U144">
        <f>Table4[[#This Row],[Merged.End]]</f>
        <v>39585</v>
      </c>
    </row>
    <row r="145" spans="1:21" x14ac:dyDescent="0.25">
      <c r="A145">
        <v>144</v>
      </c>
      <c r="B145">
        <v>2</v>
      </c>
      <c r="C145" t="s">
        <v>1622</v>
      </c>
      <c r="D145" t="s">
        <v>1621</v>
      </c>
      <c r="E145" t="s">
        <v>1621</v>
      </c>
      <c r="F145">
        <v>39569</v>
      </c>
      <c r="G145">
        <v>39595</v>
      </c>
      <c r="H145">
        <v>1</v>
      </c>
      <c r="I145">
        <v>39586</v>
      </c>
      <c r="J145">
        <v>39595</v>
      </c>
      <c r="K145">
        <f>IF(Table4[[#This Row],[NeedsAttention]]=1,Table4[[#This Row],[Start]],Table4[[#This Row],[StartN]])</f>
        <v>39586</v>
      </c>
      <c r="L145">
        <f>IF(Table4[[#This Row],[NeedsAttention]]=1,Table4[[#This Row],[End]],Table4[[#This Row],[EndN]])</f>
        <v>39595</v>
      </c>
      <c r="M145" t="b">
        <f>Table4[[#This Row],[Merged.Start]]=L144+1</f>
        <v>1</v>
      </c>
      <c r="O145">
        <f>Table4[[#This Row],[Section]]</f>
        <v>144</v>
      </c>
      <c r="P145">
        <f>Table4[[#This Row],[Canon]]</f>
        <v>2</v>
      </c>
      <c r="Q145" s="1" t="str">
        <f>Table4[[#This Row],[Reference]]</f>
        <v>12.1C</v>
      </c>
      <c r="R145" t="str">
        <f>Table4[[#This Row],[StartR]]</f>
        <v>LUK 12:1</v>
      </c>
      <c r="S145" t="str">
        <f>Table4[[#This Row],[EndR]]</f>
        <v>LUK 12:1</v>
      </c>
      <c r="T145">
        <f>Table4[[#This Row],[Merged.Start]]</f>
        <v>39586</v>
      </c>
      <c r="U145">
        <f>Table4[[#This Row],[Merged.End]]</f>
        <v>39595</v>
      </c>
    </row>
    <row r="146" spans="1:21" x14ac:dyDescent="0.25">
      <c r="A146">
        <v>145</v>
      </c>
      <c r="B146">
        <v>5</v>
      </c>
      <c r="C146" t="s">
        <v>1623</v>
      </c>
      <c r="D146" t="s">
        <v>1624</v>
      </c>
      <c r="E146" t="s">
        <v>1625</v>
      </c>
      <c r="F146">
        <v>39596</v>
      </c>
      <c r="G146">
        <v>39728</v>
      </c>
      <c r="H146">
        <v>0</v>
      </c>
      <c r="K146">
        <f>IF(Table4[[#This Row],[NeedsAttention]]=1,Table4[[#This Row],[Start]],Table4[[#This Row],[StartN]])</f>
        <v>39596</v>
      </c>
      <c r="L146">
        <f>IF(Table4[[#This Row],[NeedsAttention]]=1,Table4[[#This Row],[End]],Table4[[#This Row],[EndN]])</f>
        <v>39728</v>
      </c>
      <c r="M146" t="b">
        <f>Table4[[#This Row],[Merged.Start]]=L145+1</f>
        <v>1</v>
      </c>
      <c r="O146">
        <f>Table4[[#This Row],[Section]]</f>
        <v>145</v>
      </c>
      <c r="P146">
        <f>Table4[[#This Row],[Canon]]</f>
        <v>5</v>
      </c>
      <c r="Q146" s="1" t="str">
        <f>Table4[[#This Row],[Reference]]</f>
        <v>12.2-8</v>
      </c>
      <c r="R146" t="str">
        <f>Table4[[#This Row],[StartR]]</f>
        <v>LUK 12:2</v>
      </c>
      <c r="S146" t="str">
        <f>Table4[[#This Row],[EndR]]</f>
        <v>LUK 12:8</v>
      </c>
      <c r="T146">
        <f>Table4[[#This Row],[Merged.Start]]</f>
        <v>39596</v>
      </c>
      <c r="U146">
        <f>Table4[[#This Row],[Merged.End]]</f>
        <v>39728</v>
      </c>
    </row>
    <row r="147" spans="1:21" x14ac:dyDescent="0.25">
      <c r="A147">
        <v>146</v>
      </c>
      <c r="B147">
        <v>2</v>
      </c>
      <c r="C147">
        <v>12.9</v>
      </c>
      <c r="D147" t="s">
        <v>1626</v>
      </c>
      <c r="E147" t="s">
        <v>1626</v>
      </c>
      <c r="F147">
        <v>39729</v>
      </c>
      <c r="G147">
        <v>39741</v>
      </c>
      <c r="H147">
        <v>0</v>
      </c>
      <c r="K147">
        <f>IF(Table4[[#This Row],[NeedsAttention]]=1,Table4[[#This Row],[Start]],Table4[[#This Row],[StartN]])</f>
        <v>39729</v>
      </c>
      <c r="L147">
        <f>IF(Table4[[#This Row],[NeedsAttention]]=1,Table4[[#This Row],[End]],Table4[[#This Row],[EndN]])</f>
        <v>39741</v>
      </c>
      <c r="M147" t="b">
        <f>Table4[[#This Row],[Merged.Start]]=L146+1</f>
        <v>1</v>
      </c>
      <c r="O147">
        <f>Table4[[#This Row],[Section]]</f>
        <v>146</v>
      </c>
      <c r="P147">
        <f>Table4[[#This Row],[Canon]]</f>
        <v>2</v>
      </c>
      <c r="Q147" s="1">
        <f>Table4[[#This Row],[Reference]]</f>
        <v>12.9</v>
      </c>
      <c r="R147" t="str">
        <f>Table4[[#This Row],[StartR]]</f>
        <v>LUK 12:9</v>
      </c>
      <c r="S147" t="str">
        <f>Table4[[#This Row],[EndR]]</f>
        <v>LUK 12:9</v>
      </c>
      <c r="T147">
        <f>Table4[[#This Row],[Merged.Start]]</f>
        <v>39729</v>
      </c>
      <c r="U147">
        <f>Table4[[#This Row],[Merged.End]]</f>
        <v>39741</v>
      </c>
    </row>
    <row r="148" spans="1:21" x14ac:dyDescent="0.25">
      <c r="A148">
        <v>147</v>
      </c>
      <c r="B148">
        <v>2</v>
      </c>
      <c r="C148">
        <v>12.1</v>
      </c>
      <c r="D148" t="s">
        <v>2529</v>
      </c>
      <c r="E148" t="s">
        <v>2529</v>
      </c>
      <c r="F148">
        <v>39742</v>
      </c>
      <c r="G148">
        <v>39762</v>
      </c>
      <c r="H148">
        <v>0</v>
      </c>
      <c r="K148">
        <f>IF(Table4[[#This Row],[NeedsAttention]]=1,Table4[[#This Row],[Start]],Table4[[#This Row],[StartN]])</f>
        <v>39742</v>
      </c>
      <c r="L148">
        <f>IF(Table4[[#This Row],[NeedsAttention]]=1,Table4[[#This Row],[End]],Table4[[#This Row],[EndN]])</f>
        <v>39762</v>
      </c>
      <c r="M148" t="b">
        <f>Table4[[#This Row],[Merged.Start]]=L147+1</f>
        <v>1</v>
      </c>
      <c r="O148">
        <f>Table4[[#This Row],[Section]]</f>
        <v>147</v>
      </c>
      <c r="P148">
        <f>Table4[[#This Row],[Canon]]</f>
        <v>2</v>
      </c>
      <c r="Q148" s="1">
        <f>Table4[[#This Row],[Reference]]</f>
        <v>12.1</v>
      </c>
      <c r="R148" t="str">
        <f>Table4[[#This Row],[StartR]]</f>
        <v>LUK 12:10</v>
      </c>
      <c r="S148" t="str">
        <f>Table4[[#This Row],[EndR]]</f>
        <v>LUK 12:10</v>
      </c>
      <c r="T148">
        <f>Table4[[#This Row],[Merged.Start]]</f>
        <v>39742</v>
      </c>
      <c r="U148">
        <f>Table4[[#This Row],[Merged.End]]</f>
        <v>39762</v>
      </c>
    </row>
    <row r="149" spans="1:21" x14ac:dyDescent="0.25">
      <c r="A149">
        <v>148</v>
      </c>
      <c r="B149">
        <v>2</v>
      </c>
      <c r="C149" t="s">
        <v>1627</v>
      </c>
      <c r="D149" t="s">
        <v>1628</v>
      </c>
      <c r="E149" t="s">
        <v>1629</v>
      </c>
      <c r="F149">
        <v>39763</v>
      </c>
      <c r="G149">
        <v>39797</v>
      </c>
      <c r="H149">
        <v>0</v>
      </c>
      <c r="K149">
        <f>IF(Table4[[#This Row],[NeedsAttention]]=1,Table4[[#This Row],[Start]],Table4[[#This Row],[StartN]])</f>
        <v>39763</v>
      </c>
      <c r="L149">
        <f>IF(Table4[[#This Row],[NeedsAttention]]=1,Table4[[#This Row],[End]],Table4[[#This Row],[EndN]])</f>
        <v>39797</v>
      </c>
      <c r="M149" t="b">
        <f>Table4[[#This Row],[Merged.Start]]=L148+1</f>
        <v>1</v>
      </c>
      <c r="O149">
        <f>Table4[[#This Row],[Section]]</f>
        <v>148</v>
      </c>
      <c r="P149">
        <f>Table4[[#This Row],[Canon]]</f>
        <v>2</v>
      </c>
      <c r="Q149" s="1" t="str">
        <f>Table4[[#This Row],[Reference]]</f>
        <v>12.11-12</v>
      </c>
      <c r="R149" t="str">
        <f>Table4[[#This Row],[StartR]]</f>
        <v>LUK 12:11</v>
      </c>
      <c r="S149" t="str">
        <f>Table4[[#This Row],[EndR]]</f>
        <v>LUK 12:12</v>
      </c>
      <c r="T149">
        <f>Table4[[#This Row],[Merged.Start]]</f>
        <v>39763</v>
      </c>
      <c r="U149">
        <f>Table4[[#This Row],[Merged.End]]</f>
        <v>39797</v>
      </c>
    </row>
    <row r="150" spans="1:21" x14ac:dyDescent="0.25">
      <c r="A150">
        <v>149</v>
      </c>
      <c r="B150">
        <v>10</v>
      </c>
      <c r="C150" t="s">
        <v>1630</v>
      </c>
      <c r="D150" t="s">
        <v>1631</v>
      </c>
      <c r="E150" t="s">
        <v>1632</v>
      </c>
      <c r="F150">
        <v>39798</v>
      </c>
      <c r="G150">
        <v>39945</v>
      </c>
      <c r="H150">
        <v>0</v>
      </c>
      <c r="K150">
        <f>IF(Table4[[#This Row],[NeedsAttention]]=1,Table4[[#This Row],[Start]],Table4[[#This Row],[StartN]])</f>
        <v>39798</v>
      </c>
      <c r="L150">
        <f>IF(Table4[[#This Row],[NeedsAttention]]=1,Table4[[#This Row],[End]],Table4[[#This Row],[EndN]])</f>
        <v>39945</v>
      </c>
      <c r="M150" t="b">
        <f>Table4[[#This Row],[Merged.Start]]=L149+1</f>
        <v>1</v>
      </c>
      <c r="O150">
        <f>Table4[[#This Row],[Section]]</f>
        <v>149</v>
      </c>
      <c r="P150">
        <f>Table4[[#This Row],[Canon]]</f>
        <v>10</v>
      </c>
      <c r="Q150" s="1" t="str">
        <f>Table4[[#This Row],[Reference]]</f>
        <v>12.13-21</v>
      </c>
      <c r="R150" t="str">
        <f>Table4[[#This Row],[StartR]]</f>
        <v>LUK 12:13</v>
      </c>
      <c r="S150" t="str">
        <f>Table4[[#This Row],[EndR]]</f>
        <v>LUK 12:21</v>
      </c>
      <c r="T150">
        <f>Table4[[#This Row],[Merged.Start]]</f>
        <v>39798</v>
      </c>
      <c r="U150">
        <f>Table4[[#This Row],[Merged.End]]</f>
        <v>39945</v>
      </c>
    </row>
    <row r="151" spans="1:21" x14ac:dyDescent="0.25">
      <c r="A151">
        <v>150</v>
      </c>
      <c r="B151">
        <v>5</v>
      </c>
      <c r="C151" t="s">
        <v>1633</v>
      </c>
      <c r="D151" t="s">
        <v>1634</v>
      </c>
      <c r="E151" t="s">
        <v>1635</v>
      </c>
      <c r="F151">
        <v>39946</v>
      </c>
      <c r="G151">
        <v>40106</v>
      </c>
      <c r="H151">
        <v>0</v>
      </c>
      <c r="K151">
        <f>IF(Table4[[#This Row],[NeedsAttention]]=1,Table4[[#This Row],[Start]],Table4[[#This Row],[StartN]])</f>
        <v>39946</v>
      </c>
      <c r="L151">
        <f>IF(Table4[[#This Row],[NeedsAttention]]=1,Table4[[#This Row],[End]],Table4[[#This Row],[EndN]])</f>
        <v>40106</v>
      </c>
      <c r="M151" t="b">
        <f>Table4[[#This Row],[Merged.Start]]=L150+1</f>
        <v>1</v>
      </c>
      <c r="O151">
        <f>Table4[[#This Row],[Section]]</f>
        <v>150</v>
      </c>
      <c r="P151">
        <f>Table4[[#This Row],[Canon]]</f>
        <v>5</v>
      </c>
      <c r="Q151" s="1" t="str">
        <f>Table4[[#This Row],[Reference]]</f>
        <v>12.22-31</v>
      </c>
      <c r="R151" t="str">
        <f>Table4[[#This Row],[StartR]]</f>
        <v>LUK 12:22</v>
      </c>
      <c r="S151" t="str">
        <f>Table4[[#This Row],[EndR]]</f>
        <v>LUK 12:31</v>
      </c>
      <c r="T151">
        <f>Table4[[#This Row],[Merged.Start]]</f>
        <v>39946</v>
      </c>
      <c r="U151">
        <f>Table4[[#This Row],[Merged.End]]</f>
        <v>40106</v>
      </c>
    </row>
    <row r="152" spans="1:21" x14ac:dyDescent="0.25">
      <c r="A152">
        <v>151</v>
      </c>
      <c r="B152">
        <v>10</v>
      </c>
      <c r="C152">
        <v>12.32</v>
      </c>
      <c r="D152" t="s">
        <v>1636</v>
      </c>
      <c r="E152" t="s">
        <v>1636</v>
      </c>
      <c r="F152">
        <v>40107</v>
      </c>
      <c r="G152">
        <v>40120</v>
      </c>
      <c r="H152">
        <v>0</v>
      </c>
      <c r="K152">
        <f>IF(Table4[[#This Row],[NeedsAttention]]=1,Table4[[#This Row],[Start]],Table4[[#This Row],[StartN]])</f>
        <v>40107</v>
      </c>
      <c r="L152">
        <f>IF(Table4[[#This Row],[NeedsAttention]]=1,Table4[[#This Row],[End]],Table4[[#This Row],[EndN]])</f>
        <v>40120</v>
      </c>
      <c r="M152" t="b">
        <f>Table4[[#This Row],[Merged.Start]]=L151+1</f>
        <v>1</v>
      </c>
      <c r="O152">
        <f>Table4[[#This Row],[Section]]</f>
        <v>151</v>
      </c>
      <c r="P152">
        <f>Table4[[#This Row],[Canon]]</f>
        <v>10</v>
      </c>
      <c r="Q152" s="1">
        <f>Table4[[#This Row],[Reference]]</f>
        <v>12.32</v>
      </c>
      <c r="R152" t="str">
        <f>Table4[[#This Row],[StartR]]</f>
        <v>LUK 12:32</v>
      </c>
      <c r="S152" t="str">
        <f>Table4[[#This Row],[EndR]]</f>
        <v>LUK 12:32</v>
      </c>
      <c r="T152">
        <f>Table4[[#This Row],[Merged.Start]]</f>
        <v>40107</v>
      </c>
      <c r="U152">
        <f>Table4[[#This Row],[Merged.End]]</f>
        <v>40120</v>
      </c>
    </row>
    <row r="153" spans="1:21" x14ac:dyDescent="0.25">
      <c r="A153">
        <v>152</v>
      </c>
      <c r="B153">
        <v>2</v>
      </c>
      <c r="C153" t="s">
        <v>1637</v>
      </c>
      <c r="D153" t="s">
        <v>1638</v>
      </c>
      <c r="E153" t="s">
        <v>1638</v>
      </c>
      <c r="F153">
        <v>40121</v>
      </c>
      <c r="G153">
        <v>40144</v>
      </c>
      <c r="H153">
        <v>1</v>
      </c>
      <c r="I153">
        <v>40121</v>
      </c>
      <c r="J153">
        <v>40127</v>
      </c>
      <c r="K153">
        <f>IF(Table4[[#This Row],[NeedsAttention]]=1,Table4[[#This Row],[Start]],Table4[[#This Row],[StartN]])</f>
        <v>40121</v>
      </c>
      <c r="L153">
        <f>IF(Table4[[#This Row],[NeedsAttention]]=1,Table4[[#This Row],[End]],Table4[[#This Row],[EndN]])</f>
        <v>40127</v>
      </c>
      <c r="M153" t="b">
        <f>Table4[[#This Row],[Merged.Start]]=L152+1</f>
        <v>1</v>
      </c>
      <c r="O153">
        <f>Table4[[#This Row],[Section]]</f>
        <v>152</v>
      </c>
      <c r="P153">
        <f>Table4[[#This Row],[Canon]]</f>
        <v>2</v>
      </c>
      <c r="Q153" s="1" t="str">
        <f>Table4[[#This Row],[Reference]]</f>
        <v>12.33A</v>
      </c>
      <c r="R153" t="str">
        <f>Table4[[#This Row],[StartR]]</f>
        <v>LUK 12:33</v>
      </c>
      <c r="S153" t="str">
        <f>Table4[[#This Row],[EndR]]</f>
        <v>LUK 12:33</v>
      </c>
      <c r="T153">
        <f>Table4[[#This Row],[Merged.Start]]</f>
        <v>40121</v>
      </c>
      <c r="U153">
        <f>Table4[[#This Row],[Merged.End]]</f>
        <v>40127</v>
      </c>
    </row>
    <row r="154" spans="1:21" x14ac:dyDescent="0.25">
      <c r="A154">
        <v>153</v>
      </c>
      <c r="B154">
        <v>5</v>
      </c>
      <c r="C154" t="s">
        <v>1639</v>
      </c>
      <c r="D154" t="s">
        <v>1638</v>
      </c>
      <c r="E154" t="s">
        <v>1640</v>
      </c>
      <c r="F154">
        <v>40121</v>
      </c>
      <c r="G154">
        <v>40156</v>
      </c>
      <c r="H154">
        <v>1</v>
      </c>
      <c r="I154">
        <v>40128</v>
      </c>
      <c r="J154">
        <v>40156</v>
      </c>
      <c r="K154">
        <f>IF(Table4[[#This Row],[NeedsAttention]]=1,Table4[[#This Row],[Start]],Table4[[#This Row],[StartN]])</f>
        <v>40128</v>
      </c>
      <c r="L154">
        <f>IF(Table4[[#This Row],[NeedsAttention]]=1,Table4[[#This Row],[End]],Table4[[#This Row],[EndN]])</f>
        <v>40156</v>
      </c>
      <c r="M154" t="b">
        <f>Table4[[#This Row],[Merged.Start]]=L153+1</f>
        <v>1</v>
      </c>
      <c r="O154">
        <f>Table4[[#This Row],[Section]]</f>
        <v>153</v>
      </c>
      <c r="P154">
        <f>Table4[[#This Row],[Canon]]</f>
        <v>5</v>
      </c>
      <c r="Q154" s="1" t="str">
        <f>Table4[[#This Row],[Reference]]</f>
        <v>12.33B-34</v>
      </c>
      <c r="R154" t="str">
        <f>Table4[[#This Row],[StartR]]</f>
        <v>LUK 12:33</v>
      </c>
      <c r="S154" t="str">
        <f>Table4[[#This Row],[EndR]]</f>
        <v>LUK 12:34</v>
      </c>
      <c r="T154">
        <f>Table4[[#This Row],[Merged.Start]]</f>
        <v>40128</v>
      </c>
      <c r="U154">
        <f>Table4[[#This Row],[Merged.End]]</f>
        <v>40156</v>
      </c>
    </row>
    <row r="155" spans="1:21" x14ac:dyDescent="0.25">
      <c r="A155">
        <v>154</v>
      </c>
      <c r="B155">
        <v>10</v>
      </c>
      <c r="C155" t="s">
        <v>1641</v>
      </c>
      <c r="D155" t="s">
        <v>1642</v>
      </c>
      <c r="E155" t="s">
        <v>1643</v>
      </c>
      <c r="F155">
        <v>40157</v>
      </c>
      <c r="G155">
        <v>40185</v>
      </c>
      <c r="H155">
        <v>0</v>
      </c>
      <c r="K155">
        <f>IF(Table4[[#This Row],[NeedsAttention]]=1,Table4[[#This Row],[Start]],Table4[[#This Row],[StartN]])</f>
        <v>40157</v>
      </c>
      <c r="L155">
        <f>IF(Table4[[#This Row],[NeedsAttention]]=1,Table4[[#This Row],[End]],Table4[[#This Row],[EndN]])</f>
        <v>40185</v>
      </c>
      <c r="M155" t="b">
        <f>Table4[[#This Row],[Merged.Start]]=L154+1</f>
        <v>1</v>
      </c>
      <c r="O155">
        <f>Table4[[#This Row],[Section]]</f>
        <v>154</v>
      </c>
      <c r="P155">
        <f>Table4[[#This Row],[Canon]]</f>
        <v>10</v>
      </c>
      <c r="Q155" s="1" t="str">
        <f>Table4[[#This Row],[Reference]]</f>
        <v>12.35-36</v>
      </c>
      <c r="R155" t="str">
        <f>Table4[[#This Row],[StartR]]</f>
        <v>LUK 12:35</v>
      </c>
      <c r="S155" t="str">
        <f>Table4[[#This Row],[EndR]]</f>
        <v>LUK 12:36</v>
      </c>
      <c r="T155">
        <f>Table4[[#This Row],[Merged.Start]]</f>
        <v>40157</v>
      </c>
      <c r="U155">
        <f>Table4[[#This Row],[Merged.End]]</f>
        <v>40185</v>
      </c>
    </row>
    <row r="156" spans="1:21" x14ac:dyDescent="0.25">
      <c r="A156">
        <v>155</v>
      </c>
      <c r="B156">
        <v>5</v>
      </c>
      <c r="C156" t="s">
        <v>1644</v>
      </c>
      <c r="D156" t="s">
        <v>1645</v>
      </c>
      <c r="E156" t="s">
        <v>1646</v>
      </c>
      <c r="F156">
        <v>40186</v>
      </c>
      <c r="G156">
        <v>40223</v>
      </c>
      <c r="H156">
        <v>0</v>
      </c>
      <c r="K156">
        <f>IF(Table4[[#This Row],[NeedsAttention]]=1,Table4[[#This Row],[Start]],Table4[[#This Row],[StartN]])</f>
        <v>40186</v>
      </c>
      <c r="L156">
        <f>IF(Table4[[#This Row],[NeedsAttention]]=1,Table4[[#This Row],[End]],Table4[[#This Row],[EndN]])</f>
        <v>40223</v>
      </c>
      <c r="M156" t="b">
        <f>Table4[[#This Row],[Merged.Start]]=L155+1</f>
        <v>1</v>
      </c>
      <c r="O156">
        <f>Table4[[#This Row],[Section]]</f>
        <v>155</v>
      </c>
      <c r="P156">
        <f>Table4[[#This Row],[Canon]]</f>
        <v>5</v>
      </c>
      <c r="Q156" s="1" t="str">
        <f>Table4[[#This Row],[Reference]]</f>
        <v>12.37-38</v>
      </c>
      <c r="R156" t="str">
        <f>Table4[[#This Row],[StartR]]</f>
        <v>LUK 12:37</v>
      </c>
      <c r="S156" t="str">
        <f>Table4[[#This Row],[EndR]]</f>
        <v>LUK 12:38</v>
      </c>
      <c r="T156">
        <f>Table4[[#This Row],[Merged.Start]]</f>
        <v>40186</v>
      </c>
      <c r="U156">
        <f>Table4[[#This Row],[Merged.End]]</f>
        <v>40223</v>
      </c>
    </row>
    <row r="157" spans="1:21" x14ac:dyDescent="0.25">
      <c r="A157">
        <v>156</v>
      </c>
      <c r="B157">
        <v>2</v>
      </c>
      <c r="C157" t="s">
        <v>1647</v>
      </c>
      <c r="D157" t="s">
        <v>1648</v>
      </c>
      <c r="E157" t="s">
        <v>1649</v>
      </c>
      <c r="F157">
        <v>40224</v>
      </c>
      <c r="G157">
        <v>40257</v>
      </c>
      <c r="H157">
        <v>0</v>
      </c>
      <c r="K157">
        <f>IF(Table4[[#This Row],[NeedsAttention]]=1,Table4[[#This Row],[Start]],Table4[[#This Row],[StartN]])</f>
        <v>40224</v>
      </c>
      <c r="L157">
        <f>IF(Table4[[#This Row],[NeedsAttention]]=1,Table4[[#This Row],[End]],Table4[[#This Row],[EndN]])</f>
        <v>40257</v>
      </c>
      <c r="M157" t="b">
        <f>Table4[[#This Row],[Merged.Start]]=L156+1</f>
        <v>1</v>
      </c>
      <c r="O157">
        <f>Table4[[#This Row],[Section]]</f>
        <v>156</v>
      </c>
      <c r="P157">
        <f>Table4[[#This Row],[Canon]]</f>
        <v>2</v>
      </c>
      <c r="Q157" s="1" t="str">
        <f>Table4[[#This Row],[Reference]]</f>
        <v>12.39-40</v>
      </c>
      <c r="R157" t="str">
        <f>Table4[[#This Row],[StartR]]</f>
        <v>LUK 12:39</v>
      </c>
      <c r="S157" t="str">
        <f>Table4[[#This Row],[EndR]]</f>
        <v>LUK 12:40</v>
      </c>
      <c r="T157">
        <f>Table4[[#This Row],[Merged.Start]]</f>
        <v>40224</v>
      </c>
      <c r="U157">
        <f>Table4[[#This Row],[Merged.End]]</f>
        <v>40257</v>
      </c>
    </row>
    <row r="158" spans="1:21" x14ac:dyDescent="0.25">
      <c r="A158">
        <v>157</v>
      </c>
      <c r="B158">
        <v>5</v>
      </c>
      <c r="C158" t="s">
        <v>1650</v>
      </c>
      <c r="D158" t="s">
        <v>1651</v>
      </c>
      <c r="E158" t="s">
        <v>1652</v>
      </c>
      <c r="F158">
        <v>40258</v>
      </c>
      <c r="G158">
        <v>40321</v>
      </c>
      <c r="H158">
        <v>0</v>
      </c>
      <c r="K158">
        <f>IF(Table4[[#This Row],[NeedsAttention]]=1,Table4[[#This Row],[Start]],Table4[[#This Row],[StartN]])</f>
        <v>40258</v>
      </c>
      <c r="L158">
        <f>IF(Table4[[#This Row],[NeedsAttention]]=1,Table4[[#This Row],[End]],Table4[[#This Row],[EndN]])</f>
        <v>40321</v>
      </c>
      <c r="M158" t="b">
        <f>Table4[[#This Row],[Merged.Start]]=L157+1</f>
        <v>1</v>
      </c>
      <c r="O158">
        <f>Table4[[#This Row],[Section]]</f>
        <v>157</v>
      </c>
      <c r="P158">
        <f>Table4[[#This Row],[Canon]]</f>
        <v>5</v>
      </c>
      <c r="Q158" s="1" t="str">
        <f>Table4[[#This Row],[Reference]]</f>
        <v>12.41-44</v>
      </c>
      <c r="R158" t="str">
        <f>Table4[[#This Row],[StartR]]</f>
        <v>LUK 12:41</v>
      </c>
      <c r="S158" t="str">
        <f>Table4[[#This Row],[EndR]]</f>
        <v>LUK 12:44</v>
      </c>
      <c r="T158">
        <f>Table4[[#This Row],[Merged.Start]]</f>
        <v>40258</v>
      </c>
      <c r="U158">
        <f>Table4[[#This Row],[Merged.End]]</f>
        <v>40321</v>
      </c>
    </row>
    <row r="159" spans="1:21" x14ac:dyDescent="0.25">
      <c r="A159">
        <v>158</v>
      </c>
      <c r="B159">
        <v>5</v>
      </c>
      <c r="C159" t="s">
        <v>1653</v>
      </c>
      <c r="D159" t="s">
        <v>1654</v>
      </c>
      <c r="E159" t="s">
        <v>1655</v>
      </c>
      <c r="F159">
        <v>40322</v>
      </c>
      <c r="G159">
        <v>40378</v>
      </c>
      <c r="H159">
        <v>0</v>
      </c>
      <c r="K159">
        <f>IF(Table4[[#This Row],[NeedsAttention]]=1,Table4[[#This Row],[Start]],Table4[[#This Row],[StartN]])</f>
        <v>40322</v>
      </c>
      <c r="L159">
        <f>IF(Table4[[#This Row],[NeedsAttention]]=1,Table4[[#This Row],[End]],Table4[[#This Row],[EndN]])</f>
        <v>40378</v>
      </c>
      <c r="M159" t="b">
        <f>Table4[[#This Row],[Merged.Start]]=L158+1</f>
        <v>1</v>
      </c>
      <c r="O159">
        <f>Table4[[#This Row],[Section]]</f>
        <v>158</v>
      </c>
      <c r="P159">
        <f>Table4[[#This Row],[Canon]]</f>
        <v>5</v>
      </c>
      <c r="Q159" s="1" t="str">
        <f>Table4[[#This Row],[Reference]]</f>
        <v>12.45-46</v>
      </c>
      <c r="R159" t="str">
        <f>Table4[[#This Row],[StartR]]</f>
        <v>LUK 12:45</v>
      </c>
      <c r="S159" t="str">
        <f>Table4[[#This Row],[EndR]]</f>
        <v>LUK 12:46</v>
      </c>
      <c r="T159">
        <f>Table4[[#This Row],[Merged.Start]]</f>
        <v>40322</v>
      </c>
      <c r="U159">
        <f>Table4[[#This Row],[Merged.End]]</f>
        <v>40378</v>
      </c>
    </row>
    <row r="160" spans="1:21" x14ac:dyDescent="0.25">
      <c r="A160">
        <v>159</v>
      </c>
      <c r="B160">
        <v>10</v>
      </c>
      <c r="C160" t="s">
        <v>1656</v>
      </c>
      <c r="D160" t="s">
        <v>1657</v>
      </c>
      <c r="E160" t="s">
        <v>1658</v>
      </c>
      <c r="F160">
        <v>40379</v>
      </c>
      <c r="G160">
        <v>40426</v>
      </c>
      <c r="H160">
        <v>0</v>
      </c>
      <c r="K160">
        <f>IF(Table4[[#This Row],[NeedsAttention]]=1,Table4[[#This Row],[Start]],Table4[[#This Row],[StartN]])</f>
        <v>40379</v>
      </c>
      <c r="L160">
        <f>IF(Table4[[#This Row],[NeedsAttention]]=1,Table4[[#This Row],[End]],Table4[[#This Row],[EndN]])</f>
        <v>40426</v>
      </c>
      <c r="M160" t="b">
        <f>Table4[[#This Row],[Merged.Start]]=L159+1</f>
        <v>1</v>
      </c>
      <c r="O160">
        <f>Table4[[#This Row],[Section]]</f>
        <v>159</v>
      </c>
      <c r="P160">
        <f>Table4[[#This Row],[Canon]]</f>
        <v>10</v>
      </c>
      <c r="Q160" s="1" t="str">
        <f>Table4[[#This Row],[Reference]]</f>
        <v>12.47-48</v>
      </c>
      <c r="R160" t="str">
        <f>Table4[[#This Row],[StartR]]</f>
        <v>LUK 12:47</v>
      </c>
      <c r="S160" t="str">
        <f>Table4[[#This Row],[EndR]]</f>
        <v>LUK 12:48</v>
      </c>
      <c r="T160">
        <f>Table4[[#This Row],[Merged.Start]]</f>
        <v>40379</v>
      </c>
      <c r="U160">
        <f>Table4[[#This Row],[Merged.End]]</f>
        <v>40426</v>
      </c>
    </row>
    <row r="161" spans="1:21" x14ac:dyDescent="0.25">
      <c r="A161">
        <v>160</v>
      </c>
      <c r="B161">
        <v>5</v>
      </c>
      <c r="C161" t="s">
        <v>1659</v>
      </c>
      <c r="D161" t="s">
        <v>1660</v>
      </c>
      <c r="E161" t="s">
        <v>1661</v>
      </c>
      <c r="F161">
        <v>40427</v>
      </c>
      <c r="G161">
        <v>40505</v>
      </c>
      <c r="H161">
        <v>0</v>
      </c>
      <c r="K161">
        <f>IF(Table4[[#This Row],[NeedsAttention]]=1,Table4[[#This Row],[Start]],Table4[[#This Row],[StartN]])</f>
        <v>40427</v>
      </c>
      <c r="L161">
        <f>IF(Table4[[#This Row],[NeedsAttention]]=1,Table4[[#This Row],[End]],Table4[[#This Row],[EndN]])</f>
        <v>40505</v>
      </c>
      <c r="M161" t="b">
        <f>Table4[[#This Row],[Merged.Start]]=L160+1</f>
        <v>1</v>
      </c>
      <c r="O161">
        <f>Table4[[#This Row],[Section]]</f>
        <v>160</v>
      </c>
      <c r="P161">
        <f>Table4[[#This Row],[Canon]]</f>
        <v>5</v>
      </c>
      <c r="Q161" s="1" t="str">
        <f>Table4[[#This Row],[Reference]]</f>
        <v>12.49-53</v>
      </c>
      <c r="R161" t="str">
        <f>Table4[[#This Row],[StartR]]</f>
        <v>LUK 12:49</v>
      </c>
      <c r="S161" t="str">
        <f>Table4[[#This Row],[EndR]]</f>
        <v>LUK 12:53</v>
      </c>
      <c r="T161">
        <f>Table4[[#This Row],[Merged.Start]]</f>
        <v>40427</v>
      </c>
      <c r="U161">
        <f>Table4[[#This Row],[Merged.End]]</f>
        <v>40505</v>
      </c>
    </row>
    <row r="162" spans="1:21" x14ac:dyDescent="0.25">
      <c r="A162">
        <v>161</v>
      </c>
      <c r="B162">
        <v>5</v>
      </c>
      <c r="C162" t="s">
        <v>1662</v>
      </c>
      <c r="D162" t="s">
        <v>1663</v>
      </c>
      <c r="E162" t="s">
        <v>2530</v>
      </c>
      <c r="F162">
        <v>40506</v>
      </c>
      <c r="G162">
        <v>40561</v>
      </c>
      <c r="H162">
        <v>0</v>
      </c>
      <c r="K162">
        <f>IF(Table4[[#This Row],[NeedsAttention]]=1,Table4[[#This Row],[Start]],Table4[[#This Row],[StartN]])</f>
        <v>40506</v>
      </c>
      <c r="L162">
        <f>IF(Table4[[#This Row],[NeedsAttention]]=1,Table4[[#This Row],[End]],Table4[[#This Row],[EndN]])</f>
        <v>40561</v>
      </c>
      <c r="M162" t="b">
        <f>Table4[[#This Row],[Merged.Start]]=L161+1</f>
        <v>1</v>
      </c>
      <c r="O162">
        <f>Table4[[#This Row],[Section]]</f>
        <v>161</v>
      </c>
      <c r="P162">
        <f>Table4[[#This Row],[Canon]]</f>
        <v>5</v>
      </c>
      <c r="Q162" s="1" t="str">
        <f>Table4[[#This Row],[Reference]]</f>
        <v>12.54-56</v>
      </c>
      <c r="R162" t="str">
        <f>Table4[[#This Row],[StartR]]</f>
        <v>LUK 12:54</v>
      </c>
      <c r="S162" t="str">
        <f>Table4[[#This Row],[EndR]]</f>
        <v>LUK 12:57</v>
      </c>
      <c r="T162">
        <f>Table4[[#This Row],[Merged.Start]]</f>
        <v>40506</v>
      </c>
      <c r="U162">
        <f>Table4[[#This Row],[Merged.End]]</f>
        <v>40561</v>
      </c>
    </row>
    <row r="163" spans="1:21" x14ac:dyDescent="0.25">
      <c r="A163">
        <v>162</v>
      </c>
      <c r="B163">
        <v>5</v>
      </c>
      <c r="C163" t="s">
        <v>1664</v>
      </c>
      <c r="D163" t="s">
        <v>1665</v>
      </c>
      <c r="E163" t="s">
        <v>1666</v>
      </c>
      <c r="F163">
        <v>40562</v>
      </c>
      <c r="G163">
        <v>40610</v>
      </c>
      <c r="H163">
        <v>0</v>
      </c>
      <c r="K163">
        <f>IF(Table4[[#This Row],[NeedsAttention]]=1,Table4[[#This Row],[Start]],Table4[[#This Row],[StartN]])</f>
        <v>40562</v>
      </c>
      <c r="L163">
        <f>IF(Table4[[#This Row],[NeedsAttention]]=1,Table4[[#This Row],[End]],Table4[[#This Row],[EndN]])</f>
        <v>40610</v>
      </c>
      <c r="M163" t="b">
        <f>Table4[[#This Row],[Merged.Start]]=L162+1</f>
        <v>1</v>
      </c>
      <c r="O163">
        <f>Table4[[#This Row],[Section]]</f>
        <v>162</v>
      </c>
      <c r="P163">
        <f>Table4[[#This Row],[Canon]]</f>
        <v>5</v>
      </c>
      <c r="Q163" s="1" t="str">
        <f>Table4[[#This Row],[Reference]]</f>
        <v>12.58-59</v>
      </c>
      <c r="R163" t="str">
        <f>Table4[[#This Row],[StartR]]</f>
        <v>LUK 12:58</v>
      </c>
      <c r="S163" t="str">
        <f>Table4[[#This Row],[EndR]]</f>
        <v>LUK 12:59</v>
      </c>
      <c r="T163">
        <f>Table4[[#This Row],[Merged.Start]]</f>
        <v>40562</v>
      </c>
      <c r="U163">
        <f>Table4[[#This Row],[Merged.End]]</f>
        <v>40610</v>
      </c>
    </row>
    <row r="164" spans="1:21" x14ac:dyDescent="0.25">
      <c r="A164">
        <v>163</v>
      </c>
      <c r="B164">
        <v>10</v>
      </c>
      <c r="C164" t="s">
        <v>1667</v>
      </c>
      <c r="D164" t="s">
        <v>1668</v>
      </c>
      <c r="E164" t="s">
        <v>1669</v>
      </c>
      <c r="F164">
        <v>40611</v>
      </c>
      <c r="G164">
        <v>40696</v>
      </c>
      <c r="H164">
        <v>0</v>
      </c>
      <c r="K164">
        <f>IF(Table4[[#This Row],[NeedsAttention]]=1,Table4[[#This Row],[Start]],Table4[[#This Row],[StartN]])</f>
        <v>40611</v>
      </c>
      <c r="L164">
        <f>IF(Table4[[#This Row],[NeedsAttention]]=1,Table4[[#This Row],[End]],Table4[[#This Row],[EndN]])</f>
        <v>40696</v>
      </c>
      <c r="M164" t="b">
        <f>Table4[[#This Row],[Merged.Start]]=L163+1</f>
        <v>1</v>
      </c>
      <c r="O164">
        <f>Table4[[#This Row],[Section]]</f>
        <v>163</v>
      </c>
      <c r="P164">
        <f>Table4[[#This Row],[Canon]]</f>
        <v>10</v>
      </c>
      <c r="Q164" s="1" t="str">
        <f>Table4[[#This Row],[Reference]]</f>
        <v>13.1-5</v>
      </c>
      <c r="R164" t="str">
        <f>Table4[[#This Row],[StartR]]</f>
        <v>LUK 13:1</v>
      </c>
      <c r="S164" t="str">
        <f>Table4[[#This Row],[EndR]]</f>
        <v>LUK 13:5</v>
      </c>
      <c r="T164">
        <f>Table4[[#This Row],[Merged.Start]]</f>
        <v>40611</v>
      </c>
      <c r="U164">
        <f>Table4[[#This Row],[Merged.End]]</f>
        <v>40696</v>
      </c>
    </row>
    <row r="165" spans="1:21" x14ac:dyDescent="0.25">
      <c r="A165">
        <v>164</v>
      </c>
      <c r="B165">
        <v>10</v>
      </c>
      <c r="C165" t="s">
        <v>1670</v>
      </c>
      <c r="D165" t="s">
        <v>1671</v>
      </c>
      <c r="E165" t="s">
        <v>1672</v>
      </c>
      <c r="F165">
        <v>40697</v>
      </c>
      <c r="G165">
        <v>40831</v>
      </c>
      <c r="H165">
        <v>0</v>
      </c>
      <c r="K165">
        <f>IF(Table4[[#This Row],[NeedsAttention]]=1,Table4[[#This Row],[Start]],Table4[[#This Row],[StartN]])</f>
        <v>40697</v>
      </c>
      <c r="L165">
        <f>IF(Table4[[#This Row],[NeedsAttention]]=1,Table4[[#This Row],[End]],Table4[[#This Row],[EndN]])</f>
        <v>40831</v>
      </c>
      <c r="M165" t="b">
        <f>Table4[[#This Row],[Merged.Start]]=L164+1</f>
        <v>1</v>
      </c>
      <c r="O165">
        <f>Table4[[#This Row],[Section]]</f>
        <v>164</v>
      </c>
      <c r="P165">
        <f>Table4[[#This Row],[Canon]]</f>
        <v>10</v>
      </c>
      <c r="Q165" s="1" t="str">
        <f>Table4[[#This Row],[Reference]]</f>
        <v>13.6-13</v>
      </c>
      <c r="R165" t="str">
        <f>Table4[[#This Row],[StartR]]</f>
        <v>LUK 13:6</v>
      </c>
      <c r="S165" t="str">
        <f>Table4[[#This Row],[EndR]]</f>
        <v>LUK 13:13</v>
      </c>
      <c r="T165">
        <f>Table4[[#This Row],[Merged.Start]]</f>
        <v>40697</v>
      </c>
      <c r="U165">
        <f>Table4[[#This Row],[Merged.End]]</f>
        <v>40831</v>
      </c>
    </row>
    <row r="166" spans="1:21" x14ac:dyDescent="0.25">
      <c r="A166">
        <v>165</v>
      </c>
      <c r="B166">
        <v>2</v>
      </c>
      <c r="C166" t="s">
        <v>1673</v>
      </c>
      <c r="D166" t="s">
        <v>1674</v>
      </c>
      <c r="E166" t="s">
        <v>1675</v>
      </c>
      <c r="F166">
        <v>40832</v>
      </c>
      <c r="G166">
        <v>40915</v>
      </c>
      <c r="H166">
        <v>0</v>
      </c>
      <c r="K166">
        <f>IF(Table4[[#This Row],[NeedsAttention]]=1,Table4[[#This Row],[Start]],Table4[[#This Row],[StartN]])</f>
        <v>40832</v>
      </c>
      <c r="L166">
        <f>IF(Table4[[#This Row],[NeedsAttention]]=1,Table4[[#This Row],[End]],Table4[[#This Row],[EndN]])</f>
        <v>40915</v>
      </c>
      <c r="M166" t="b">
        <f>Table4[[#This Row],[Merged.Start]]=L165+1</f>
        <v>1</v>
      </c>
      <c r="O166">
        <f>Table4[[#This Row],[Section]]</f>
        <v>165</v>
      </c>
      <c r="P166">
        <f>Table4[[#This Row],[Canon]]</f>
        <v>2</v>
      </c>
      <c r="Q166" s="1" t="str">
        <f>Table4[[#This Row],[Reference]]</f>
        <v>13.14-16</v>
      </c>
      <c r="R166" t="str">
        <f>Table4[[#This Row],[StartR]]</f>
        <v>LUK 13:14</v>
      </c>
      <c r="S166" t="str">
        <f>Table4[[#This Row],[EndR]]</f>
        <v>LUK 13:16</v>
      </c>
      <c r="T166">
        <f>Table4[[#This Row],[Merged.Start]]</f>
        <v>40832</v>
      </c>
      <c r="U166">
        <f>Table4[[#This Row],[Merged.End]]</f>
        <v>40915</v>
      </c>
    </row>
    <row r="167" spans="1:21" x14ac:dyDescent="0.25">
      <c r="A167">
        <v>166</v>
      </c>
      <c r="B167">
        <v>10</v>
      </c>
      <c r="C167">
        <v>13.17</v>
      </c>
      <c r="D167" t="s">
        <v>1676</v>
      </c>
      <c r="E167" t="s">
        <v>1676</v>
      </c>
      <c r="F167">
        <v>40916</v>
      </c>
      <c r="G167">
        <v>40937</v>
      </c>
      <c r="H167">
        <v>0</v>
      </c>
      <c r="K167">
        <f>IF(Table4[[#This Row],[NeedsAttention]]=1,Table4[[#This Row],[Start]],Table4[[#This Row],[StartN]])</f>
        <v>40916</v>
      </c>
      <c r="L167">
        <f>IF(Table4[[#This Row],[NeedsAttention]]=1,Table4[[#This Row],[End]],Table4[[#This Row],[EndN]])</f>
        <v>40937</v>
      </c>
      <c r="M167" t="b">
        <f>Table4[[#This Row],[Merged.Start]]=L166+1</f>
        <v>1</v>
      </c>
      <c r="O167">
        <f>Table4[[#This Row],[Section]]</f>
        <v>166</v>
      </c>
      <c r="P167">
        <f>Table4[[#This Row],[Canon]]</f>
        <v>10</v>
      </c>
      <c r="Q167" s="1">
        <f>Table4[[#This Row],[Reference]]</f>
        <v>13.17</v>
      </c>
      <c r="R167" t="str">
        <f>Table4[[#This Row],[StartR]]</f>
        <v>LUK 13:17</v>
      </c>
      <c r="S167" t="str">
        <f>Table4[[#This Row],[EndR]]</f>
        <v>LUK 13:17</v>
      </c>
      <c r="T167">
        <f>Table4[[#This Row],[Merged.Start]]</f>
        <v>40916</v>
      </c>
      <c r="U167">
        <f>Table4[[#This Row],[Merged.End]]</f>
        <v>40937</v>
      </c>
    </row>
    <row r="168" spans="1:21" x14ac:dyDescent="0.25">
      <c r="A168">
        <v>167</v>
      </c>
      <c r="B168">
        <v>2</v>
      </c>
      <c r="C168" t="s">
        <v>1677</v>
      </c>
      <c r="D168" t="s">
        <v>1678</v>
      </c>
      <c r="E168" t="s">
        <v>1679</v>
      </c>
      <c r="F168">
        <v>40938</v>
      </c>
      <c r="G168">
        <v>40977</v>
      </c>
      <c r="H168">
        <v>0</v>
      </c>
      <c r="K168">
        <f>IF(Table4[[#This Row],[NeedsAttention]]=1,Table4[[#This Row],[Start]],Table4[[#This Row],[StartN]])</f>
        <v>40938</v>
      </c>
      <c r="L168">
        <f>IF(Table4[[#This Row],[NeedsAttention]]=1,Table4[[#This Row],[End]],Table4[[#This Row],[EndN]])</f>
        <v>40977</v>
      </c>
      <c r="M168" t="b">
        <f>Table4[[#This Row],[Merged.Start]]=L167+1</f>
        <v>1</v>
      </c>
      <c r="O168">
        <f>Table4[[#This Row],[Section]]</f>
        <v>167</v>
      </c>
      <c r="P168">
        <f>Table4[[#This Row],[Canon]]</f>
        <v>2</v>
      </c>
      <c r="Q168" s="1" t="str">
        <f>Table4[[#This Row],[Reference]]</f>
        <v>13.18-19</v>
      </c>
      <c r="R168" t="str">
        <f>Table4[[#This Row],[StartR]]</f>
        <v>LUK 13:18</v>
      </c>
      <c r="S168" t="str">
        <f>Table4[[#This Row],[EndR]]</f>
        <v>LUK 13:19</v>
      </c>
      <c r="T168">
        <f>Table4[[#This Row],[Merged.Start]]</f>
        <v>40938</v>
      </c>
      <c r="U168">
        <f>Table4[[#This Row],[Merged.End]]</f>
        <v>40977</v>
      </c>
    </row>
    <row r="169" spans="1:21" x14ac:dyDescent="0.25">
      <c r="A169">
        <v>168</v>
      </c>
      <c r="B169">
        <v>5</v>
      </c>
      <c r="C169" t="s">
        <v>1680</v>
      </c>
      <c r="D169" t="s">
        <v>1681</v>
      </c>
      <c r="E169" t="s">
        <v>1682</v>
      </c>
      <c r="F169">
        <v>40978</v>
      </c>
      <c r="G169">
        <v>41001</v>
      </c>
      <c r="H169">
        <v>0</v>
      </c>
      <c r="K169">
        <f>IF(Table4[[#This Row],[NeedsAttention]]=1,Table4[[#This Row],[Start]],Table4[[#This Row],[StartN]])</f>
        <v>40978</v>
      </c>
      <c r="L169">
        <f>IF(Table4[[#This Row],[NeedsAttention]]=1,Table4[[#This Row],[End]],Table4[[#This Row],[EndN]])</f>
        <v>41001</v>
      </c>
      <c r="M169" t="b">
        <f>Table4[[#This Row],[Merged.Start]]=L168+1</f>
        <v>1</v>
      </c>
      <c r="O169">
        <f>Table4[[#This Row],[Section]]</f>
        <v>168</v>
      </c>
      <c r="P169">
        <f>Table4[[#This Row],[Canon]]</f>
        <v>5</v>
      </c>
      <c r="Q169" s="1" t="str">
        <f>Table4[[#This Row],[Reference]]</f>
        <v>13.20-21</v>
      </c>
      <c r="R169" t="str">
        <f>Table4[[#This Row],[StartR]]</f>
        <v>LUK 13:20</v>
      </c>
      <c r="S169" t="str">
        <f>Table4[[#This Row],[EndR]]</f>
        <v>LUK 13:21</v>
      </c>
      <c r="T169">
        <f>Table4[[#This Row],[Merged.Start]]</f>
        <v>40978</v>
      </c>
      <c r="U169">
        <f>Table4[[#This Row],[Merged.End]]</f>
        <v>41001</v>
      </c>
    </row>
    <row r="170" spans="1:21" x14ac:dyDescent="0.25">
      <c r="A170">
        <v>169</v>
      </c>
      <c r="B170">
        <v>2</v>
      </c>
      <c r="C170">
        <v>13.22</v>
      </c>
      <c r="D170" t="s">
        <v>1683</v>
      </c>
      <c r="E170" t="s">
        <v>1683</v>
      </c>
      <c r="F170">
        <v>41002</v>
      </c>
      <c r="G170">
        <v>41013</v>
      </c>
      <c r="H170">
        <v>0</v>
      </c>
      <c r="K170">
        <f>IF(Table4[[#This Row],[NeedsAttention]]=1,Table4[[#This Row],[Start]],Table4[[#This Row],[StartN]])</f>
        <v>41002</v>
      </c>
      <c r="L170">
        <f>IF(Table4[[#This Row],[NeedsAttention]]=1,Table4[[#This Row],[End]],Table4[[#This Row],[EndN]])</f>
        <v>41013</v>
      </c>
      <c r="M170" t="b">
        <f>Table4[[#This Row],[Merged.Start]]=L169+1</f>
        <v>1</v>
      </c>
      <c r="O170">
        <f>Table4[[#This Row],[Section]]</f>
        <v>169</v>
      </c>
      <c r="P170">
        <f>Table4[[#This Row],[Canon]]</f>
        <v>2</v>
      </c>
      <c r="Q170" s="1">
        <f>Table4[[#This Row],[Reference]]</f>
        <v>13.22</v>
      </c>
      <c r="R170" t="str">
        <f>Table4[[#This Row],[StartR]]</f>
        <v>LUK 13:22</v>
      </c>
      <c r="S170" t="str">
        <f>Table4[[#This Row],[EndR]]</f>
        <v>LUK 13:22</v>
      </c>
      <c r="T170">
        <f>Table4[[#This Row],[Merged.Start]]</f>
        <v>41002</v>
      </c>
      <c r="U170">
        <f>Table4[[#This Row],[Merged.End]]</f>
        <v>41013</v>
      </c>
    </row>
    <row r="171" spans="1:21" x14ac:dyDescent="0.25">
      <c r="A171">
        <v>170</v>
      </c>
      <c r="B171">
        <v>5</v>
      </c>
      <c r="C171" t="s">
        <v>1684</v>
      </c>
      <c r="D171" t="s">
        <v>1685</v>
      </c>
      <c r="E171" t="s">
        <v>1686</v>
      </c>
      <c r="F171">
        <v>41014</v>
      </c>
      <c r="G171">
        <v>41042</v>
      </c>
      <c r="H171">
        <v>0</v>
      </c>
      <c r="K171">
        <f>IF(Table4[[#This Row],[NeedsAttention]]=1,Table4[[#This Row],[Start]],Table4[[#This Row],[StartN]])</f>
        <v>41014</v>
      </c>
      <c r="L171">
        <f>IF(Table4[[#This Row],[NeedsAttention]]=1,Table4[[#This Row],[End]],Table4[[#This Row],[EndN]])</f>
        <v>41042</v>
      </c>
      <c r="M171" t="b">
        <f>Table4[[#This Row],[Merged.Start]]=L170+1</f>
        <v>1</v>
      </c>
      <c r="O171">
        <f>Table4[[#This Row],[Section]]</f>
        <v>170</v>
      </c>
      <c r="P171">
        <f>Table4[[#This Row],[Canon]]</f>
        <v>5</v>
      </c>
      <c r="Q171" s="1" t="str">
        <f>Table4[[#This Row],[Reference]]</f>
        <v>13.23-24</v>
      </c>
      <c r="R171" t="str">
        <f>Table4[[#This Row],[StartR]]</f>
        <v>LUK 13:23</v>
      </c>
      <c r="S171" t="str">
        <f>Table4[[#This Row],[EndR]]</f>
        <v>LUK 13:24</v>
      </c>
      <c r="T171">
        <f>Table4[[#This Row],[Merged.Start]]</f>
        <v>41014</v>
      </c>
      <c r="U171">
        <f>Table4[[#This Row],[Merged.End]]</f>
        <v>41042</v>
      </c>
    </row>
    <row r="172" spans="1:21" x14ac:dyDescent="0.25">
      <c r="A172">
        <v>171</v>
      </c>
      <c r="B172">
        <v>5</v>
      </c>
      <c r="C172" t="s">
        <v>1687</v>
      </c>
      <c r="D172" t="s">
        <v>1688</v>
      </c>
      <c r="E172" t="s">
        <v>1689</v>
      </c>
      <c r="F172">
        <v>41043</v>
      </c>
      <c r="G172">
        <v>41130</v>
      </c>
      <c r="H172">
        <v>1</v>
      </c>
      <c r="I172">
        <v>41043</v>
      </c>
      <c r="J172">
        <v>41110</v>
      </c>
      <c r="K172">
        <f>IF(Table4[[#This Row],[NeedsAttention]]=1,Table4[[#This Row],[Start]],Table4[[#This Row],[StartN]])</f>
        <v>41043</v>
      </c>
      <c r="L172">
        <f>IF(Table4[[#This Row],[NeedsAttention]]=1,Table4[[#This Row],[End]],Table4[[#This Row],[EndN]])</f>
        <v>41110</v>
      </c>
      <c r="M172" t="b">
        <f>Table4[[#This Row],[Merged.Start]]=L171+1</f>
        <v>1</v>
      </c>
      <c r="O172">
        <f>Table4[[#This Row],[Section]]</f>
        <v>171</v>
      </c>
      <c r="P172">
        <f>Table4[[#This Row],[Canon]]</f>
        <v>5</v>
      </c>
      <c r="Q172" s="1" t="str">
        <f>Table4[[#This Row],[Reference]]</f>
        <v>13.25-28A</v>
      </c>
      <c r="R172" t="str">
        <f>Table4[[#This Row],[StartR]]</f>
        <v>LUK 13:25</v>
      </c>
      <c r="S172" t="str">
        <f>Table4[[#This Row],[EndR]]</f>
        <v>LUK 13:28</v>
      </c>
      <c r="T172">
        <f>Table4[[#This Row],[Merged.Start]]</f>
        <v>41043</v>
      </c>
      <c r="U172">
        <f>Table4[[#This Row],[Merged.End]]</f>
        <v>41110</v>
      </c>
    </row>
    <row r="173" spans="1:21" x14ac:dyDescent="0.25">
      <c r="A173">
        <v>172</v>
      </c>
      <c r="B173">
        <v>5</v>
      </c>
      <c r="C173" t="s">
        <v>1690</v>
      </c>
      <c r="D173" t="s">
        <v>1689</v>
      </c>
      <c r="E173" t="s">
        <v>1691</v>
      </c>
      <c r="F173">
        <v>41102</v>
      </c>
      <c r="G173">
        <v>41148</v>
      </c>
      <c r="H173">
        <v>1</v>
      </c>
      <c r="I173">
        <v>41111</v>
      </c>
      <c r="J173">
        <v>41148</v>
      </c>
      <c r="K173">
        <f>IF(Table4[[#This Row],[NeedsAttention]]=1,Table4[[#This Row],[Start]],Table4[[#This Row],[StartN]])</f>
        <v>41111</v>
      </c>
      <c r="L173">
        <f>IF(Table4[[#This Row],[NeedsAttention]]=1,Table4[[#This Row],[End]],Table4[[#This Row],[EndN]])</f>
        <v>41148</v>
      </c>
      <c r="M173" t="b">
        <f>Table4[[#This Row],[Merged.Start]]=L172+1</f>
        <v>1</v>
      </c>
      <c r="O173">
        <f>Table4[[#This Row],[Section]]</f>
        <v>172</v>
      </c>
      <c r="P173">
        <f>Table4[[#This Row],[Canon]]</f>
        <v>5</v>
      </c>
      <c r="Q173" s="1" t="str">
        <f>Table4[[#This Row],[Reference]]</f>
        <v>13.28B-29</v>
      </c>
      <c r="R173" t="str">
        <f>Table4[[#This Row],[StartR]]</f>
        <v>LUK 13:28</v>
      </c>
      <c r="S173" t="str">
        <f>Table4[[#This Row],[EndR]]</f>
        <v>LUK 13:29</v>
      </c>
      <c r="T173">
        <f>Table4[[#This Row],[Merged.Start]]</f>
        <v>41111</v>
      </c>
      <c r="U173">
        <f>Table4[[#This Row],[Merged.End]]</f>
        <v>41148</v>
      </c>
    </row>
    <row r="174" spans="1:21" x14ac:dyDescent="0.25">
      <c r="A174">
        <v>173</v>
      </c>
      <c r="B174">
        <v>2</v>
      </c>
      <c r="C174">
        <v>13.3</v>
      </c>
      <c r="D174" t="s">
        <v>2531</v>
      </c>
      <c r="E174" t="s">
        <v>2531</v>
      </c>
      <c r="F174">
        <v>41149</v>
      </c>
      <c r="G174">
        <v>41161</v>
      </c>
      <c r="H174">
        <v>0</v>
      </c>
      <c r="K174">
        <f>IF(Table4[[#This Row],[NeedsAttention]]=1,Table4[[#This Row],[Start]],Table4[[#This Row],[StartN]])</f>
        <v>41149</v>
      </c>
      <c r="L174">
        <f>IF(Table4[[#This Row],[NeedsAttention]]=1,Table4[[#This Row],[End]],Table4[[#This Row],[EndN]])</f>
        <v>41161</v>
      </c>
      <c r="M174" t="b">
        <f>Table4[[#This Row],[Merged.Start]]=L173+1</f>
        <v>1</v>
      </c>
      <c r="O174">
        <f>Table4[[#This Row],[Section]]</f>
        <v>173</v>
      </c>
      <c r="P174">
        <f>Table4[[#This Row],[Canon]]</f>
        <v>2</v>
      </c>
      <c r="Q174" s="1">
        <f>Table4[[#This Row],[Reference]]</f>
        <v>13.3</v>
      </c>
      <c r="R174" t="str">
        <f>Table4[[#This Row],[StartR]]</f>
        <v>LUK 13:30</v>
      </c>
      <c r="S174" t="str">
        <f>Table4[[#This Row],[EndR]]</f>
        <v>LUK 13:30</v>
      </c>
      <c r="T174">
        <f>Table4[[#This Row],[Merged.Start]]</f>
        <v>41149</v>
      </c>
      <c r="U174">
        <f>Table4[[#This Row],[Merged.End]]</f>
        <v>41161</v>
      </c>
    </row>
    <row r="175" spans="1:21" x14ac:dyDescent="0.25">
      <c r="A175">
        <v>174</v>
      </c>
      <c r="B175">
        <v>10</v>
      </c>
      <c r="C175" t="s">
        <v>1692</v>
      </c>
      <c r="D175" t="s">
        <v>1693</v>
      </c>
      <c r="E175" t="s">
        <v>1694</v>
      </c>
      <c r="F175">
        <v>41162</v>
      </c>
      <c r="G175">
        <v>41217</v>
      </c>
      <c r="H175">
        <v>0</v>
      </c>
      <c r="K175">
        <f>IF(Table4[[#This Row],[NeedsAttention]]=1,Table4[[#This Row],[Start]],Table4[[#This Row],[StartN]])</f>
        <v>41162</v>
      </c>
      <c r="L175">
        <f>IF(Table4[[#This Row],[NeedsAttention]]=1,Table4[[#This Row],[End]],Table4[[#This Row],[EndN]])</f>
        <v>41217</v>
      </c>
      <c r="M175" t="b">
        <f>Table4[[#This Row],[Merged.Start]]=L174+1</f>
        <v>1</v>
      </c>
      <c r="O175">
        <f>Table4[[#This Row],[Section]]</f>
        <v>174</v>
      </c>
      <c r="P175">
        <f>Table4[[#This Row],[Canon]]</f>
        <v>10</v>
      </c>
      <c r="Q175" s="1" t="str">
        <f>Table4[[#This Row],[Reference]]</f>
        <v>13.31-33</v>
      </c>
      <c r="R175" t="str">
        <f>Table4[[#This Row],[StartR]]</f>
        <v>LUK 13:31</v>
      </c>
      <c r="S175" t="str">
        <f>Table4[[#This Row],[EndR]]</f>
        <v>LUK 13:33</v>
      </c>
      <c r="T175">
        <f>Table4[[#This Row],[Merged.Start]]</f>
        <v>41162</v>
      </c>
      <c r="U175">
        <f>Table4[[#This Row],[Merged.End]]</f>
        <v>41217</v>
      </c>
    </row>
    <row r="176" spans="1:21" x14ac:dyDescent="0.25">
      <c r="A176">
        <v>175</v>
      </c>
      <c r="B176">
        <v>5</v>
      </c>
      <c r="C176" t="s">
        <v>319</v>
      </c>
      <c r="D176" t="s">
        <v>1695</v>
      </c>
      <c r="E176" t="s">
        <v>1696</v>
      </c>
      <c r="F176">
        <v>41218</v>
      </c>
      <c r="G176">
        <v>41270</v>
      </c>
      <c r="H176">
        <v>0</v>
      </c>
      <c r="K176">
        <f>IF(Table4[[#This Row],[NeedsAttention]]=1,Table4[[#This Row],[Start]],Table4[[#This Row],[StartN]])</f>
        <v>41218</v>
      </c>
      <c r="L176">
        <f>IF(Table4[[#This Row],[NeedsAttention]]=1,Table4[[#This Row],[End]],Table4[[#This Row],[EndN]])</f>
        <v>41270</v>
      </c>
      <c r="M176" t="b">
        <f>Table4[[#This Row],[Merged.Start]]=L175+1</f>
        <v>1</v>
      </c>
      <c r="O176">
        <f>Table4[[#This Row],[Section]]</f>
        <v>175</v>
      </c>
      <c r="P176">
        <f>Table4[[#This Row],[Canon]]</f>
        <v>5</v>
      </c>
      <c r="Q176" s="1" t="str">
        <f>Table4[[#This Row],[Reference]]</f>
        <v>13.34-35</v>
      </c>
      <c r="R176" t="str">
        <f>Table4[[#This Row],[StartR]]</f>
        <v>LUK 13:34</v>
      </c>
      <c r="S176" t="str">
        <f>Table4[[#This Row],[EndR]]</f>
        <v>LUK 13:35</v>
      </c>
      <c r="T176">
        <f>Table4[[#This Row],[Merged.Start]]</f>
        <v>41218</v>
      </c>
      <c r="U176">
        <f>Table4[[#This Row],[Merged.End]]</f>
        <v>41270</v>
      </c>
    </row>
    <row r="177" spans="1:21" x14ac:dyDescent="0.25">
      <c r="A177">
        <v>176</v>
      </c>
      <c r="B177">
        <v>10</v>
      </c>
      <c r="C177" t="s">
        <v>1697</v>
      </c>
      <c r="D177" t="s">
        <v>1698</v>
      </c>
      <c r="E177" t="s">
        <v>1699</v>
      </c>
      <c r="F177">
        <v>41271</v>
      </c>
      <c r="G177">
        <v>41325</v>
      </c>
      <c r="H177">
        <v>0</v>
      </c>
      <c r="K177">
        <f>IF(Table4[[#This Row],[NeedsAttention]]=1,Table4[[#This Row],[Start]],Table4[[#This Row],[StartN]])</f>
        <v>41271</v>
      </c>
      <c r="L177">
        <f>IF(Table4[[#This Row],[NeedsAttention]]=1,Table4[[#This Row],[End]],Table4[[#This Row],[EndN]])</f>
        <v>41325</v>
      </c>
      <c r="M177" t="b">
        <f>Table4[[#This Row],[Merged.Start]]=L176+1</f>
        <v>1</v>
      </c>
      <c r="O177">
        <f>Table4[[#This Row],[Section]]</f>
        <v>176</v>
      </c>
      <c r="P177">
        <f>Table4[[#This Row],[Canon]]</f>
        <v>10</v>
      </c>
      <c r="Q177" s="1" t="str">
        <f>Table4[[#This Row],[Reference]]</f>
        <v>14.1-4</v>
      </c>
      <c r="R177" t="str">
        <f>Table4[[#This Row],[StartR]]</f>
        <v>LUK 14:1</v>
      </c>
      <c r="S177" t="str">
        <f>Table4[[#This Row],[EndR]]</f>
        <v>LUK 14:4</v>
      </c>
      <c r="T177">
        <f>Table4[[#This Row],[Merged.Start]]</f>
        <v>41271</v>
      </c>
      <c r="U177">
        <f>Table4[[#This Row],[Merged.End]]</f>
        <v>41325</v>
      </c>
    </row>
    <row r="178" spans="1:21" x14ac:dyDescent="0.25">
      <c r="A178">
        <v>177</v>
      </c>
      <c r="B178">
        <v>2</v>
      </c>
      <c r="C178" t="s">
        <v>1700</v>
      </c>
      <c r="D178" t="s">
        <v>1701</v>
      </c>
      <c r="E178" t="s">
        <v>1702</v>
      </c>
      <c r="F178">
        <v>41326</v>
      </c>
      <c r="G178">
        <v>41352</v>
      </c>
      <c r="H178">
        <v>0</v>
      </c>
      <c r="K178">
        <f>IF(Table4[[#This Row],[NeedsAttention]]=1,Table4[[#This Row],[Start]],Table4[[#This Row],[StartN]])</f>
        <v>41326</v>
      </c>
      <c r="L178">
        <f>IF(Table4[[#This Row],[NeedsAttention]]=1,Table4[[#This Row],[End]],Table4[[#This Row],[EndN]])</f>
        <v>41352</v>
      </c>
      <c r="M178" t="b">
        <f>Table4[[#This Row],[Merged.Start]]=L177+1</f>
        <v>1</v>
      </c>
      <c r="O178">
        <f>Table4[[#This Row],[Section]]</f>
        <v>177</v>
      </c>
      <c r="P178">
        <f>Table4[[#This Row],[Canon]]</f>
        <v>2</v>
      </c>
      <c r="Q178" s="1" t="str">
        <f>Table4[[#This Row],[Reference]]</f>
        <v>14.5-6</v>
      </c>
      <c r="R178" t="str">
        <f>Table4[[#This Row],[StartR]]</f>
        <v>LUK 14:5</v>
      </c>
      <c r="S178" t="str">
        <f>Table4[[#This Row],[EndR]]</f>
        <v>LUK 14:6</v>
      </c>
      <c r="T178">
        <f>Table4[[#This Row],[Merged.Start]]</f>
        <v>41326</v>
      </c>
      <c r="U178">
        <f>Table4[[#This Row],[Merged.End]]</f>
        <v>41352</v>
      </c>
    </row>
    <row r="179" spans="1:21" x14ac:dyDescent="0.25">
      <c r="A179">
        <v>178</v>
      </c>
      <c r="B179">
        <v>10</v>
      </c>
      <c r="C179" t="s">
        <v>1703</v>
      </c>
      <c r="D179" t="s">
        <v>1704</v>
      </c>
      <c r="E179" t="s">
        <v>1705</v>
      </c>
      <c r="F179">
        <v>41353</v>
      </c>
      <c r="G179">
        <v>41434</v>
      </c>
      <c r="H179">
        <v>0</v>
      </c>
      <c r="K179">
        <f>IF(Table4[[#This Row],[NeedsAttention]]=1,Table4[[#This Row],[Start]],Table4[[#This Row],[StartN]])</f>
        <v>41353</v>
      </c>
      <c r="L179">
        <f>IF(Table4[[#This Row],[NeedsAttention]]=1,Table4[[#This Row],[End]],Table4[[#This Row],[EndN]])</f>
        <v>41434</v>
      </c>
      <c r="M179" t="b">
        <f>Table4[[#This Row],[Merged.Start]]=L178+1</f>
        <v>1</v>
      </c>
      <c r="O179">
        <f>Table4[[#This Row],[Section]]</f>
        <v>178</v>
      </c>
      <c r="P179">
        <f>Table4[[#This Row],[Canon]]</f>
        <v>10</v>
      </c>
      <c r="Q179" s="1" t="str">
        <f>Table4[[#This Row],[Reference]]</f>
        <v>14.7-10</v>
      </c>
      <c r="R179" t="str">
        <f>Table4[[#This Row],[StartR]]</f>
        <v>LUK 14:7</v>
      </c>
      <c r="S179" t="str">
        <f>Table4[[#This Row],[EndR]]</f>
        <v>LUK 14:10</v>
      </c>
      <c r="T179">
        <f>Table4[[#This Row],[Merged.Start]]</f>
        <v>41353</v>
      </c>
      <c r="U179">
        <f>Table4[[#This Row],[Merged.End]]</f>
        <v>41434</v>
      </c>
    </row>
    <row r="180" spans="1:21" x14ac:dyDescent="0.25">
      <c r="A180">
        <v>179</v>
      </c>
      <c r="B180">
        <v>5</v>
      </c>
      <c r="C180">
        <v>14.11</v>
      </c>
      <c r="D180" t="s">
        <v>1706</v>
      </c>
      <c r="E180" t="s">
        <v>1706</v>
      </c>
      <c r="F180">
        <v>41435</v>
      </c>
      <c r="G180">
        <v>41445</v>
      </c>
      <c r="H180">
        <v>0</v>
      </c>
      <c r="K180">
        <f>IF(Table4[[#This Row],[NeedsAttention]]=1,Table4[[#This Row],[Start]],Table4[[#This Row],[StartN]])</f>
        <v>41435</v>
      </c>
      <c r="L180">
        <f>IF(Table4[[#This Row],[NeedsAttention]]=1,Table4[[#This Row],[End]],Table4[[#This Row],[EndN]])</f>
        <v>41445</v>
      </c>
      <c r="M180" t="b">
        <f>Table4[[#This Row],[Merged.Start]]=L179+1</f>
        <v>1</v>
      </c>
      <c r="O180">
        <f>Table4[[#This Row],[Section]]</f>
        <v>179</v>
      </c>
      <c r="P180">
        <f>Table4[[#This Row],[Canon]]</f>
        <v>5</v>
      </c>
      <c r="Q180" s="1">
        <f>Table4[[#This Row],[Reference]]</f>
        <v>14.11</v>
      </c>
      <c r="R180" t="str">
        <f>Table4[[#This Row],[StartR]]</f>
        <v>LUK 14:11</v>
      </c>
      <c r="S180" t="str">
        <f>Table4[[#This Row],[EndR]]</f>
        <v>LUK 14:11</v>
      </c>
      <c r="T180">
        <f>Table4[[#This Row],[Merged.Start]]</f>
        <v>41435</v>
      </c>
      <c r="U180">
        <f>Table4[[#This Row],[Merged.End]]</f>
        <v>41445</v>
      </c>
    </row>
    <row r="181" spans="1:21" x14ac:dyDescent="0.25">
      <c r="A181">
        <v>180</v>
      </c>
      <c r="B181">
        <v>10</v>
      </c>
      <c r="C181" t="s">
        <v>1707</v>
      </c>
      <c r="D181" t="s">
        <v>1708</v>
      </c>
      <c r="E181" t="s">
        <v>1709</v>
      </c>
      <c r="F181">
        <v>41446</v>
      </c>
      <c r="G181">
        <v>41523</v>
      </c>
      <c r="H181">
        <v>0</v>
      </c>
      <c r="K181">
        <f>IF(Table4[[#This Row],[NeedsAttention]]=1,Table4[[#This Row],[Start]],Table4[[#This Row],[StartN]])</f>
        <v>41446</v>
      </c>
      <c r="L181">
        <f>IF(Table4[[#This Row],[NeedsAttention]]=1,Table4[[#This Row],[End]],Table4[[#This Row],[EndN]])</f>
        <v>41523</v>
      </c>
      <c r="M181" t="b">
        <f>Table4[[#This Row],[Merged.Start]]=L180+1</f>
        <v>1</v>
      </c>
      <c r="O181">
        <f>Table4[[#This Row],[Section]]</f>
        <v>180</v>
      </c>
      <c r="P181">
        <f>Table4[[#This Row],[Canon]]</f>
        <v>10</v>
      </c>
      <c r="Q181" s="1" t="str">
        <f>Table4[[#This Row],[Reference]]</f>
        <v>14.12-15</v>
      </c>
      <c r="R181" t="str">
        <f>Table4[[#This Row],[StartR]]</f>
        <v>LUK 14:12</v>
      </c>
      <c r="S181" t="str">
        <f>Table4[[#This Row],[EndR]]</f>
        <v>LUK 14:15</v>
      </c>
      <c r="T181">
        <f>Table4[[#This Row],[Merged.Start]]</f>
        <v>41446</v>
      </c>
      <c r="U181">
        <f>Table4[[#This Row],[Merged.End]]</f>
        <v>41523</v>
      </c>
    </row>
    <row r="182" spans="1:21" x14ac:dyDescent="0.25">
      <c r="A182">
        <v>181</v>
      </c>
      <c r="B182">
        <v>5</v>
      </c>
      <c r="C182" t="s">
        <v>1710</v>
      </c>
      <c r="D182" t="s">
        <v>1711</v>
      </c>
      <c r="E182" t="s">
        <v>1712</v>
      </c>
      <c r="F182">
        <v>41524</v>
      </c>
      <c r="G182">
        <v>41686</v>
      </c>
      <c r="H182">
        <v>0</v>
      </c>
      <c r="K182">
        <f>IF(Table4[[#This Row],[NeedsAttention]]=1,Table4[[#This Row],[Start]],Table4[[#This Row],[StartN]])</f>
        <v>41524</v>
      </c>
      <c r="L182">
        <f>IF(Table4[[#This Row],[NeedsAttention]]=1,Table4[[#This Row],[End]],Table4[[#This Row],[EndN]])</f>
        <v>41686</v>
      </c>
      <c r="M182" t="b">
        <f>Table4[[#This Row],[Merged.Start]]=L181+1</f>
        <v>1</v>
      </c>
      <c r="O182">
        <f>Table4[[#This Row],[Section]]</f>
        <v>181</v>
      </c>
      <c r="P182">
        <f>Table4[[#This Row],[Canon]]</f>
        <v>5</v>
      </c>
      <c r="Q182" s="1" t="str">
        <f>Table4[[#This Row],[Reference]]</f>
        <v>14.16-24</v>
      </c>
      <c r="R182" t="str">
        <f>Table4[[#This Row],[StartR]]</f>
        <v>LUK 14:16</v>
      </c>
      <c r="S182" t="str">
        <f>Table4[[#This Row],[EndR]]</f>
        <v>LUK 14:24</v>
      </c>
      <c r="T182">
        <f>Table4[[#This Row],[Merged.Start]]</f>
        <v>41524</v>
      </c>
      <c r="U182">
        <f>Table4[[#This Row],[Merged.End]]</f>
        <v>41686</v>
      </c>
    </row>
    <row r="183" spans="1:21" x14ac:dyDescent="0.25">
      <c r="A183">
        <v>182</v>
      </c>
      <c r="B183">
        <v>5</v>
      </c>
      <c r="C183" t="s">
        <v>1713</v>
      </c>
      <c r="D183" t="s">
        <v>1714</v>
      </c>
      <c r="E183" t="s">
        <v>1715</v>
      </c>
      <c r="F183">
        <v>41687</v>
      </c>
      <c r="G183">
        <v>41748</v>
      </c>
      <c r="H183">
        <v>0</v>
      </c>
      <c r="K183">
        <f>IF(Table4[[#This Row],[NeedsAttention]]=1,Table4[[#This Row],[Start]],Table4[[#This Row],[StartN]])</f>
        <v>41687</v>
      </c>
      <c r="L183">
        <f>IF(Table4[[#This Row],[NeedsAttention]]=1,Table4[[#This Row],[End]],Table4[[#This Row],[EndN]])</f>
        <v>41748</v>
      </c>
      <c r="M183" t="b">
        <f>Table4[[#This Row],[Merged.Start]]=L182+1</f>
        <v>1</v>
      </c>
      <c r="O183">
        <f>Table4[[#This Row],[Section]]</f>
        <v>182</v>
      </c>
      <c r="P183">
        <f>Table4[[#This Row],[Canon]]</f>
        <v>5</v>
      </c>
      <c r="Q183" s="1" t="str">
        <f>Table4[[#This Row],[Reference]]</f>
        <v>14.25-27</v>
      </c>
      <c r="R183" t="str">
        <f>Table4[[#This Row],[StartR]]</f>
        <v>LUK 14:25</v>
      </c>
      <c r="S183" t="str">
        <f>Table4[[#This Row],[EndR]]</f>
        <v>LUK 14:27</v>
      </c>
      <c r="T183">
        <f>Table4[[#This Row],[Merged.Start]]</f>
        <v>41687</v>
      </c>
      <c r="U183">
        <f>Table4[[#This Row],[Merged.End]]</f>
        <v>41748</v>
      </c>
    </row>
    <row r="184" spans="1:21" x14ac:dyDescent="0.25">
      <c r="A184">
        <v>183</v>
      </c>
      <c r="B184">
        <v>10</v>
      </c>
      <c r="C184" t="s">
        <v>1716</v>
      </c>
      <c r="D184" t="s">
        <v>1717</v>
      </c>
      <c r="E184" t="s">
        <v>1718</v>
      </c>
      <c r="F184">
        <v>41749</v>
      </c>
      <c r="G184">
        <v>41831</v>
      </c>
      <c r="H184">
        <v>0</v>
      </c>
      <c r="K184">
        <f>IF(Table4[[#This Row],[NeedsAttention]]=1,Table4[[#This Row],[Start]],Table4[[#This Row],[StartN]])</f>
        <v>41749</v>
      </c>
      <c r="L184">
        <f>IF(Table4[[#This Row],[NeedsAttention]]=1,Table4[[#This Row],[End]],Table4[[#This Row],[EndN]])</f>
        <v>41831</v>
      </c>
      <c r="M184" t="b">
        <f>Table4[[#This Row],[Merged.Start]]=L183+1</f>
        <v>1</v>
      </c>
      <c r="O184">
        <f>Table4[[#This Row],[Section]]</f>
        <v>183</v>
      </c>
      <c r="P184">
        <f>Table4[[#This Row],[Canon]]</f>
        <v>10</v>
      </c>
      <c r="Q184" s="1" t="str">
        <f>Table4[[#This Row],[Reference]]</f>
        <v>14.28-32</v>
      </c>
      <c r="R184" t="str">
        <f>Table4[[#This Row],[StartR]]</f>
        <v>LUK 14:28</v>
      </c>
      <c r="S184" t="str">
        <f>Table4[[#This Row],[EndR]]</f>
        <v>LUK 14:32</v>
      </c>
      <c r="T184">
        <f>Table4[[#This Row],[Merged.Start]]</f>
        <v>41749</v>
      </c>
      <c r="U184">
        <f>Table4[[#This Row],[Merged.End]]</f>
        <v>41831</v>
      </c>
    </row>
    <row r="185" spans="1:21" x14ac:dyDescent="0.25">
      <c r="A185">
        <v>184</v>
      </c>
      <c r="B185">
        <v>5</v>
      </c>
      <c r="C185">
        <v>14.33</v>
      </c>
      <c r="D185" t="s">
        <v>1719</v>
      </c>
      <c r="E185" t="s">
        <v>1719</v>
      </c>
      <c r="F185">
        <v>41832</v>
      </c>
      <c r="G185">
        <v>41848</v>
      </c>
      <c r="H185">
        <v>0</v>
      </c>
      <c r="K185">
        <f>IF(Table4[[#This Row],[NeedsAttention]]=1,Table4[[#This Row],[Start]],Table4[[#This Row],[StartN]])</f>
        <v>41832</v>
      </c>
      <c r="L185">
        <f>IF(Table4[[#This Row],[NeedsAttention]]=1,Table4[[#This Row],[End]],Table4[[#This Row],[EndN]])</f>
        <v>41848</v>
      </c>
      <c r="M185" t="b">
        <f>Table4[[#This Row],[Merged.Start]]=L184+1</f>
        <v>1</v>
      </c>
      <c r="O185">
        <f>Table4[[#This Row],[Section]]</f>
        <v>184</v>
      </c>
      <c r="P185">
        <f>Table4[[#This Row],[Canon]]</f>
        <v>5</v>
      </c>
      <c r="Q185" s="1">
        <f>Table4[[#This Row],[Reference]]</f>
        <v>14.33</v>
      </c>
      <c r="R185" t="str">
        <f>Table4[[#This Row],[StartR]]</f>
        <v>LUK 14:33</v>
      </c>
      <c r="S185" t="str">
        <f>Table4[[#This Row],[EndR]]</f>
        <v>LUK 14:33</v>
      </c>
      <c r="T185">
        <f>Table4[[#This Row],[Merged.Start]]</f>
        <v>41832</v>
      </c>
      <c r="U185">
        <f>Table4[[#This Row],[Merged.End]]</f>
        <v>41848</v>
      </c>
    </row>
    <row r="186" spans="1:21" x14ac:dyDescent="0.25">
      <c r="A186">
        <v>185</v>
      </c>
      <c r="B186">
        <v>2</v>
      </c>
      <c r="C186">
        <v>14.34</v>
      </c>
      <c r="D186" t="s">
        <v>1720</v>
      </c>
      <c r="E186" t="s">
        <v>2532</v>
      </c>
      <c r="F186">
        <v>41849</v>
      </c>
      <c r="G186">
        <v>41877</v>
      </c>
      <c r="H186">
        <v>0</v>
      </c>
      <c r="K186">
        <f>IF(Table4[[#This Row],[NeedsAttention]]=1,Table4[[#This Row],[Start]],Table4[[#This Row],[StartN]])</f>
        <v>41849</v>
      </c>
      <c r="L186">
        <f>IF(Table4[[#This Row],[NeedsAttention]]=1,Table4[[#This Row],[End]],Table4[[#This Row],[EndN]])</f>
        <v>41877</v>
      </c>
      <c r="M186" t="b">
        <f>Table4[[#This Row],[Merged.Start]]=L185+1</f>
        <v>1</v>
      </c>
      <c r="O186">
        <f>Table4[[#This Row],[Section]]</f>
        <v>185</v>
      </c>
      <c r="P186">
        <f>Table4[[#This Row],[Canon]]</f>
        <v>2</v>
      </c>
      <c r="Q186" s="1">
        <f>Table4[[#This Row],[Reference]]</f>
        <v>14.34</v>
      </c>
      <c r="R186" t="str">
        <f>Table4[[#This Row],[StartR]]</f>
        <v>LUK 14:34</v>
      </c>
      <c r="S186" t="str">
        <f>Table4[[#This Row],[EndR]]</f>
        <v>LUK 14:35</v>
      </c>
      <c r="T186">
        <f>Table4[[#This Row],[Merged.Start]]</f>
        <v>41849</v>
      </c>
      <c r="U186">
        <f>Table4[[#This Row],[Merged.End]]</f>
        <v>41877</v>
      </c>
    </row>
    <row r="187" spans="1:21" x14ac:dyDescent="0.25">
      <c r="A187">
        <v>186</v>
      </c>
      <c r="B187">
        <v>2</v>
      </c>
      <c r="C187" t="s">
        <v>1721</v>
      </c>
      <c r="D187" t="s">
        <v>1722</v>
      </c>
      <c r="E187" t="s">
        <v>1723</v>
      </c>
      <c r="F187">
        <v>41878</v>
      </c>
      <c r="G187">
        <v>41905</v>
      </c>
      <c r="H187">
        <v>0</v>
      </c>
      <c r="K187">
        <f>IF(Table4[[#This Row],[NeedsAttention]]=1,Table4[[#This Row],[Start]],Table4[[#This Row],[StartN]])</f>
        <v>41878</v>
      </c>
      <c r="L187">
        <f>IF(Table4[[#This Row],[NeedsAttention]]=1,Table4[[#This Row],[End]],Table4[[#This Row],[EndN]])</f>
        <v>41905</v>
      </c>
      <c r="M187" t="b">
        <f>Table4[[#This Row],[Merged.Start]]=L186+1</f>
        <v>1</v>
      </c>
      <c r="O187">
        <f>Table4[[#This Row],[Section]]</f>
        <v>186</v>
      </c>
      <c r="P187">
        <f>Table4[[#This Row],[Canon]]</f>
        <v>2</v>
      </c>
      <c r="Q187" s="1" t="str">
        <f>Table4[[#This Row],[Reference]]</f>
        <v>15.1-2</v>
      </c>
      <c r="R187" t="str">
        <f>Table4[[#This Row],[StartR]]</f>
        <v>LUK 15:1</v>
      </c>
      <c r="S187" t="str">
        <f>Table4[[#This Row],[EndR]]</f>
        <v>LUK 15:2</v>
      </c>
      <c r="T187">
        <f>Table4[[#This Row],[Merged.Start]]</f>
        <v>41878</v>
      </c>
      <c r="U187">
        <f>Table4[[#This Row],[Merged.End]]</f>
        <v>41905</v>
      </c>
    </row>
    <row r="188" spans="1:21" x14ac:dyDescent="0.25">
      <c r="A188">
        <v>187</v>
      </c>
      <c r="B188">
        <v>5</v>
      </c>
      <c r="C188" t="s">
        <v>1724</v>
      </c>
      <c r="D188" t="s">
        <v>1725</v>
      </c>
      <c r="E188" t="s">
        <v>1726</v>
      </c>
      <c r="F188">
        <v>41906</v>
      </c>
      <c r="G188">
        <v>41994</v>
      </c>
      <c r="H188">
        <v>0</v>
      </c>
      <c r="K188">
        <f>IF(Table4[[#This Row],[NeedsAttention]]=1,Table4[[#This Row],[Start]],Table4[[#This Row],[StartN]])</f>
        <v>41906</v>
      </c>
      <c r="L188">
        <f>IF(Table4[[#This Row],[NeedsAttention]]=1,Table4[[#This Row],[End]],Table4[[#This Row],[EndN]])</f>
        <v>41994</v>
      </c>
      <c r="M188" t="b">
        <f>Table4[[#This Row],[Merged.Start]]=L187+1</f>
        <v>1</v>
      </c>
      <c r="O188">
        <f>Table4[[#This Row],[Section]]</f>
        <v>187</v>
      </c>
      <c r="P188">
        <f>Table4[[#This Row],[Canon]]</f>
        <v>5</v>
      </c>
      <c r="Q188" s="1" t="str">
        <f>Table4[[#This Row],[Reference]]</f>
        <v>15.3-7</v>
      </c>
      <c r="R188" t="str">
        <f>Table4[[#This Row],[StartR]]</f>
        <v>LUK 15:3</v>
      </c>
      <c r="S188" t="str">
        <f>Table4[[#This Row],[EndR]]</f>
        <v>LUK 15:7</v>
      </c>
      <c r="T188">
        <f>Table4[[#This Row],[Merged.Start]]</f>
        <v>41906</v>
      </c>
      <c r="U188">
        <f>Table4[[#This Row],[Merged.End]]</f>
        <v>41994</v>
      </c>
    </row>
    <row r="189" spans="1:21" x14ac:dyDescent="0.25">
      <c r="A189">
        <v>188</v>
      </c>
      <c r="B189">
        <v>10</v>
      </c>
      <c r="C189" t="s">
        <v>1727</v>
      </c>
      <c r="D189" t="s">
        <v>1728</v>
      </c>
      <c r="E189" t="s">
        <v>1729</v>
      </c>
      <c r="F189">
        <v>41995</v>
      </c>
      <c r="G189">
        <v>42033</v>
      </c>
      <c r="H189">
        <v>0</v>
      </c>
      <c r="K189">
        <f>IF(Table4[[#This Row],[NeedsAttention]]=1,Table4[[#This Row],[Start]],Table4[[#This Row],[StartN]])</f>
        <v>41995</v>
      </c>
      <c r="L189">
        <f>IF(Table4[[#This Row],[NeedsAttention]]=1,Table4[[#This Row],[End]],Table4[[#This Row],[EndN]])</f>
        <v>42033</v>
      </c>
      <c r="M189" t="b">
        <f>Table4[[#This Row],[Merged.Start]]=L188+1</f>
        <v>1</v>
      </c>
      <c r="O189">
        <f>Table4[[#This Row],[Section]]</f>
        <v>188</v>
      </c>
      <c r="P189">
        <f>Table4[[#This Row],[Canon]]</f>
        <v>10</v>
      </c>
      <c r="Q189" s="1" t="str">
        <f>Table4[[#This Row],[Reference]]</f>
        <v>15.8-9</v>
      </c>
      <c r="R189" t="str">
        <f>Table4[[#This Row],[StartR]]</f>
        <v>LUK 15:8</v>
      </c>
      <c r="S189" t="str">
        <f>Table4[[#This Row],[EndR]]</f>
        <v>LUK 15:9</v>
      </c>
      <c r="T189">
        <f>Table4[[#This Row],[Merged.Start]]</f>
        <v>41995</v>
      </c>
      <c r="U189">
        <f>Table4[[#This Row],[Merged.End]]</f>
        <v>42033</v>
      </c>
    </row>
    <row r="190" spans="1:21" x14ac:dyDescent="0.25">
      <c r="A190">
        <v>189</v>
      </c>
      <c r="B190">
        <v>5</v>
      </c>
      <c r="C190">
        <v>15.1</v>
      </c>
      <c r="D190" t="s">
        <v>2533</v>
      </c>
      <c r="E190" t="s">
        <v>2533</v>
      </c>
      <c r="F190">
        <v>42034</v>
      </c>
      <c r="G190">
        <v>42047</v>
      </c>
      <c r="H190">
        <v>0</v>
      </c>
      <c r="K190">
        <f>IF(Table4[[#This Row],[NeedsAttention]]=1,Table4[[#This Row],[Start]],Table4[[#This Row],[StartN]])</f>
        <v>42034</v>
      </c>
      <c r="L190">
        <f>IF(Table4[[#This Row],[NeedsAttention]]=1,Table4[[#This Row],[End]],Table4[[#This Row],[EndN]])</f>
        <v>42047</v>
      </c>
      <c r="M190" t="b">
        <f>Table4[[#This Row],[Merged.Start]]=L189+1</f>
        <v>1</v>
      </c>
      <c r="O190">
        <f>Table4[[#This Row],[Section]]</f>
        <v>189</v>
      </c>
      <c r="P190">
        <f>Table4[[#This Row],[Canon]]</f>
        <v>5</v>
      </c>
      <c r="Q190" s="1">
        <f>Table4[[#This Row],[Reference]]</f>
        <v>15.1</v>
      </c>
      <c r="R190" t="str">
        <f>Table4[[#This Row],[StartR]]</f>
        <v>LUK 15:10</v>
      </c>
      <c r="S190" t="str">
        <f>Table4[[#This Row],[EndR]]</f>
        <v>LUK 15:10</v>
      </c>
      <c r="T190">
        <f>Table4[[#This Row],[Merged.Start]]</f>
        <v>42034</v>
      </c>
      <c r="U190">
        <f>Table4[[#This Row],[Merged.End]]</f>
        <v>42047</v>
      </c>
    </row>
    <row r="191" spans="1:21" x14ac:dyDescent="0.25">
      <c r="A191">
        <v>190</v>
      </c>
      <c r="B191">
        <v>10</v>
      </c>
      <c r="C191" t="s">
        <v>1730</v>
      </c>
      <c r="D191" t="s">
        <v>1731</v>
      </c>
      <c r="E191" t="s">
        <v>1732</v>
      </c>
      <c r="F191">
        <v>42048</v>
      </c>
      <c r="G191">
        <v>42675</v>
      </c>
      <c r="H191">
        <v>0</v>
      </c>
      <c r="K191">
        <f>IF(Table4[[#This Row],[NeedsAttention]]=1,Table4[[#This Row],[Start]],Table4[[#This Row],[StartN]])</f>
        <v>42048</v>
      </c>
      <c r="L191">
        <f>IF(Table4[[#This Row],[NeedsAttention]]=1,Table4[[#This Row],[End]],Table4[[#This Row],[EndN]])</f>
        <v>42675</v>
      </c>
      <c r="M191" t="b">
        <f>Table4[[#This Row],[Merged.Start]]=L190+1</f>
        <v>1</v>
      </c>
      <c r="O191">
        <f>Table4[[#This Row],[Section]]</f>
        <v>190</v>
      </c>
      <c r="P191">
        <f>Table4[[#This Row],[Canon]]</f>
        <v>10</v>
      </c>
      <c r="Q191" s="1" t="str">
        <f>Table4[[#This Row],[Reference]]</f>
        <v>15.11-16.12</v>
      </c>
      <c r="R191" t="str">
        <f>Table4[[#This Row],[StartR]]</f>
        <v>LUK 15:11</v>
      </c>
      <c r="S191" t="str">
        <f>Table4[[#This Row],[EndR]]</f>
        <v>LUK 16:12</v>
      </c>
      <c r="T191">
        <f>Table4[[#This Row],[Merged.Start]]</f>
        <v>42048</v>
      </c>
      <c r="U191">
        <f>Table4[[#This Row],[Merged.End]]</f>
        <v>42675</v>
      </c>
    </row>
    <row r="192" spans="1:21" x14ac:dyDescent="0.25">
      <c r="A192">
        <v>191</v>
      </c>
      <c r="B192">
        <v>5</v>
      </c>
      <c r="C192">
        <v>16.13</v>
      </c>
      <c r="D192" t="s">
        <v>1733</v>
      </c>
      <c r="E192" t="s">
        <v>1733</v>
      </c>
      <c r="F192">
        <v>42676</v>
      </c>
      <c r="G192">
        <v>42703</v>
      </c>
      <c r="H192">
        <v>0</v>
      </c>
      <c r="K192">
        <f>IF(Table4[[#This Row],[NeedsAttention]]=1,Table4[[#This Row],[Start]],Table4[[#This Row],[StartN]])</f>
        <v>42676</v>
      </c>
      <c r="L192">
        <f>IF(Table4[[#This Row],[NeedsAttention]]=1,Table4[[#This Row],[End]],Table4[[#This Row],[EndN]])</f>
        <v>42703</v>
      </c>
      <c r="M192" t="b">
        <f>Table4[[#This Row],[Merged.Start]]=L191+1</f>
        <v>1</v>
      </c>
      <c r="O192">
        <f>Table4[[#This Row],[Section]]</f>
        <v>191</v>
      </c>
      <c r="P192">
        <f>Table4[[#This Row],[Canon]]</f>
        <v>5</v>
      </c>
      <c r="Q192" s="1">
        <f>Table4[[#This Row],[Reference]]</f>
        <v>16.13</v>
      </c>
      <c r="R192" t="str">
        <f>Table4[[#This Row],[StartR]]</f>
        <v>LUK 16:13</v>
      </c>
      <c r="S192" t="str">
        <f>Table4[[#This Row],[EndR]]</f>
        <v>LUK 16:13</v>
      </c>
      <c r="T192">
        <f>Table4[[#This Row],[Merged.Start]]</f>
        <v>42676</v>
      </c>
      <c r="U192">
        <f>Table4[[#This Row],[Merged.End]]</f>
        <v>42703</v>
      </c>
    </row>
    <row r="193" spans="1:21" x14ac:dyDescent="0.25">
      <c r="A193">
        <v>192</v>
      </c>
      <c r="B193">
        <v>10</v>
      </c>
      <c r="C193" t="s">
        <v>1734</v>
      </c>
      <c r="D193" t="s">
        <v>1735</v>
      </c>
      <c r="E193" t="s">
        <v>1736</v>
      </c>
      <c r="F193">
        <v>42704</v>
      </c>
      <c r="G193">
        <v>42741</v>
      </c>
      <c r="H193">
        <v>0</v>
      </c>
      <c r="K193">
        <f>IF(Table4[[#This Row],[NeedsAttention]]=1,Table4[[#This Row],[Start]],Table4[[#This Row],[StartN]])</f>
        <v>42704</v>
      </c>
      <c r="L193">
        <f>IF(Table4[[#This Row],[NeedsAttention]]=1,Table4[[#This Row],[End]],Table4[[#This Row],[EndN]])</f>
        <v>42741</v>
      </c>
      <c r="M193" t="b">
        <f>Table4[[#This Row],[Merged.Start]]=L192+1</f>
        <v>1</v>
      </c>
      <c r="O193">
        <f>Table4[[#This Row],[Section]]</f>
        <v>192</v>
      </c>
      <c r="P193">
        <f>Table4[[#This Row],[Canon]]</f>
        <v>10</v>
      </c>
      <c r="Q193" s="1" t="str">
        <f>Table4[[#This Row],[Reference]]</f>
        <v>16.14-15</v>
      </c>
      <c r="R193" t="str">
        <f>Table4[[#This Row],[StartR]]</f>
        <v>LUK 16:14</v>
      </c>
      <c r="S193" t="str">
        <f>Table4[[#This Row],[EndR]]</f>
        <v>LUK 16:15</v>
      </c>
      <c r="T193">
        <f>Table4[[#This Row],[Merged.Start]]</f>
        <v>42704</v>
      </c>
      <c r="U193">
        <f>Table4[[#This Row],[Merged.End]]</f>
        <v>42741</v>
      </c>
    </row>
    <row r="194" spans="1:21" x14ac:dyDescent="0.25">
      <c r="A194">
        <v>193</v>
      </c>
      <c r="B194">
        <v>5</v>
      </c>
      <c r="C194">
        <v>16.16</v>
      </c>
      <c r="D194" t="s">
        <v>1737</v>
      </c>
      <c r="E194" t="s">
        <v>1737</v>
      </c>
      <c r="F194">
        <v>42742</v>
      </c>
      <c r="G194">
        <v>42760</v>
      </c>
      <c r="H194">
        <v>0</v>
      </c>
      <c r="K194">
        <f>IF(Table4[[#This Row],[NeedsAttention]]=1,Table4[[#This Row],[Start]],Table4[[#This Row],[StartN]])</f>
        <v>42742</v>
      </c>
      <c r="L194">
        <f>IF(Table4[[#This Row],[NeedsAttention]]=1,Table4[[#This Row],[End]],Table4[[#This Row],[EndN]])</f>
        <v>42760</v>
      </c>
      <c r="M194" t="b">
        <f>Table4[[#This Row],[Merged.Start]]=L193+1</f>
        <v>1</v>
      </c>
      <c r="O194">
        <f>Table4[[#This Row],[Section]]</f>
        <v>193</v>
      </c>
      <c r="P194">
        <f>Table4[[#This Row],[Canon]]</f>
        <v>5</v>
      </c>
      <c r="Q194" s="1">
        <f>Table4[[#This Row],[Reference]]</f>
        <v>16.16</v>
      </c>
      <c r="R194" t="str">
        <f>Table4[[#This Row],[StartR]]</f>
        <v>LUK 16:16</v>
      </c>
      <c r="S194" t="str">
        <f>Table4[[#This Row],[EndR]]</f>
        <v>LUK 16:16</v>
      </c>
      <c r="T194">
        <f>Table4[[#This Row],[Merged.Start]]</f>
        <v>42742</v>
      </c>
      <c r="U194">
        <f>Table4[[#This Row],[Merged.End]]</f>
        <v>42760</v>
      </c>
    </row>
    <row r="195" spans="1:21" x14ac:dyDescent="0.25">
      <c r="A195">
        <v>194</v>
      </c>
      <c r="B195">
        <v>5</v>
      </c>
      <c r="C195">
        <v>16.170000000000002</v>
      </c>
      <c r="D195" t="s">
        <v>1738</v>
      </c>
      <c r="E195" t="s">
        <v>1738</v>
      </c>
      <c r="F195">
        <v>42761</v>
      </c>
      <c r="G195">
        <v>42775</v>
      </c>
      <c r="H195">
        <v>0</v>
      </c>
      <c r="K195">
        <f>IF(Table4[[#This Row],[NeedsAttention]]=1,Table4[[#This Row],[Start]],Table4[[#This Row],[StartN]])</f>
        <v>42761</v>
      </c>
      <c r="L195">
        <f>IF(Table4[[#This Row],[NeedsAttention]]=1,Table4[[#This Row],[End]],Table4[[#This Row],[EndN]])</f>
        <v>42775</v>
      </c>
      <c r="M195" t="b">
        <f>Table4[[#This Row],[Merged.Start]]=L194+1</f>
        <v>1</v>
      </c>
      <c r="O195">
        <f>Table4[[#This Row],[Section]]</f>
        <v>194</v>
      </c>
      <c r="P195">
        <f>Table4[[#This Row],[Canon]]</f>
        <v>5</v>
      </c>
      <c r="Q195" s="1">
        <f>Table4[[#This Row],[Reference]]</f>
        <v>16.170000000000002</v>
      </c>
      <c r="R195" t="str">
        <f>Table4[[#This Row],[StartR]]</f>
        <v>LUK 16:17</v>
      </c>
      <c r="S195" t="str">
        <f>Table4[[#This Row],[EndR]]</f>
        <v>LUK 16:17</v>
      </c>
      <c r="T195">
        <f>Table4[[#This Row],[Merged.Start]]</f>
        <v>42761</v>
      </c>
      <c r="U195">
        <f>Table4[[#This Row],[Merged.End]]</f>
        <v>42775</v>
      </c>
    </row>
    <row r="196" spans="1:21" x14ac:dyDescent="0.25">
      <c r="A196">
        <v>195</v>
      </c>
      <c r="B196">
        <v>2</v>
      </c>
      <c r="C196">
        <v>16.18</v>
      </c>
      <c r="D196" t="s">
        <v>1739</v>
      </c>
      <c r="E196" t="s">
        <v>1739</v>
      </c>
      <c r="F196">
        <v>42776</v>
      </c>
      <c r="G196">
        <v>42792</v>
      </c>
      <c r="H196">
        <v>0</v>
      </c>
      <c r="K196">
        <f>IF(Table4[[#This Row],[NeedsAttention]]=1,Table4[[#This Row],[Start]],Table4[[#This Row],[StartN]])</f>
        <v>42776</v>
      </c>
      <c r="L196">
        <f>IF(Table4[[#This Row],[NeedsAttention]]=1,Table4[[#This Row],[End]],Table4[[#This Row],[EndN]])</f>
        <v>42792</v>
      </c>
      <c r="M196" t="b">
        <f>Table4[[#This Row],[Merged.Start]]=L195+1</f>
        <v>1</v>
      </c>
      <c r="O196">
        <f>Table4[[#This Row],[Section]]</f>
        <v>195</v>
      </c>
      <c r="P196">
        <f>Table4[[#This Row],[Canon]]</f>
        <v>2</v>
      </c>
      <c r="Q196" s="1">
        <f>Table4[[#This Row],[Reference]]</f>
        <v>16.18</v>
      </c>
      <c r="R196" t="str">
        <f>Table4[[#This Row],[StartR]]</f>
        <v>LUK 16:18</v>
      </c>
      <c r="S196" t="str">
        <f>Table4[[#This Row],[EndR]]</f>
        <v>LUK 16:18</v>
      </c>
      <c r="T196">
        <f>Table4[[#This Row],[Merged.Start]]</f>
        <v>42776</v>
      </c>
      <c r="U196">
        <f>Table4[[#This Row],[Merged.End]]</f>
        <v>42792</v>
      </c>
    </row>
    <row r="197" spans="1:21" x14ac:dyDescent="0.25">
      <c r="A197">
        <v>196</v>
      </c>
      <c r="B197">
        <v>10</v>
      </c>
      <c r="C197" t="s">
        <v>1740</v>
      </c>
      <c r="D197" t="s">
        <v>1741</v>
      </c>
      <c r="E197" t="s">
        <v>1742</v>
      </c>
      <c r="F197">
        <v>42793</v>
      </c>
      <c r="G197">
        <v>43036</v>
      </c>
      <c r="H197">
        <v>0</v>
      </c>
      <c r="K197">
        <f>IF(Table4[[#This Row],[NeedsAttention]]=1,Table4[[#This Row],[Start]],Table4[[#This Row],[StartN]])</f>
        <v>42793</v>
      </c>
      <c r="L197">
        <f>IF(Table4[[#This Row],[NeedsAttention]]=1,Table4[[#This Row],[End]],Table4[[#This Row],[EndN]])</f>
        <v>43036</v>
      </c>
      <c r="M197" t="b">
        <f>Table4[[#This Row],[Merged.Start]]=L196+1</f>
        <v>1</v>
      </c>
      <c r="O197">
        <f>Table4[[#This Row],[Section]]</f>
        <v>196</v>
      </c>
      <c r="P197">
        <f>Table4[[#This Row],[Canon]]</f>
        <v>10</v>
      </c>
      <c r="Q197" s="1" t="str">
        <f>Table4[[#This Row],[Reference]]</f>
        <v>16.19-31</v>
      </c>
      <c r="R197" t="str">
        <f>Table4[[#This Row],[StartR]]</f>
        <v>LUK 16:19</v>
      </c>
      <c r="S197" t="str">
        <f>Table4[[#This Row],[EndR]]</f>
        <v>LUK 16:31</v>
      </c>
      <c r="T197">
        <f>Table4[[#This Row],[Merged.Start]]</f>
        <v>42793</v>
      </c>
      <c r="U197">
        <f>Table4[[#This Row],[Merged.End]]</f>
        <v>43036</v>
      </c>
    </row>
    <row r="198" spans="1:21" x14ac:dyDescent="0.25">
      <c r="A198">
        <v>197</v>
      </c>
      <c r="B198">
        <v>2</v>
      </c>
      <c r="C198" t="s">
        <v>1743</v>
      </c>
      <c r="D198" t="s">
        <v>1744</v>
      </c>
      <c r="E198" t="s">
        <v>1745</v>
      </c>
      <c r="F198">
        <v>43037</v>
      </c>
      <c r="G198">
        <v>43076</v>
      </c>
      <c r="H198">
        <v>0</v>
      </c>
      <c r="K198">
        <f>IF(Table4[[#This Row],[NeedsAttention]]=1,Table4[[#This Row],[Start]],Table4[[#This Row],[StartN]])</f>
        <v>43037</v>
      </c>
      <c r="L198">
        <f>IF(Table4[[#This Row],[NeedsAttention]]=1,Table4[[#This Row],[End]],Table4[[#This Row],[EndN]])</f>
        <v>43076</v>
      </c>
      <c r="M198" t="b">
        <f>Table4[[#This Row],[Merged.Start]]=L197+1</f>
        <v>1</v>
      </c>
      <c r="O198">
        <f>Table4[[#This Row],[Section]]</f>
        <v>197</v>
      </c>
      <c r="P198">
        <f>Table4[[#This Row],[Canon]]</f>
        <v>2</v>
      </c>
      <c r="Q198" s="1" t="str">
        <f>Table4[[#This Row],[Reference]]</f>
        <v>17.1-2</v>
      </c>
      <c r="R198" t="str">
        <f>Table4[[#This Row],[StartR]]</f>
        <v>LUK 17:1</v>
      </c>
      <c r="S198" t="str">
        <f>Table4[[#This Row],[EndR]]</f>
        <v>LUK 17:2</v>
      </c>
      <c r="T198">
        <f>Table4[[#This Row],[Merged.Start]]</f>
        <v>43037</v>
      </c>
      <c r="U198">
        <f>Table4[[#This Row],[Merged.End]]</f>
        <v>43076</v>
      </c>
    </row>
    <row r="199" spans="1:21" x14ac:dyDescent="0.25">
      <c r="A199">
        <v>198</v>
      </c>
      <c r="B199">
        <v>5</v>
      </c>
      <c r="C199" t="s">
        <v>1746</v>
      </c>
      <c r="D199" t="s">
        <v>1747</v>
      </c>
      <c r="E199" t="s">
        <v>1747</v>
      </c>
      <c r="F199">
        <v>43077</v>
      </c>
      <c r="G199">
        <v>43090</v>
      </c>
      <c r="H199">
        <v>1</v>
      </c>
      <c r="I199">
        <v>43077</v>
      </c>
      <c r="J199">
        <v>43078</v>
      </c>
      <c r="K199">
        <f>IF(Table4[[#This Row],[NeedsAttention]]=1,Table4[[#This Row],[Start]],Table4[[#This Row],[StartN]])</f>
        <v>43077</v>
      </c>
      <c r="L199">
        <f>IF(Table4[[#This Row],[NeedsAttention]]=1,Table4[[#This Row],[End]],Table4[[#This Row],[EndN]])</f>
        <v>43078</v>
      </c>
      <c r="M199" t="b">
        <f>Table4[[#This Row],[Merged.Start]]=L198+1</f>
        <v>1</v>
      </c>
      <c r="O199">
        <f>Table4[[#This Row],[Section]]</f>
        <v>198</v>
      </c>
      <c r="P199">
        <f>Table4[[#This Row],[Canon]]</f>
        <v>5</v>
      </c>
      <c r="Q199" s="1" t="str">
        <f>Table4[[#This Row],[Reference]]</f>
        <v>17.3AB</v>
      </c>
      <c r="R199" t="str">
        <f>Table4[[#This Row],[StartR]]</f>
        <v>LUK 17:3</v>
      </c>
      <c r="S199" t="str">
        <f>Table4[[#This Row],[EndR]]</f>
        <v>LUK 17:3</v>
      </c>
      <c r="T199">
        <f>Table4[[#This Row],[Merged.Start]]</f>
        <v>43077</v>
      </c>
      <c r="U199">
        <f>Table4[[#This Row],[Merged.End]]</f>
        <v>43078</v>
      </c>
    </row>
    <row r="200" spans="1:21" x14ac:dyDescent="0.25">
      <c r="A200">
        <v>199</v>
      </c>
      <c r="B200">
        <v>5</v>
      </c>
      <c r="C200" t="s">
        <v>1748</v>
      </c>
      <c r="D200" t="s">
        <v>1747</v>
      </c>
      <c r="E200" t="s">
        <v>1749</v>
      </c>
      <c r="F200">
        <v>43077</v>
      </c>
      <c r="G200">
        <v>43107</v>
      </c>
      <c r="H200">
        <v>1</v>
      </c>
      <c r="I200">
        <v>43079</v>
      </c>
      <c r="J200">
        <v>43107</v>
      </c>
      <c r="K200">
        <f>IF(Table4[[#This Row],[NeedsAttention]]=1,Table4[[#This Row],[Start]],Table4[[#This Row],[StartN]])</f>
        <v>43079</v>
      </c>
      <c r="L200">
        <f>IF(Table4[[#This Row],[NeedsAttention]]=1,Table4[[#This Row],[End]],Table4[[#This Row],[EndN]])</f>
        <v>43107</v>
      </c>
      <c r="M200" t="b">
        <f>Table4[[#This Row],[Merged.Start]]=L199+1</f>
        <v>1</v>
      </c>
      <c r="O200">
        <f>Table4[[#This Row],[Section]]</f>
        <v>199</v>
      </c>
      <c r="P200">
        <f>Table4[[#This Row],[Canon]]</f>
        <v>5</v>
      </c>
      <c r="Q200" s="1" t="str">
        <f>Table4[[#This Row],[Reference]]</f>
        <v>17.3C-4</v>
      </c>
      <c r="R200" t="str">
        <f>Table4[[#This Row],[StartR]]</f>
        <v>LUK 17:3</v>
      </c>
      <c r="S200" t="str">
        <f>Table4[[#This Row],[EndR]]</f>
        <v>LUK 17:4</v>
      </c>
      <c r="T200">
        <f>Table4[[#This Row],[Merged.Start]]</f>
        <v>43079</v>
      </c>
      <c r="U200">
        <f>Table4[[#This Row],[Merged.End]]</f>
        <v>43107</v>
      </c>
    </row>
    <row r="201" spans="1:21" x14ac:dyDescent="0.25">
      <c r="A201">
        <v>200</v>
      </c>
      <c r="B201">
        <v>5</v>
      </c>
      <c r="C201" t="s">
        <v>1750</v>
      </c>
      <c r="D201" t="s">
        <v>1751</v>
      </c>
      <c r="E201" t="s">
        <v>1752</v>
      </c>
      <c r="F201">
        <v>43108</v>
      </c>
      <c r="G201">
        <v>43141</v>
      </c>
      <c r="H201">
        <v>0</v>
      </c>
      <c r="K201">
        <f>IF(Table4[[#This Row],[NeedsAttention]]=1,Table4[[#This Row],[Start]],Table4[[#This Row],[StartN]])</f>
        <v>43108</v>
      </c>
      <c r="L201">
        <f>IF(Table4[[#This Row],[NeedsAttention]]=1,Table4[[#This Row],[End]],Table4[[#This Row],[EndN]])</f>
        <v>43141</v>
      </c>
      <c r="M201" t="b">
        <f>Table4[[#This Row],[Merged.Start]]=L200+1</f>
        <v>1</v>
      </c>
      <c r="O201">
        <f>Table4[[#This Row],[Section]]</f>
        <v>200</v>
      </c>
      <c r="P201">
        <f>Table4[[#This Row],[Canon]]</f>
        <v>5</v>
      </c>
      <c r="Q201" s="1" t="str">
        <f>Table4[[#This Row],[Reference]]</f>
        <v>17.5-6</v>
      </c>
      <c r="R201" t="str">
        <f>Table4[[#This Row],[StartR]]</f>
        <v>LUK 17:5</v>
      </c>
      <c r="S201" t="str">
        <f>Table4[[#This Row],[EndR]]</f>
        <v>LUK 17:6</v>
      </c>
      <c r="T201">
        <f>Table4[[#This Row],[Merged.Start]]</f>
        <v>43108</v>
      </c>
      <c r="U201">
        <f>Table4[[#This Row],[Merged.End]]</f>
        <v>43141</v>
      </c>
    </row>
    <row r="202" spans="1:21" x14ac:dyDescent="0.25">
      <c r="A202">
        <v>201</v>
      </c>
      <c r="B202">
        <v>10</v>
      </c>
      <c r="C202" t="s">
        <v>1753</v>
      </c>
      <c r="D202" t="s">
        <v>1754</v>
      </c>
      <c r="E202" t="s">
        <v>1755</v>
      </c>
      <c r="F202">
        <v>43142</v>
      </c>
      <c r="G202">
        <v>43325</v>
      </c>
      <c r="H202">
        <v>0</v>
      </c>
      <c r="K202">
        <f>IF(Table4[[#This Row],[NeedsAttention]]=1,Table4[[#This Row],[Start]],Table4[[#This Row],[StartN]])</f>
        <v>43142</v>
      </c>
      <c r="L202">
        <f>IF(Table4[[#This Row],[NeedsAttention]]=1,Table4[[#This Row],[End]],Table4[[#This Row],[EndN]])</f>
        <v>43325</v>
      </c>
      <c r="M202" t="b">
        <f>Table4[[#This Row],[Merged.Start]]=L201+1</f>
        <v>1</v>
      </c>
      <c r="O202">
        <f>Table4[[#This Row],[Section]]</f>
        <v>201</v>
      </c>
      <c r="P202">
        <f>Table4[[#This Row],[Canon]]</f>
        <v>10</v>
      </c>
      <c r="Q202" s="1" t="str">
        <f>Table4[[#This Row],[Reference]]</f>
        <v>17.7-19</v>
      </c>
      <c r="R202" t="str">
        <f>Table4[[#This Row],[StartR]]</f>
        <v>LUK 17:7</v>
      </c>
      <c r="S202" t="str">
        <f>Table4[[#This Row],[EndR]]</f>
        <v>LUK 17:19</v>
      </c>
      <c r="T202">
        <f>Table4[[#This Row],[Merged.Start]]</f>
        <v>43142</v>
      </c>
      <c r="U202">
        <f>Table4[[#This Row],[Merged.End]]</f>
        <v>43325</v>
      </c>
    </row>
    <row r="203" spans="1:21" x14ac:dyDescent="0.25">
      <c r="A203">
        <v>202</v>
      </c>
      <c r="B203">
        <v>5</v>
      </c>
      <c r="C203" t="s">
        <v>1756</v>
      </c>
      <c r="D203" t="s">
        <v>1757</v>
      </c>
      <c r="E203" t="s">
        <v>1758</v>
      </c>
      <c r="F203">
        <v>43326</v>
      </c>
      <c r="G203">
        <v>43363</v>
      </c>
      <c r="H203">
        <v>0</v>
      </c>
      <c r="K203">
        <f>IF(Table4[[#This Row],[NeedsAttention]]=1,Table4[[#This Row],[Start]],Table4[[#This Row],[StartN]])</f>
        <v>43326</v>
      </c>
      <c r="L203">
        <f>IF(Table4[[#This Row],[NeedsAttention]]=1,Table4[[#This Row],[End]],Table4[[#This Row],[EndN]])</f>
        <v>43363</v>
      </c>
      <c r="M203" t="b">
        <f>Table4[[#This Row],[Merged.Start]]=L202+1</f>
        <v>1</v>
      </c>
      <c r="O203">
        <f>Table4[[#This Row],[Section]]</f>
        <v>202</v>
      </c>
      <c r="P203">
        <f>Table4[[#This Row],[Canon]]</f>
        <v>5</v>
      </c>
      <c r="Q203" s="1" t="str">
        <f>Table4[[#This Row],[Reference]]</f>
        <v>17.20-21</v>
      </c>
      <c r="R203" t="str">
        <f>Table4[[#This Row],[StartR]]</f>
        <v>LUK 17:20</v>
      </c>
      <c r="S203" t="str">
        <f>Table4[[#This Row],[EndR]]</f>
        <v>LUK 17:21</v>
      </c>
      <c r="T203">
        <f>Table4[[#This Row],[Merged.Start]]</f>
        <v>43326</v>
      </c>
      <c r="U203">
        <f>Table4[[#This Row],[Merged.End]]</f>
        <v>43363</v>
      </c>
    </row>
    <row r="204" spans="1:21" x14ac:dyDescent="0.25">
      <c r="A204">
        <v>203</v>
      </c>
      <c r="B204">
        <v>10</v>
      </c>
      <c r="C204">
        <v>17.22</v>
      </c>
      <c r="D204" t="s">
        <v>1759</v>
      </c>
      <c r="E204" t="s">
        <v>1759</v>
      </c>
      <c r="F204">
        <v>43364</v>
      </c>
      <c r="G204">
        <v>43383</v>
      </c>
      <c r="H204">
        <v>0</v>
      </c>
      <c r="K204">
        <f>IF(Table4[[#This Row],[NeedsAttention]]=1,Table4[[#This Row],[Start]],Table4[[#This Row],[StartN]])</f>
        <v>43364</v>
      </c>
      <c r="L204">
        <f>IF(Table4[[#This Row],[NeedsAttention]]=1,Table4[[#This Row],[End]],Table4[[#This Row],[EndN]])</f>
        <v>43383</v>
      </c>
      <c r="M204" t="b">
        <f>Table4[[#This Row],[Merged.Start]]=L203+1</f>
        <v>1</v>
      </c>
      <c r="O204">
        <f>Table4[[#This Row],[Section]]</f>
        <v>203</v>
      </c>
      <c r="P204">
        <f>Table4[[#This Row],[Canon]]</f>
        <v>10</v>
      </c>
      <c r="Q204" s="1">
        <f>Table4[[#This Row],[Reference]]</f>
        <v>17.22</v>
      </c>
      <c r="R204" t="str">
        <f>Table4[[#This Row],[StartR]]</f>
        <v>LUK 17:22</v>
      </c>
      <c r="S204" t="str">
        <f>Table4[[#This Row],[EndR]]</f>
        <v>LUK 17:22</v>
      </c>
      <c r="T204">
        <f>Table4[[#This Row],[Merged.Start]]</f>
        <v>43364</v>
      </c>
      <c r="U204">
        <f>Table4[[#This Row],[Merged.End]]</f>
        <v>43383</v>
      </c>
    </row>
    <row r="205" spans="1:21" x14ac:dyDescent="0.25">
      <c r="A205">
        <v>204</v>
      </c>
      <c r="B205">
        <v>2</v>
      </c>
      <c r="C205">
        <v>17.23</v>
      </c>
      <c r="D205" t="s">
        <v>1760</v>
      </c>
      <c r="E205" t="s">
        <v>1760</v>
      </c>
      <c r="F205">
        <v>43384</v>
      </c>
      <c r="G205">
        <v>43394</v>
      </c>
      <c r="H205">
        <v>0</v>
      </c>
      <c r="K205">
        <f>IF(Table4[[#This Row],[NeedsAttention]]=1,Table4[[#This Row],[Start]],Table4[[#This Row],[StartN]])</f>
        <v>43384</v>
      </c>
      <c r="L205">
        <f>IF(Table4[[#This Row],[NeedsAttention]]=1,Table4[[#This Row],[End]],Table4[[#This Row],[EndN]])</f>
        <v>43394</v>
      </c>
      <c r="M205" t="b">
        <f>Table4[[#This Row],[Merged.Start]]=L204+1</f>
        <v>1</v>
      </c>
      <c r="O205">
        <f>Table4[[#This Row],[Section]]</f>
        <v>204</v>
      </c>
      <c r="P205">
        <f>Table4[[#This Row],[Canon]]</f>
        <v>2</v>
      </c>
      <c r="Q205" s="1">
        <f>Table4[[#This Row],[Reference]]</f>
        <v>17.23</v>
      </c>
      <c r="R205" t="str">
        <f>Table4[[#This Row],[StartR]]</f>
        <v>LUK 17:23</v>
      </c>
      <c r="S205" t="str">
        <f>Table4[[#This Row],[EndR]]</f>
        <v>LUK 17:23</v>
      </c>
      <c r="T205">
        <f>Table4[[#This Row],[Merged.Start]]</f>
        <v>43384</v>
      </c>
      <c r="U205">
        <f>Table4[[#This Row],[Merged.End]]</f>
        <v>43394</v>
      </c>
    </row>
    <row r="206" spans="1:21" x14ac:dyDescent="0.25">
      <c r="A206">
        <v>205</v>
      </c>
      <c r="B206">
        <v>5</v>
      </c>
      <c r="C206">
        <v>17.239999999999998</v>
      </c>
      <c r="D206" t="s">
        <v>1761</v>
      </c>
      <c r="E206" t="s">
        <v>1761</v>
      </c>
      <c r="F206">
        <v>43395</v>
      </c>
      <c r="G206">
        <v>43419</v>
      </c>
      <c r="H206">
        <v>0</v>
      </c>
      <c r="K206">
        <f>IF(Table4[[#This Row],[NeedsAttention]]=1,Table4[[#This Row],[Start]],Table4[[#This Row],[StartN]])</f>
        <v>43395</v>
      </c>
      <c r="L206">
        <f>IF(Table4[[#This Row],[NeedsAttention]]=1,Table4[[#This Row],[End]],Table4[[#This Row],[EndN]])</f>
        <v>43419</v>
      </c>
      <c r="M206" t="b">
        <f>Table4[[#This Row],[Merged.Start]]=L205+1</f>
        <v>1</v>
      </c>
      <c r="O206">
        <f>Table4[[#This Row],[Section]]</f>
        <v>205</v>
      </c>
      <c r="P206">
        <f>Table4[[#This Row],[Canon]]</f>
        <v>5</v>
      </c>
      <c r="Q206" s="1">
        <f>Table4[[#This Row],[Reference]]</f>
        <v>17.239999999999998</v>
      </c>
      <c r="R206" t="str">
        <f>Table4[[#This Row],[StartR]]</f>
        <v>LUK 17:24</v>
      </c>
      <c r="S206" t="str">
        <f>Table4[[#This Row],[EndR]]</f>
        <v>LUK 17:24</v>
      </c>
      <c r="T206">
        <f>Table4[[#This Row],[Merged.Start]]</f>
        <v>43395</v>
      </c>
      <c r="U206">
        <f>Table4[[#This Row],[Merged.End]]</f>
        <v>43419</v>
      </c>
    </row>
    <row r="207" spans="1:21" x14ac:dyDescent="0.25">
      <c r="A207">
        <v>206</v>
      </c>
      <c r="B207">
        <v>2</v>
      </c>
      <c r="C207">
        <v>17.25</v>
      </c>
      <c r="D207" t="s">
        <v>1762</v>
      </c>
      <c r="E207" t="s">
        <v>1762</v>
      </c>
      <c r="F207">
        <v>43420</v>
      </c>
      <c r="G207">
        <v>43431</v>
      </c>
      <c r="H207">
        <v>0</v>
      </c>
      <c r="K207">
        <f>IF(Table4[[#This Row],[NeedsAttention]]=1,Table4[[#This Row],[Start]],Table4[[#This Row],[StartN]])</f>
        <v>43420</v>
      </c>
      <c r="L207">
        <f>IF(Table4[[#This Row],[NeedsAttention]]=1,Table4[[#This Row],[End]],Table4[[#This Row],[EndN]])</f>
        <v>43431</v>
      </c>
      <c r="M207" t="b">
        <f>Table4[[#This Row],[Merged.Start]]=L206+1</f>
        <v>1</v>
      </c>
      <c r="O207">
        <f>Table4[[#This Row],[Section]]</f>
        <v>206</v>
      </c>
      <c r="P207">
        <f>Table4[[#This Row],[Canon]]</f>
        <v>2</v>
      </c>
      <c r="Q207" s="1">
        <f>Table4[[#This Row],[Reference]]</f>
        <v>17.25</v>
      </c>
      <c r="R207" t="str">
        <f>Table4[[#This Row],[StartR]]</f>
        <v>LUK 17:25</v>
      </c>
      <c r="S207" t="str">
        <f>Table4[[#This Row],[EndR]]</f>
        <v>LUK 17:25</v>
      </c>
      <c r="T207">
        <f>Table4[[#This Row],[Merged.Start]]</f>
        <v>43420</v>
      </c>
      <c r="U207">
        <f>Table4[[#This Row],[Merged.End]]</f>
        <v>43431</v>
      </c>
    </row>
    <row r="208" spans="1:21" x14ac:dyDescent="0.25">
      <c r="A208">
        <v>207</v>
      </c>
      <c r="B208">
        <v>5</v>
      </c>
      <c r="C208" t="s">
        <v>1763</v>
      </c>
      <c r="D208" t="s">
        <v>1764</v>
      </c>
      <c r="E208" t="s">
        <v>1765</v>
      </c>
      <c r="F208">
        <v>43432</v>
      </c>
      <c r="G208">
        <v>43467</v>
      </c>
      <c r="H208">
        <v>0</v>
      </c>
      <c r="K208">
        <f>IF(Table4[[#This Row],[NeedsAttention]]=1,Table4[[#This Row],[Start]],Table4[[#This Row],[StartN]])</f>
        <v>43432</v>
      </c>
      <c r="L208">
        <f>IF(Table4[[#This Row],[NeedsAttention]]=1,Table4[[#This Row],[End]],Table4[[#This Row],[EndN]])</f>
        <v>43467</v>
      </c>
      <c r="M208" t="b">
        <f>Table4[[#This Row],[Merged.Start]]=L207+1</f>
        <v>1</v>
      </c>
      <c r="O208">
        <f>Table4[[#This Row],[Section]]</f>
        <v>207</v>
      </c>
      <c r="P208">
        <f>Table4[[#This Row],[Canon]]</f>
        <v>5</v>
      </c>
      <c r="Q208" s="1" t="str">
        <f>Table4[[#This Row],[Reference]]</f>
        <v>17.26-27</v>
      </c>
      <c r="R208" t="str">
        <f>Table4[[#This Row],[StartR]]</f>
        <v>LUK 17:26</v>
      </c>
      <c r="S208" t="str">
        <f>Table4[[#This Row],[EndR]]</f>
        <v>LUK 17:27</v>
      </c>
      <c r="T208">
        <f>Table4[[#This Row],[Merged.Start]]</f>
        <v>43432</v>
      </c>
      <c r="U208">
        <f>Table4[[#This Row],[Merged.End]]</f>
        <v>43467</v>
      </c>
    </row>
    <row r="209" spans="1:21" x14ac:dyDescent="0.25">
      <c r="A209">
        <v>208</v>
      </c>
      <c r="B209">
        <v>10</v>
      </c>
      <c r="C209" t="s">
        <v>1766</v>
      </c>
      <c r="D209" t="s">
        <v>1767</v>
      </c>
      <c r="E209" t="s">
        <v>1768</v>
      </c>
      <c r="F209">
        <v>43468</v>
      </c>
      <c r="G209">
        <v>43507</v>
      </c>
      <c r="H209">
        <v>0</v>
      </c>
      <c r="K209">
        <f>IF(Table4[[#This Row],[NeedsAttention]]=1,Table4[[#This Row],[Start]],Table4[[#This Row],[StartN]])</f>
        <v>43468</v>
      </c>
      <c r="L209">
        <f>IF(Table4[[#This Row],[NeedsAttention]]=1,Table4[[#This Row],[End]],Table4[[#This Row],[EndN]])</f>
        <v>43507</v>
      </c>
      <c r="M209" t="b">
        <f>Table4[[#This Row],[Merged.Start]]=L208+1</f>
        <v>1</v>
      </c>
      <c r="O209">
        <f>Table4[[#This Row],[Section]]</f>
        <v>208</v>
      </c>
      <c r="P209">
        <f>Table4[[#This Row],[Canon]]</f>
        <v>10</v>
      </c>
      <c r="Q209" s="1" t="str">
        <f>Table4[[#This Row],[Reference]]</f>
        <v>17.28-30</v>
      </c>
      <c r="R209" t="str">
        <f>Table4[[#This Row],[StartR]]</f>
        <v>LUK 17:28</v>
      </c>
      <c r="S209" t="str">
        <f>Table4[[#This Row],[EndR]]</f>
        <v>LUK 17:30</v>
      </c>
      <c r="T209">
        <f>Table4[[#This Row],[Merged.Start]]</f>
        <v>43468</v>
      </c>
      <c r="U209">
        <f>Table4[[#This Row],[Merged.End]]</f>
        <v>43507</v>
      </c>
    </row>
    <row r="210" spans="1:21" x14ac:dyDescent="0.25">
      <c r="A210">
        <v>209</v>
      </c>
      <c r="B210">
        <v>2</v>
      </c>
      <c r="C210">
        <v>17.309999999999999</v>
      </c>
      <c r="D210" t="s">
        <v>1769</v>
      </c>
      <c r="E210" t="s">
        <v>1769</v>
      </c>
      <c r="F210">
        <v>43508</v>
      </c>
      <c r="G210">
        <v>43537</v>
      </c>
      <c r="H210">
        <v>0</v>
      </c>
      <c r="K210">
        <f>IF(Table4[[#This Row],[NeedsAttention]]=1,Table4[[#This Row],[Start]],Table4[[#This Row],[StartN]])</f>
        <v>43508</v>
      </c>
      <c r="L210">
        <f>IF(Table4[[#This Row],[NeedsAttention]]=1,Table4[[#This Row],[End]],Table4[[#This Row],[EndN]])</f>
        <v>43537</v>
      </c>
      <c r="M210" t="b">
        <f>Table4[[#This Row],[Merged.Start]]=L209+1</f>
        <v>1</v>
      </c>
      <c r="O210">
        <f>Table4[[#This Row],[Section]]</f>
        <v>209</v>
      </c>
      <c r="P210">
        <f>Table4[[#This Row],[Canon]]</f>
        <v>2</v>
      </c>
      <c r="Q210" s="1">
        <f>Table4[[#This Row],[Reference]]</f>
        <v>17.309999999999999</v>
      </c>
      <c r="R210" t="str">
        <f>Table4[[#This Row],[StartR]]</f>
        <v>LUK 17:31</v>
      </c>
      <c r="S210" t="str">
        <f>Table4[[#This Row],[EndR]]</f>
        <v>LUK 17:31</v>
      </c>
      <c r="T210">
        <f>Table4[[#This Row],[Merged.Start]]</f>
        <v>43508</v>
      </c>
      <c r="U210">
        <f>Table4[[#This Row],[Merged.End]]</f>
        <v>43537</v>
      </c>
    </row>
    <row r="211" spans="1:21" x14ac:dyDescent="0.25">
      <c r="A211">
        <v>210</v>
      </c>
      <c r="B211">
        <v>10</v>
      </c>
      <c r="C211">
        <v>17.32</v>
      </c>
      <c r="D211" t="s">
        <v>1770</v>
      </c>
      <c r="E211" t="s">
        <v>1770</v>
      </c>
      <c r="F211">
        <v>43538</v>
      </c>
      <c r="G211">
        <v>43541</v>
      </c>
      <c r="H211">
        <v>0</v>
      </c>
      <c r="K211">
        <f>IF(Table4[[#This Row],[NeedsAttention]]=1,Table4[[#This Row],[Start]],Table4[[#This Row],[StartN]])</f>
        <v>43538</v>
      </c>
      <c r="L211">
        <f>IF(Table4[[#This Row],[NeedsAttention]]=1,Table4[[#This Row],[End]],Table4[[#This Row],[EndN]])</f>
        <v>43541</v>
      </c>
      <c r="M211" t="b">
        <f>Table4[[#This Row],[Merged.Start]]=L210+1</f>
        <v>1</v>
      </c>
      <c r="O211">
        <f>Table4[[#This Row],[Section]]</f>
        <v>210</v>
      </c>
      <c r="P211">
        <f>Table4[[#This Row],[Canon]]</f>
        <v>10</v>
      </c>
      <c r="Q211" s="1">
        <f>Table4[[#This Row],[Reference]]</f>
        <v>17.32</v>
      </c>
      <c r="R211" t="str">
        <f>Table4[[#This Row],[StartR]]</f>
        <v>LUK 17:32</v>
      </c>
      <c r="S211" t="str">
        <f>Table4[[#This Row],[EndR]]</f>
        <v>LUK 17:32</v>
      </c>
      <c r="T211">
        <f>Table4[[#This Row],[Merged.Start]]</f>
        <v>43538</v>
      </c>
      <c r="U211">
        <f>Table4[[#This Row],[Merged.End]]</f>
        <v>43541</v>
      </c>
    </row>
    <row r="212" spans="1:21" x14ac:dyDescent="0.25">
      <c r="A212">
        <v>211</v>
      </c>
      <c r="B212">
        <v>3</v>
      </c>
      <c r="C212">
        <v>17.329999999999998</v>
      </c>
      <c r="D212" t="s">
        <v>1771</v>
      </c>
      <c r="E212" t="s">
        <v>1771</v>
      </c>
      <c r="F212">
        <v>43542</v>
      </c>
      <c r="G212">
        <v>43556</v>
      </c>
      <c r="H212">
        <v>0</v>
      </c>
      <c r="K212">
        <f>IF(Table4[[#This Row],[NeedsAttention]]=1,Table4[[#This Row],[Start]],Table4[[#This Row],[StartN]])</f>
        <v>43542</v>
      </c>
      <c r="L212">
        <f>IF(Table4[[#This Row],[NeedsAttention]]=1,Table4[[#This Row],[End]],Table4[[#This Row],[EndN]])</f>
        <v>43556</v>
      </c>
      <c r="M212" t="b">
        <f>Table4[[#This Row],[Merged.Start]]=L211+1</f>
        <v>1</v>
      </c>
      <c r="O212">
        <f>Table4[[#This Row],[Section]]</f>
        <v>211</v>
      </c>
      <c r="P212">
        <f>Table4[[#This Row],[Canon]]</f>
        <v>3</v>
      </c>
      <c r="Q212" s="1">
        <f>Table4[[#This Row],[Reference]]</f>
        <v>17.329999999999998</v>
      </c>
      <c r="R212" t="str">
        <f>Table4[[#This Row],[StartR]]</f>
        <v>LUK 17:33</v>
      </c>
      <c r="S212" t="str">
        <f>Table4[[#This Row],[EndR]]</f>
        <v>LUK 17:33</v>
      </c>
      <c r="T212">
        <f>Table4[[#This Row],[Merged.Start]]</f>
        <v>43542</v>
      </c>
      <c r="U212">
        <f>Table4[[#This Row],[Merged.End]]</f>
        <v>43556</v>
      </c>
    </row>
    <row r="213" spans="1:21" x14ac:dyDescent="0.25">
      <c r="A213">
        <v>212</v>
      </c>
      <c r="B213">
        <v>5</v>
      </c>
      <c r="C213" t="s">
        <v>1772</v>
      </c>
      <c r="D213" t="s">
        <v>2523</v>
      </c>
      <c r="E213" t="s">
        <v>2524</v>
      </c>
      <c r="F213">
        <v>0</v>
      </c>
      <c r="G213">
        <v>0</v>
      </c>
      <c r="H213">
        <v>1</v>
      </c>
      <c r="I213">
        <v>43557</v>
      </c>
      <c r="J213">
        <v>43586</v>
      </c>
      <c r="K213">
        <f>IF(Table4[[#This Row],[NeedsAttention]]=1,Table4[[#This Row],[Start]],Table4[[#This Row],[StartN]])</f>
        <v>43557</v>
      </c>
      <c r="L213">
        <f>IF(Table4[[#This Row],[NeedsAttention]]=1,Table4[[#This Row],[End]],Table4[[#This Row],[EndN]])</f>
        <v>43586</v>
      </c>
      <c r="M213" t="b">
        <f>Table4[[#This Row],[Merged.Start]]=L212+1</f>
        <v>1</v>
      </c>
      <c r="O213">
        <f>Table4[[#This Row],[Section]]</f>
        <v>212</v>
      </c>
      <c r="P213">
        <f>Table4[[#This Row],[Canon]]</f>
        <v>5</v>
      </c>
      <c r="Q213" s="1" t="str">
        <f>Table4[[#This Row],[Reference]]</f>
        <v>17.34-35 (+36, in note)</v>
      </c>
      <c r="R213" t="str">
        <f>Table4[[#This Row],[StartR]]</f>
        <v>LUK 17:34</v>
      </c>
      <c r="S213" t="str">
        <f>Table4[[#This Row],[EndR]]</f>
        <v>LUK 17:36</v>
      </c>
      <c r="T213">
        <f>Table4[[#This Row],[Merged.Start]]</f>
        <v>43557</v>
      </c>
      <c r="U213">
        <f>Table4[[#This Row],[Merged.End]]</f>
        <v>43586</v>
      </c>
    </row>
    <row r="214" spans="1:21" x14ac:dyDescent="0.25">
      <c r="A214">
        <v>213</v>
      </c>
      <c r="B214">
        <v>5</v>
      </c>
      <c r="C214">
        <v>17.37</v>
      </c>
      <c r="D214" t="s">
        <v>1773</v>
      </c>
      <c r="E214" t="s">
        <v>1773</v>
      </c>
      <c r="F214">
        <v>43587</v>
      </c>
      <c r="G214">
        <v>43604</v>
      </c>
      <c r="H214">
        <v>0</v>
      </c>
      <c r="K214">
        <f>IF(Table4[[#This Row],[NeedsAttention]]=1,Table4[[#This Row],[Start]],Table4[[#This Row],[StartN]])</f>
        <v>43587</v>
      </c>
      <c r="L214">
        <f>IF(Table4[[#This Row],[NeedsAttention]]=1,Table4[[#This Row],[End]],Table4[[#This Row],[EndN]])</f>
        <v>43604</v>
      </c>
      <c r="M214" t="b">
        <f>Table4[[#This Row],[Merged.Start]]=L213+1</f>
        <v>1</v>
      </c>
      <c r="O214">
        <f>Table4[[#This Row],[Section]]</f>
        <v>213</v>
      </c>
      <c r="P214">
        <f>Table4[[#This Row],[Canon]]</f>
        <v>5</v>
      </c>
      <c r="Q214" s="1">
        <f>Table4[[#This Row],[Reference]]</f>
        <v>17.37</v>
      </c>
      <c r="R214" t="str">
        <f>Table4[[#This Row],[StartR]]</f>
        <v>LUK 17:37</v>
      </c>
      <c r="S214" t="str">
        <f>Table4[[#This Row],[EndR]]</f>
        <v>LUK 17:37</v>
      </c>
      <c r="T214">
        <f>Table4[[#This Row],[Merged.Start]]</f>
        <v>43587</v>
      </c>
      <c r="U214">
        <f>Table4[[#This Row],[Merged.End]]</f>
        <v>43604</v>
      </c>
    </row>
    <row r="215" spans="1:21" x14ac:dyDescent="0.25">
      <c r="A215">
        <v>214</v>
      </c>
      <c r="B215">
        <v>10</v>
      </c>
      <c r="C215" t="s">
        <v>1774</v>
      </c>
      <c r="D215" t="s">
        <v>1775</v>
      </c>
      <c r="E215" t="s">
        <v>1776</v>
      </c>
      <c r="F215">
        <v>43605</v>
      </c>
      <c r="G215">
        <v>43859</v>
      </c>
      <c r="H215">
        <v>1</v>
      </c>
      <c r="I215">
        <v>43605</v>
      </c>
      <c r="J215">
        <v>43848</v>
      </c>
      <c r="K215">
        <f>IF(Table4[[#This Row],[NeedsAttention]]=1,Table4[[#This Row],[Start]],Table4[[#This Row],[StartN]])</f>
        <v>43605</v>
      </c>
      <c r="L215">
        <f>IF(Table4[[#This Row],[NeedsAttention]]=1,Table4[[#This Row],[End]],Table4[[#This Row],[EndN]])</f>
        <v>43848</v>
      </c>
      <c r="M215" t="b">
        <f>Table4[[#This Row],[Merged.Start]]=L214+1</f>
        <v>1</v>
      </c>
      <c r="O215">
        <f>Table4[[#This Row],[Section]]</f>
        <v>214</v>
      </c>
      <c r="P215">
        <f>Table4[[#This Row],[Canon]]</f>
        <v>10</v>
      </c>
      <c r="Q215" s="1" t="str">
        <f>Table4[[#This Row],[Reference]]</f>
        <v>18.1-14A</v>
      </c>
      <c r="R215" t="str">
        <f>Table4[[#This Row],[StartR]]</f>
        <v>LUK 18:1</v>
      </c>
      <c r="S215" t="str">
        <f>Table4[[#This Row],[EndR]]</f>
        <v>LUK 18:14</v>
      </c>
      <c r="T215">
        <f>Table4[[#This Row],[Merged.Start]]</f>
        <v>43605</v>
      </c>
      <c r="U215">
        <f>Table4[[#This Row],[Merged.End]]</f>
        <v>43848</v>
      </c>
    </row>
    <row r="216" spans="1:21" x14ac:dyDescent="0.25">
      <c r="A216">
        <v>215</v>
      </c>
      <c r="B216">
        <v>5</v>
      </c>
      <c r="C216" t="s">
        <v>1777</v>
      </c>
      <c r="D216" t="s">
        <v>1776</v>
      </c>
      <c r="E216" t="s">
        <v>1776</v>
      </c>
      <c r="F216">
        <v>43838</v>
      </c>
      <c r="G216">
        <v>43859</v>
      </c>
      <c r="H216">
        <v>1</v>
      </c>
      <c r="I216">
        <v>43849</v>
      </c>
      <c r="J216">
        <v>43859</v>
      </c>
      <c r="K216">
        <f>IF(Table4[[#This Row],[NeedsAttention]]=1,Table4[[#This Row],[Start]],Table4[[#This Row],[StartN]])</f>
        <v>43849</v>
      </c>
      <c r="L216">
        <f>IF(Table4[[#This Row],[NeedsAttention]]=1,Table4[[#This Row],[End]],Table4[[#This Row],[EndN]])</f>
        <v>43859</v>
      </c>
      <c r="M216" t="b">
        <f>Table4[[#This Row],[Merged.Start]]=L215+1</f>
        <v>1</v>
      </c>
      <c r="O216">
        <f>Table4[[#This Row],[Section]]</f>
        <v>215</v>
      </c>
      <c r="P216">
        <f>Table4[[#This Row],[Canon]]</f>
        <v>5</v>
      </c>
      <c r="Q216" s="1" t="str">
        <f>Table4[[#This Row],[Reference]]</f>
        <v>18.14B</v>
      </c>
      <c r="R216" t="str">
        <f>Table4[[#This Row],[StartR]]</f>
        <v>LUK 18:14</v>
      </c>
      <c r="S216" t="str">
        <f>Table4[[#This Row],[EndR]]</f>
        <v>LUK 18:14</v>
      </c>
      <c r="T216">
        <f>Table4[[#This Row],[Merged.Start]]</f>
        <v>43849</v>
      </c>
      <c r="U216">
        <f>Table4[[#This Row],[Merged.End]]</f>
        <v>43859</v>
      </c>
    </row>
    <row r="217" spans="1:21" x14ac:dyDescent="0.25">
      <c r="A217">
        <v>216</v>
      </c>
      <c r="B217">
        <v>2</v>
      </c>
      <c r="C217" t="s">
        <v>1778</v>
      </c>
      <c r="D217" t="s">
        <v>1779</v>
      </c>
      <c r="E217" t="s">
        <v>1780</v>
      </c>
      <c r="F217">
        <v>43860</v>
      </c>
      <c r="G217">
        <v>43898</v>
      </c>
      <c r="H217">
        <v>0</v>
      </c>
      <c r="K217">
        <f>IF(Table4[[#This Row],[NeedsAttention]]=1,Table4[[#This Row],[Start]],Table4[[#This Row],[StartN]])</f>
        <v>43860</v>
      </c>
      <c r="L217">
        <f>IF(Table4[[#This Row],[NeedsAttention]]=1,Table4[[#This Row],[End]],Table4[[#This Row],[EndN]])</f>
        <v>43898</v>
      </c>
      <c r="M217" t="b">
        <f>Table4[[#This Row],[Merged.Start]]=L216+1</f>
        <v>1</v>
      </c>
      <c r="O217">
        <f>Table4[[#This Row],[Section]]</f>
        <v>216</v>
      </c>
      <c r="P217">
        <f>Table4[[#This Row],[Canon]]</f>
        <v>2</v>
      </c>
      <c r="Q217" s="1" t="str">
        <f>Table4[[#This Row],[Reference]]</f>
        <v>18.15-16</v>
      </c>
      <c r="R217" t="str">
        <f>Table4[[#This Row],[StartR]]</f>
        <v>LUK 18:15</v>
      </c>
      <c r="S217" t="str">
        <f>Table4[[#This Row],[EndR]]</f>
        <v>LUK 18:16</v>
      </c>
      <c r="T217">
        <f>Table4[[#This Row],[Merged.Start]]</f>
        <v>43860</v>
      </c>
      <c r="U217">
        <f>Table4[[#This Row],[Merged.End]]</f>
        <v>43898</v>
      </c>
    </row>
    <row r="218" spans="1:21" x14ac:dyDescent="0.25">
      <c r="A218">
        <v>217</v>
      </c>
      <c r="B218">
        <v>2</v>
      </c>
      <c r="C218">
        <v>18.170000000000002</v>
      </c>
      <c r="D218" t="s">
        <v>1781</v>
      </c>
      <c r="E218" t="s">
        <v>1781</v>
      </c>
      <c r="F218">
        <v>43899</v>
      </c>
      <c r="G218">
        <v>43916</v>
      </c>
      <c r="H218">
        <v>0</v>
      </c>
      <c r="K218">
        <f>IF(Table4[[#This Row],[NeedsAttention]]=1,Table4[[#This Row],[Start]],Table4[[#This Row],[StartN]])</f>
        <v>43899</v>
      </c>
      <c r="L218">
        <f>IF(Table4[[#This Row],[NeedsAttention]]=1,Table4[[#This Row],[End]],Table4[[#This Row],[EndN]])</f>
        <v>43916</v>
      </c>
      <c r="M218" t="b">
        <f>Table4[[#This Row],[Merged.Start]]=L217+1</f>
        <v>1</v>
      </c>
      <c r="O218">
        <f>Table4[[#This Row],[Section]]</f>
        <v>217</v>
      </c>
      <c r="P218">
        <f>Table4[[#This Row],[Canon]]</f>
        <v>2</v>
      </c>
      <c r="Q218" s="1">
        <f>Table4[[#This Row],[Reference]]</f>
        <v>18.170000000000002</v>
      </c>
      <c r="R218" t="str">
        <f>Table4[[#This Row],[StartR]]</f>
        <v>LUK 18:17</v>
      </c>
      <c r="S218" t="str">
        <f>Table4[[#This Row],[EndR]]</f>
        <v>LUK 18:17</v>
      </c>
      <c r="T218">
        <f>Table4[[#This Row],[Merged.Start]]</f>
        <v>43899</v>
      </c>
      <c r="U218">
        <f>Table4[[#This Row],[Merged.End]]</f>
        <v>43916</v>
      </c>
    </row>
    <row r="219" spans="1:21" x14ac:dyDescent="0.25">
      <c r="A219">
        <v>218</v>
      </c>
      <c r="B219">
        <v>2</v>
      </c>
      <c r="C219" t="s">
        <v>1782</v>
      </c>
      <c r="D219" t="s">
        <v>1783</v>
      </c>
      <c r="E219" t="s">
        <v>1784</v>
      </c>
      <c r="F219">
        <v>43917</v>
      </c>
      <c r="G219">
        <v>43972</v>
      </c>
      <c r="H219">
        <v>0</v>
      </c>
      <c r="K219">
        <f>IF(Table4[[#This Row],[NeedsAttention]]=1,Table4[[#This Row],[Start]],Table4[[#This Row],[StartN]])</f>
        <v>43917</v>
      </c>
      <c r="L219">
        <f>IF(Table4[[#This Row],[NeedsAttention]]=1,Table4[[#This Row],[End]],Table4[[#This Row],[EndN]])</f>
        <v>43972</v>
      </c>
      <c r="M219" t="b">
        <f>Table4[[#This Row],[Merged.Start]]=L218+1</f>
        <v>1</v>
      </c>
      <c r="O219">
        <f>Table4[[#This Row],[Section]]</f>
        <v>218</v>
      </c>
      <c r="P219">
        <f>Table4[[#This Row],[Canon]]</f>
        <v>2</v>
      </c>
      <c r="Q219" s="1" t="str">
        <f>Table4[[#This Row],[Reference]]</f>
        <v>18.18-21</v>
      </c>
      <c r="R219" t="str">
        <f>Table4[[#This Row],[StartR]]</f>
        <v>LUK 18:18</v>
      </c>
      <c r="S219" t="str">
        <f>Table4[[#This Row],[EndR]]</f>
        <v>LUK 18:21</v>
      </c>
      <c r="T219">
        <f>Table4[[#This Row],[Merged.Start]]</f>
        <v>43917</v>
      </c>
      <c r="U219">
        <f>Table4[[#This Row],[Merged.End]]</f>
        <v>43972</v>
      </c>
    </row>
    <row r="220" spans="1:21" x14ac:dyDescent="0.25">
      <c r="A220">
        <v>219</v>
      </c>
      <c r="B220">
        <v>2</v>
      </c>
      <c r="C220">
        <v>18.22</v>
      </c>
      <c r="D220" t="s">
        <v>1785</v>
      </c>
      <c r="E220" t="s">
        <v>1785</v>
      </c>
      <c r="F220">
        <v>43973</v>
      </c>
      <c r="G220">
        <v>43998</v>
      </c>
      <c r="H220">
        <v>0</v>
      </c>
      <c r="K220">
        <f>IF(Table4[[#This Row],[NeedsAttention]]=1,Table4[[#This Row],[Start]],Table4[[#This Row],[StartN]])</f>
        <v>43973</v>
      </c>
      <c r="L220">
        <f>IF(Table4[[#This Row],[NeedsAttention]]=1,Table4[[#This Row],[End]],Table4[[#This Row],[EndN]])</f>
        <v>43998</v>
      </c>
      <c r="M220" t="b">
        <f>Table4[[#This Row],[Merged.Start]]=L219+1</f>
        <v>1</v>
      </c>
      <c r="O220">
        <f>Table4[[#This Row],[Section]]</f>
        <v>219</v>
      </c>
      <c r="P220">
        <f>Table4[[#This Row],[Canon]]</f>
        <v>2</v>
      </c>
      <c r="Q220" s="1">
        <f>Table4[[#This Row],[Reference]]</f>
        <v>18.22</v>
      </c>
      <c r="R220" t="str">
        <f>Table4[[#This Row],[StartR]]</f>
        <v>LUK 18:22</v>
      </c>
      <c r="S220" t="str">
        <f>Table4[[#This Row],[EndR]]</f>
        <v>LUK 18:22</v>
      </c>
      <c r="T220">
        <f>Table4[[#This Row],[Merged.Start]]</f>
        <v>43973</v>
      </c>
      <c r="U220">
        <f>Table4[[#This Row],[Merged.End]]</f>
        <v>43998</v>
      </c>
    </row>
    <row r="221" spans="1:21" x14ac:dyDescent="0.25">
      <c r="A221">
        <v>220</v>
      </c>
      <c r="B221">
        <v>2</v>
      </c>
      <c r="C221" t="s">
        <v>1786</v>
      </c>
      <c r="D221" t="s">
        <v>1787</v>
      </c>
      <c r="E221" t="s">
        <v>1788</v>
      </c>
      <c r="F221">
        <v>43999</v>
      </c>
      <c r="G221">
        <v>44073</v>
      </c>
      <c r="H221">
        <v>0</v>
      </c>
      <c r="K221">
        <f>IF(Table4[[#This Row],[NeedsAttention]]=1,Table4[[#This Row],[Start]],Table4[[#This Row],[StartN]])</f>
        <v>43999</v>
      </c>
      <c r="L221">
        <f>IF(Table4[[#This Row],[NeedsAttention]]=1,Table4[[#This Row],[End]],Table4[[#This Row],[EndN]])</f>
        <v>44073</v>
      </c>
      <c r="M221" t="b">
        <f>Table4[[#This Row],[Merged.Start]]=L220+1</f>
        <v>1</v>
      </c>
      <c r="O221">
        <f>Table4[[#This Row],[Section]]</f>
        <v>220</v>
      </c>
      <c r="P221">
        <f>Table4[[#This Row],[Canon]]</f>
        <v>2</v>
      </c>
      <c r="Q221" s="1" t="str">
        <f>Table4[[#This Row],[Reference]]</f>
        <v>18.23-28</v>
      </c>
      <c r="R221" t="str">
        <f>Table4[[#This Row],[StartR]]</f>
        <v>LUK 18:23</v>
      </c>
      <c r="S221" t="str">
        <f>Table4[[#This Row],[EndR]]</f>
        <v>LUK 18:28</v>
      </c>
      <c r="T221">
        <f>Table4[[#This Row],[Merged.Start]]</f>
        <v>43999</v>
      </c>
      <c r="U221">
        <f>Table4[[#This Row],[Merged.End]]</f>
        <v>44073</v>
      </c>
    </row>
    <row r="222" spans="1:21" x14ac:dyDescent="0.25">
      <c r="A222">
        <v>221</v>
      </c>
      <c r="B222">
        <v>2</v>
      </c>
      <c r="C222" t="s">
        <v>1789</v>
      </c>
      <c r="D222" t="s">
        <v>1790</v>
      </c>
      <c r="E222" t="s">
        <v>1791</v>
      </c>
      <c r="F222">
        <v>44074</v>
      </c>
      <c r="G222">
        <v>44116</v>
      </c>
      <c r="H222">
        <v>0</v>
      </c>
      <c r="K222">
        <f>IF(Table4[[#This Row],[NeedsAttention]]=1,Table4[[#This Row],[Start]],Table4[[#This Row],[StartN]])</f>
        <v>44074</v>
      </c>
      <c r="L222">
        <f>IF(Table4[[#This Row],[NeedsAttention]]=1,Table4[[#This Row],[End]],Table4[[#This Row],[EndN]])</f>
        <v>44116</v>
      </c>
      <c r="M222" t="b">
        <f>Table4[[#This Row],[Merged.Start]]=L221+1</f>
        <v>1</v>
      </c>
      <c r="O222">
        <f>Table4[[#This Row],[Section]]</f>
        <v>221</v>
      </c>
      <c r="P222">
        <f>Table4[[#This Row],[Canon]]</f>
        <v>2</v>
      </c>
      <c r="Q222" s="1" t="str">
        <f>Table4[[#This Row],[Reference]]</f>
        <v>18.29-30</v>
      </c>
      <c r="R222" t="str">
        <f>Table4[[#This Row],[StartR]]</f>
        <v>LUK 18:29</v>
      </c>
      <c r="S222" t="str">
        <f>Table4[[#This Row],[EndR]]</f>
        <v>LUK 18:30</v>
      </c>
      <c r="T222">
        <f>Table4[[#This Row],[Merged.Start]]</f>
        <v>44074</v>
      </c>
      <c r="U222">
        <f>Table4[[#This Row],[Merged.End]]</f>
        <v>44116</v>
      </c>
    </row>
    <row r="223" spans="1:21" x14ac:dyDescent="0.25">
      <c r="A223">
        <v>222</v>
      </c>
      <c r="B223">
        <v>2</v>
      </c>
      <c r="C223" t="s">
        <v>1792</v>
      </c>
      <c r="D223" t="s">
        <v>1793</v>
      </c>
      <c r="E223" t="s">
        <v>1794</v>
      </c>
      <c r="F223">
        <v>44117</v>
      </c>
      <c r="G223">
        <v>44159</v>
      </c>
      <c r="H223">
        <v>0</v>
      </c>
      <c r="K223">
        <f>IF(Table4[[#This Row],[NeedsAttention]]=1,Table4[[#This Row],[Start]],Table4[[#This Row],[StartN]])</f>
        <v>44117</v>
      </c>
      <c r="L223">
        <f>IF(Table4[[#This Row],[NeedsAttention]]=1,Table4[[#This Row],[End]],Table4[[#This Row],[EndN]])</f>
        <v>44159</v>
      </c>
      <c r="M223" t="b">
        <f>Table4[[#This Row],[Merged.Start]]=L222+1</f>
        <v>1</v>
      </c>
      <c r="O223">
        <f>Table4[[#This Row],[Section]]</f>
        <v>222</v>
      </c>
      <c r="P223">
        <f>Table4[[#This Row],[Canon]]</f>
        <v>2</v>
      </c>
      <c r="Q223" s="1" t="str">
        <f>Table4[[#This Row],[Reference]]</f>
        <v>18.31-33</v>
      </c>
      <c r="R223" t="str">
        <f>Table4[[#This Row],[StartR]]</f>
        <v>LUK 18:31</v>
      </c>
      <c r="S223" t="str">
        <f>Table4[[#This Row],[EndR]]</f>
        <v>LUK 18:33</v>
      </c>
      <c r="T223">
        <f>Table4[[#This Row],[Merged.Start]]</f>
        <v>44117</v>
      </c>
      <c r="U223">
        <f>Table4[[#This Row],[Merged.End]]</f>
        <v>44159</v>
      </c>
    </row>
    <row r="224" spans="1:21" x14ac:dyDescent="0.25">
      <c r="A224">
        <v>223</v>
      </c>
      <c r="B224">
        <v>10</v>
      </c>
      <c r="C224">
        <v>18.34</v>
      </c>
      <c r="D224" t="s">
        <v>1795</v>
      </c>
      <c r="E224" t="s">
        <v>1795</v>
      </c>
      <c r="F224">
        <v>44160</v>
      </c>
      <c r="G224">
        <v>44177</v>
      </c>
      <c r="H224">
        <v>0</v>
      </c>
      <c r="K224">
        <f>IF(Table4[[#This Row],[NeedsAttention]]=1,Table4[[#This Row],[Start]],Table4[[#This Row],[StartN]])</f>
        <v>44160</v>
      </c>
      <c r="L224">
        <f>IF(Table4[[#This Row],[NeedsAttention]]=1,Table4[[#This Row],[End]],Table4[[#This Row],[EndN]])</f>
        <v>44177</v>
      </c>
      <c r="M224" t="b">
        <f>Table4[[#This Row],[Merged.Start]]=L223+1</f>
        <v>1</v>
      </c>
      <c r="O224">
        <f>Table4[[#This Row],[Section]]</f>
        <v>223</v>
      </c>
      <c r="P224">
        <f>Table4[[#This Row],[Canon]]</f>
        <v>10</v>
      </c>
      <c r="Q224" s="1">
        <f>Table4[[#This Row],[Reference]]</f>
        <v>18.34</v>
      </c>
      <c r="R224" t="str">
        <f>Table4[[#This Row],[StartR]]</f>
        <v>LUK 18:34</v>
      </c>
      <c r="S224" t="str">
        <f>Table4[[#This Row],[EndR]]</f>
        <v>LUK 18:34</v>
      </c>
      <c r="T224">
        <f>Table4[[#This Row],[Merged.Start]]</f>
        <v>44160</v>
      </c>
      <c r="U224">
        <f>Table4[[#This Row],[Merged.End]]</f>
        <v>44177</v>
      </c>
    </row>
    <row r="225" spans="1:21" x14ac:dyDescent="0.25">
      <c r="A225">
        <v>224</v>
      </c>
      <c r="B225">
        <v>2</v>
      </c>
      <c r="C225" t="s">
        <v>1796</v>
      </c>
      <c r="D225" t="s">
        <v>1797</v>
      </c>
      <c r="E225" t="s">
        <v>1798</v>
      </c>
      <c r="F225">
        <v>44178</v>
      </c>
      <c r="G225">
        <v>44285</v>
      </c>
      <c r="H225">
        <v>0</v>
      </c>
      <c r="K225">
        <f>IF(Table4[[#This Row],[NeedsAttention]]=1,Table4[[#This Row],[Start]],Table4[[#This Row],[StartN]])</f>
        <v>44178</v>
      </c>
      <c r="L225">
        <f>IF(Table4[[#This Row],[NeedsAttention]]=1,Table4[[#This Row],[End]],Table4[[#This Row],[EndN]])</f>
        <v>44285</v>
      </c>
      <c r="M225" t="b">
        <f>Table4[[#This Row],[Merged.Start]]=L224+1</f>
        <v>1</v>
      </c>
      <c r="O225">
        <f>Table4[[#This Row],[Section]]</f>
        <v>224</v>
      </c>
      <c r="P225">
        <f>Table4[[#This Row],[Canon]]</f>
        <v>2</v>
      </c>
      <c r="Q225" s="1" t="str">
        <f>Table4[[#This Row],[Reference]]</f>
        <v>18.35-43</v>
      </c>
      <c r="R225" t="str">
        <f>Table4[[#This Row],[StartR]]</f>
        <v>LUK 18:35</v>
      </c>
      <c r="S225" t="str">
        <f>Table4[[#This Row],[EndR]]</f>
        <v>LUK 18:43</v>
      </c>
      <c r="T225">
        <f>Table4[[#This Row],[Merged.Start]]</f>
        <v>44178</v>
      </c>
      <c r="U225">
        <f>Table4[[#This Row],[Merged.End]]</f>
        <v>44285</v>
      </c>
    </row>
    <row r="226" spans="1:21" x14ac:dyDescent="0.25">
      <c r="A226">
        <v>225</v>
      </c>
      <c r="B226">
        <v>10</v>
      </c>
      <c r="C226" t="s">
        <v>1799</v>
      </c>
      <c r="D226" t="s">
        <v>1800</v>
      </c>
      <c r="E226" t="s">
        <v>1801</v>
      </c>
      <c r="F226">
        <v>44286</v>
      </c>
      <c r="G226">
        <v>44421</v>
      </c>
      <c r="H226">
        <v>0</v>
      </c>
      <c r="K226">
        <f>IF(Table4[[#This Row],[NeedsAttention]]=1,Table4[[#This Row],[Start]],Table4[[#This Row],[StartN]])</f>
        <v>44286</v>
      </c>
      <c r="L226">
        <f>IF(Table4[[#This Row],[NeedsAttention]]=1,Table4[[#This Row],[End]],Table4[[#This Row],[EndN]])</f>
        <v>44421</v>
      </c>
      <c r="M226" t="b">
        <f>Table4[[#This Row],[Merged.Start]]=L225+1</f>
        <v>1</v>
      </c>
      <c r="O226">
        <f>Table4[[#This Row],[Section]]</f>
        <v>225</v>
      </c>
      <c r="P226">
        <f>Table4[[#This Row],[Canon]]</f>
        <v>10</v>
      </c>
      <c r="Q226" s="1" t="str">
        <f>Table4[[#This Row],[Reference]]</f>
        <v>19.1-9</v>
      </c>
      <c r="R226" t="str">
        <f>Table4[[#This Row],[StartR]]</f>
        <v>LUK 19:1</v>
      </c>
      <c r="S226" t="str">
        <f>Table4[[#This Row],[EndR]]</f>
        <v>LUK 19:9</v>
      </c>
      <c r="T226">
        <f>Table4[[#This Row],[Merged.Start]]</f>
        <v>44286</v>
      </c>
      <c r="U226">
        <f>Table4[[#This Row],[Merged.End]]</f>
        <v>44421</v>
      </c>
    </row>
    <row r="227" spans="1:21" x14ac:dyDescent="0.25">
      <c r="A227">
        <v>226</v>
      </c>
      <c r="B227">
        <v>5</v>
      </c>
      <c r="C227">
        <v>19.100000000000001</v>
      </c>
      <c r="D227" t="s">
        <v>2534</v>
      </c>
      <c r="E227" t="s">
        <v>2534</v>
      </c>
      <c r="F227">
        <v>44422</v>
      </c>
      <c r="G227">
        <v>44432</v>
      </c>
      <c r="H227">
        <v>0</v>
      </c>
      <c r="K227">
        <f>IF(Table4[[#This Row],[NeedsAttention]]=1,Table4[[#This Row],[Start]],Table4[[#This Row],[StartN]])</f>
        <v>44422</v>
      </c>
      <c r="L227">
        <f>IF(Table4[[#This Row],[NeedsAttention]]=1,Table4[[#This Row],[End]],Table4[[#This Row],[EndN]])</f>
        <v>44432</v>
      </c>
      <c r="M227" t="b">
        <f>Table4[[#This Row],[Merged.Start]]=L226+1</f>
        <v>1</v>
      </c>
      <c r="O227">
        <f>Table4[[#This Row],[Section]]</f>
        <v>226</v>
      </c>
      <c r="P227">
        <f>Table4[[#This Row],[Canon]]</f>
        <v>5</v>
      </c>
      <c r="Q227" s="1">
        <f>Table4[[#This Row],[Reference]]</f>
        <v>19.100000000000001</v>
      </c>
      <c r="R227" t="str">
        <f>Table4[[#This Row],[StartR]]</f>
        <v>LUK 19:10</v>
      </c>
      <c r="S227" t="str">
        <f>Table4[[#This Row],[EndR]]</f>
        <v>LUK 19:10</v>
      </c>
      <c r="T227">
        <f>Table4[[#This Row],[Merged.Start]]</f>
        <v>44422</v>
      </c>
      <c r="U227">
        <f>Table4[[#This Row],[Merged.End]]</f>
        <v>44432</v>
      </c>
    </row>
    <row r="228" spans="1:21" x14ac:dyDescent="0.25">
      <c r="A228">
        <v>227</v>
      </c>
      <c r="B228">
        <v>10</v>
      </c>
      <c r="C228">
        <v>19.11</v>
      </c>
      <c r="D228" t="s">
        <v>1802</v>
      </c>
      <c r="E228" t="s">
        <v>1802</v>
      </c>
      <c r="F228">
        <v>44433</v>
      </c>
      <c r="G228">
        <v>44456</v>
      </c>
      <c r="H228">
        <v>0</v>
      </c>
      <c r="K228">
        <f>IF(Table4[[#This Row],[NeedsAttention]]=1,Table4[[#This Row],[Start]],Table4[[#This Row],[StartN]])</f>
        <v>44433</v>
      </c>
      <c r="L228">
        <f>IF(Table4[[#This Row],[NeedsAttention]]=1,Table4[[#This Row],[End]],Table4[[#This Row],[EndN]])</f>
        <v>44456</v>
      </c>
      <c r="M228" t="b">
        <f>Table4[[#This Row],[Merged.Start]]=L227+1</f>
        <v>1</v>
      </c>
      <c r="O228">
        <f>Table4[[#This Row],[Section]]</f>
        <v>227</v>
      </c>
      <c r="P228">
        <f>Table4[[#This Row],[Canon]]</f>
        <v>10</v>
      </c>
      <c r="Q228" s="1">
        <f>Table4[[#This Row],[Reference]]</f>
        <v>19.11</v>
      </c>
      <c r="R228" t="str">
        <f>Table4[[#This Row],[StartR]]</f>
        <v>LUK 19:11</v>
      </c>
      <c r="S228" t="str">
        <f>Table4[[#This Row],[EndR]]</f>
        <v>LUK 19:11</v>
      </c>
      <c r="T228">
        <f>Table4[[#This Row],[Merged.Start]]</f>
        <v>44433</v>
      </c>
      <c r="U228">
        <f>Table4[[#This Row],[Merged.End]]</f>
        <v>44456</v>
      </c>
    </row>
    <row r="229" spans="1:21" x14ac:dyDescent="0.25">
      <c r="A229">
        <v>228</v>
      </c>
      <c r="B229">
        <v>2</v>
      </c>
      <c r="C229">
        <v>19.12</v>
      </c>
      <c r="D229" t="s">
        <v>1803</v>
      </c>
      <c r="E229" t="s">
        <v>1803</v>
      </c>
      <c r="F229">
        <v>44457</v>
      </c>
      <c r="G229">
        <v>44470</v>
      </c>
      <c r="H229">
        <v>0</v>
      </c>
      <c r="K229">
        <f>IF(Table4[[#This Row],[NeedsAttention]]=1,Table4[[#This Row],[Start]],Table4[[#This Row],[StartN]])</f>
        <v>44457</v>
      </c>
      <c r="L229">
        <f>IF(Table4[[#This Row],[NeedsAttention]]=1,Table4[[#This Row],[End]],Table4[[#This Row],[EndN]])</f>
        <v>44470</v>
      </c>
      <c r="M229" t="b">
        <f>Table4[[#This Row],[Merged.Start]]=L228+1</f>
        <v>1</v>
      </c>
      <c r="O229">
        <f>Table4[[#This Row],[Section]]</f>
        <v>228</v>
      </c>
      <c r="P229">
        <f>Table4[[#This Row],[Canon]]</f>
        <v>2</v>
      </c>
      <c r="Q229" s="1">
        <f>Table4[[#This Row],[Reference]]</f>
        <v>19.12</v>
      </c>
      <c r="R229" t="str">
        <f>Table4[[#This Row],[StartR]]</f>
        <v>LUK 19:12</v>
      </c>
      <c r="S229" t="str">
        <f>Table4[[#This Row],[EndR]]</f>
        <v>LUK 19:12</v>
      </c>
      <c r="T229">
        <f>Table4[[#This Row],[Merged.Start]]</f>
        <v>44457</v>
      </c>
      <c r="U229">
        <f>Table4[[#This Row],[Merged.End]]</f>
        <v>44470</v>
      </c>
    </row>
    <row r="230" spans="1:21" x14ac:dyDescent="0.25">
      <c r="A230">
        <v>229</v>
      </c>
      <c r="B230">
        <v>5</v>
      </c>
      <c r="C230" t="s">
        <v>1804</v>
      </c>
      <c r="D230" t="s">
        <v>1805</v>
      </c>
      <c r="E230" t="s">
        <v>1806</v>
      </c>
      <c r="F230">
        <v>44471</v>
      </c>
      <c r="G230">
        <v>44676</v>
      </c>
      <c r="H230">
        <v>0</v>
      </c>
      <c r="K230">
        <f>IF(Table4[[#This Row],[NeedsAttention]]=1,Table4[[#This Row],[Start]],Table4[[#This Row],[StartN]])</f>
        <v>44471</v>
      </c>
      <c r="L230">
        <f>IF(Table4[[#This Row],[NeedsAttention]]=1,Table4[[#This Row],[End]],Table4[[#This Row],[EndN]])</f>
        <v>44676</v>
      </c>
      <c r="M230" t="b">
        <f>Table4[[#This Row],[Merged.Start]]=L229+1</f>
        <v>1</v>
      </c>
      <c r="O230">
        <f>Table4[[#This Row],[Section]]</f>
        <v>229</v>
      </c>
      <c r="P230">
        <f>Table4[[#This Row],[Canon]]</f>
        <v>5</v>
      </c>
      <c r="Q230" s="1" t="str">
        <f>Table4[[#This Row],[Reference]]</f>
        <v>19.13-25</v>
      </c>
      <c r="R230" t="str">
        <f>Table4[[#This Row],[StartR]]</f>
        <v>LUK 19:13</v>
      </c>
      <c r="S230" t="str">
        <f>Table4[[#This Row],[EndR]]</f>
        <v>LUK 19:25</v>
      </c>
      <c r="T230">
        <f>Table4[[#This Row],[Merged.Start]]</f>
        <v>44471</v>
      </c>
      <c r="U230">
        <f>Table4[[#This Row],[Merged.End]]</f>
        <v>44676</v>
      </c>
    </row>
    <row r="231" spans="1:21" x14ac:dyDescent="0.25">
      <c r="A231">
        <v>230</v>
      </c>
      <c r="B231">
        <v>2</v>
      </c>
      <c r="C231">
        <v>19.260000000000002</v>
      </c>
      <c r="D231" t="s">
        <v>1807</v>
      </c>
      <c r="E231" t="s">
        <v>1807</v>
      </c>
      <c r="F231">
        <v>44677</v>
      </c>
      <c r="G231">
        <v>44692</v>
      </c>
      <c r="H231">
        <v>0</v>
      </c>
      <c r="K231">
        <f>IF(Table4[[#This Row],[NeedsAttention]]=1,Table4[[#This Row],[Start]],Table4[[#This Row],[StartN]])</f>
        <v>44677</v>
      </c>
      <c r="L231">
        <f>IF(Table4[[#This Row],[NeedsAttention]]=1,Table4[[#This Row],[End]],Table4[[#This Row],[EndN]])</f>
        <v>44692</v>
      </c>
      <c r="M231" t="b">
        <f>Table4[[#This Row],[Merged.Start]]=L230+1</f>
        <v>1</v>
      </c>
      <c r="O231">
        <f>Table4[[#This Row],[Section]]</f>
        <v>230</v>
      </c>
      <c r="P231">
        <f>Table4[[#This Row],[Canon]]</f>
        <v>2</v>
      </c>
      <c r="Q231" s="1">
        <f>Table4[[#This Row],[Reference]]</f>
        <v>19.260000000000002</v>
      </c>
      <c r="R231" t="str">
        <f>Table4[[#This Row],[StartR]]</f>
        <v>LUK 19:26</v>
      </c>
      <c r="S231" t="str">
        <f>Table4[[#This Row],[EndR]]</f>
        <v>LUK 19:26</v>
      </c>
      <c r="T231">
        <f>Table4[[#This Row],[Merged.Start]]</f>
        <v>44677</v>
      </c>
      <c r="U231">
        <f>Table4[[#This Row],[Merged.End]]</f>
        <v>44692</v>
      </c>
    </row>
    <row r="232" spans="1:21" x14ac:dyDescent="0.25">
      <c r="A232">
        <v>231</v>
      </c>
      <c r="B232">
        <v>5</v>
      </c>
      <c r="C232">
        <v>19.27</v>
      </c>
      <c r="D232" t="s">
        <v>1808</v>
      </c>
      <c r="E232" t="s">
        <v>1808</v>
      </c>
      <c r="F232">
        <v>44693</v>
      </c>
      <c r="G232">
        <v>44711</v>
      </c>
      <c r="H232">
        <v>0</v>
      </c>
      <c r="K232">
        <f>IF(Table4[[#This Row],[NeedsAttention]]=1,Table4[[#This Row],[Start]],Table4[[#This Row],[StartN]])</f>
        <v>44693</v>
      </c>
      <c r="L232">
        <f>IF(Table4[[#This Row],[NeedsAttention]]=1,Table4[[#This Row],[End]],Table4[[#This Row],[EndN]])</f>
        <v>44711</v>
      </c>
      <c r="M232" t="b">
        <f>Table4[[#This Row],[Merged.Start]]=L231+1</f>
        <v>1</v>
      </c>
      <c r="O232">
        <f>Table4[[#This Row],[Section]]</f>
        <v>231</v>
      </c>
      <c r="P232">
        <f>Table4[[#This Row],[Canon]]</f>
        <v>5</v>
      </c>
      <c r="Q232" s="1">
        <f>Table4[[#This Row],[Reference]]</f>
        <v>19.27</v>
      </c>
      <c r="R232" t="str">
        <f>Table4[[#This Row],[StartR]]</f>
        <v>LUK 19:27</v>
      </c>
      <c r="S232" t="str">
        <f>Table4[[#This Row],[EndR]]</f>
        <v>LUK 19:27</v>
      </c>
      <c r="T232">
        <f>Table4[[#This Row],[Merged.Start]]</f>
        <v>44693</v>
      </c>
      <c r="U232">
        <f>Table4[[#This Row],[Merged.End]]</f>
        <v>44711</v>
      </c>
    </row>
    <row r="233" spans="1:21" x14ac:dyDescent="0.25">
      <c r="A233">
        <v>232</v>
      </c>
      <c r="B233">
        <v>2</v>
      </c>
      <c r="C233" t="s">
        <v>1809</v>
      </c>
      <c r="D233" t="s">
        <v>1810</v>
      </c>
      <c r="E233" t="s">
        <v>1811</v>
      </c>
      <c r="F233">
        <v>44712</v>
      </c>
      <c r="G233">
        <v>44775</v>
      </c>
      <c r="H233">
        <v>0</v>
      </c>
      <c r="K233">
        <f>IF(Table4[[#This Row],[NeedsAttention]]=1,Table4[[#This Row],[Start]],Table4[[#This Row],[StartN]])</f>
        <v>44712</v>
      </c>
      <c r="L233">
        <f>IF(Table4[[#This Row],[NeedsAttention]]=1,Table4[[#This Row],[End]],Table4[[#This Row],[EndN]])</f>
        <v>44775</v>
      </c>
      <c r="M233" t="b">
        <f>Table4[[#This Row],[Merged.Start]]=L232+1</f>
        <v>1</v>
      </c>
      <c r="O233">
        <f>Table4[[#This Row],[Section]]</f>
        <v>232</v>
      </c>
      <c r="P233">
        <f>Table4[[#This Row],[Canon]]</f>
        <v>2</v>
      </c>
      <c r="Q233" s="1" t="str">
        <f>Table4[[#This Row],[Reference]]</f>
        <v>19.28-31</v>
      </c>
      <c r="R233" t="str">
        <f>Table4[[#This Row],[StartR]]</f>
        <v>LUK 19:28</v>
      </c>
      <c r="S233" t="str">
        <f>Table4[[#This Row],[EndR]]</f>
        <v>LUK 19:31</v>
      </c>
      <c r="T233">
        <f>Table4[[#This Row],[Merged.Start]]</f>
        <v>44712</v>
      </c>
      <c r="U233">
        <f>Table4[[#This Row],[Merged.End]]</f>
        <v>44775</v>
      </c>
    </row>
    <row r="234" spans="1:21" x14ac:dyDescent="0.25">
      <c r="A234">
        <v>233</v>
      </c>
      <c r="B234">
        <v>2</v>
      </c>
      <c r="C234" t="s">
        <v>1812</v>
      </c>
      <c r="D234" t="s">
        <v>1813</v>
      </c>
      <c r="E234" t="s">
        <v>1814</v>
      </c>
      <c r="F234">
        <v>44776</v>
      </c>
      <c r="G234">
        <v>44834</v>
      </c>
      <c r="H234">
        <v>0</v>
      </c>
      <c r="K234">
        <f>IF(Table4[[#This Row],[NeedsAttention]]=1,Table4[[#This Row],[Start]],Table4[[#This Row],[StartN]])</f>
        <v>44776</v>
      </c>
      <c r="L234">
        <f>IF(Table4[[#This Row],[NeedsAttention]]=1,Table4[[#This Row],[End]],Table4[[#This Row],[EndN]])</f>
        <v>44834</v>
      </c>
      <c r="M234" t="b">
        <f>Table4[[#This Row],[Merged.Start]]=L233+1</f>
        <v>1</v>
      </c>
      <c r="O234">
        <f>Table4[[#This Row],[Section]]</f>
        <v>233</v>
      </c>
      <c r="P234">
        <f>Table4[[#This Row],[Canon]]</f>
        <v>2</v>
      </c>
      <c r="Q234" s="1" t="str">
        <f>Table4[[#This Row],[Reference]]</f>
        <v>19.32-36</v>
      </c>
      <c r="R234" t="str">
        <f>Table4[[#This Row],[StartR]]</f>
        <v>LUK 19:32</v>
      </c>
      <c r="S234" t="str">
        <f>Table4[[#This Row],[EndR]]</f>
        <v>LUK 19:36</v>
      </c>
      <c r="T234">
        <f>Table4[[#This Row],[Merged.Start]]</f>
        <v>44776</v>
      </c>
      <c r="U234">
        <f>Table4[[#This Row],[Merged.End]]</f>
        <v>44834</v>
      </c>
    </row>
    <row r="235" spans="1:21" x14ac:dyDescent="0.25">
      <c r="A235">
        <v>234</v>
      </c>
      <c r="B235">
        <v>1</v>
      </c>
      <c r="C235" t="s">
        <v>1815</v>
      </c>
      <c r="D235" t="s">
        <v>1816</v>
      </c>
      <c r="E235" t="s">
        <v>1817</v>
      </c>
      <c r="F235">
        <v>44835</v>
      </c>
      <c r="G235">
        <v>44877</v>
      </c>
      <c r="H235">
        <v>0</v>
      </c>
      <c r="K235">
        <f>IF(Table4[[#This Row],[NeedsAttention]]=1,Table4[[#This Row],[Start]],Table4[[#This Row],[StartN]])</f>
        <v>44835</v>
      </c>
      <c r="L235">
        <f>IF(Table4[[#This Row],[NeedsAttention]]=1,Table4[[#This Row],[End]],Table4[[#This Row],[EndN]])</f>
        <v>44877</v>
      </c>
      <c r="M235" t="b">
        <f>Table4[[#This Row],[Merged.Start]]=L234+1</f>
        <v>1</v>
      </c>
      <c r="O235">
        <f>Table4[[#This Row],[Section]]</f>
        <v>234</v>
      </c>
      <c r="P235">
        <f>Table4[[#This Row],[Canon]]</f>
        <v>1</v>
      </c>
      <c r="Q235" s="1" t="str">
        <f>Table4[[#This Row],[Reference]]</f>
        <v>19.37-38</v>
      </c>
      <c r="R235" t="str">
        <f>Table4[[#This Row],[StartR]]</f>
        <v>LUK 19:37</v>
      </c>
      <c r="S235" t="str">
        <f>Table4[[#This Row],[EndR]]</f>
        <v>LUK 19:38</v>
      </c>
      <c r="T235">
        <f>Table4[[#This Row],[Merged.Start]]</f>
        <v>44835</v>
      </c>
      <c r="U235">
        <f>Table4[[#This Row],[Merged.End]]</f>
        <v>44877</v>
      </c>
    </row>
    <row r="236" spans="1:21" x14ac:dyDescent="0.25">
      <c r="A236">
        <v>235</v>
      </c>
      <c r="B236">
        <v>5</v>
      </c>
      <c r="C236" t="s">
        <v>1818</v>
      </c>
      <c r="D236" t="s">
        <v>1819</v>
      </c>
      <c r="E236" t="s">
        <v>1820</v>
      </c>
      <c r="F236">
        <v>44878</v>
      </c>
      <c r="G236">
        <v>44904</v>
      </c>
      <c r="H236">
        <v>0</v>
      </c>
      <c r="K236">
        <f>IF(Table4[[#This Row],[NeedsAttention]]=1,Table4[[#This Row],[Start]],Table4[[#This Row],[StartN]])</f>
        <v>44878</v>
      </c>
      <c r="L236">
        <f>IF(Table4[[#This Row],[NeedsAttention]]=1,Table4[[#This Row],[End]],Table4[[#This Row],[EndN]])</f>
        <v>44904</v>
      </c>
      <c r="M236" t="b">
        <f>Table4[[#This Row],[Merged.Start]]=L235+1</f>
        <v>1</v>
      </c>
      <c r="O236">
        <f>Table4[[#This Row],[Section]]</f>
        <v>235</v>
      </c>
      <c r="P236">
        <f>Table4[[#This Row],[Canon]]</f>
        <v>5</v>
      </c>
      <c r="Q236" s="1" t="str">
        <f>Table4[[#This Row],[Reference]]</f>
        <v>19.39-40</v>
      </c>
      <c r="R236" t="str">
        <f>Table4[[#This Row],[StartR]]</f>
        <v>LUK 19:39</v>
      </c>
      <c r="S236" t="str">
        <f>Table4[[#This Row],[EndR]]</f>
        <v>LUK 19:40</v>
      </c>
      <c r="T236">
        <f>Table4[[#This Row],[Merged.Start]]</f>
        <v>44878</v>
      </c>
      <c r="U236">
        <f>Table4[[#This Row],[Merged.End]]</f>
        <v>44904</v>
      </c>
    </row>
    <row r="237" spans="1:21" x14ac:dyDescent="0.25">
      <c r="A237">
        <v>236</v>
      </c>
      <c r="B237">
        <v>10</v>
      </c>
      <c r="C237" t="s">
        <v>1821</v>
      </c>
      <c r="D237" t="s">
        <v>1822</v>
      </c>
      <c r="E237" t="s">
        <v>1823</v>
      </c>
      <c r="F237">
        <v>44905</v>
      </c>
      <c r="G237">
        <v>44977</v>
      </c>
      <c r="H237">
        <v>1</v>
      </c>
      <c r="I237">
        <v>44905</v>
      </c>
      <c r="J237">
        <v>44960</v>
      </c>
      <c r="K237">
        <f>IF(Table4[[#This Row],[NeedsAttention]]=1,Table4[[#This Row],[Start]],Table4[[#This Row],[StartN]])</f>
        <v>44905</v>
      </c>
      <c r="L237">
        <f>IF(Table4[[#This Row],[NeedsAttention]]=1,Table4[[#This Row],[End]],Table4[[#This Row],[EndN]])</f>
        <v>44960</v>
      </c>
      <c r="M237" t="b">
        <f>Table4[[#This Row],[Merged.Start]]=L236+1</f>
        <v>1</v>
      </c>
      <c r="O237">
        <f>Table4[[#This Row],[Section]]</f>
        <v>236</v>
      </c>
      <c r="P237">
        <f>Table4[[#This Row],[Canon]]</f>
        <v>10</v>
      </c>
      <c r="Q237" s="1" t="str">
        <f>Table4[[#This Row],[Reference]]</f>
        <v>19.41-44A</v>
      </c>
      <c r="R237" t="str">
        <f>Table4[[#This Row],[StartR]]</f>
        <v>LUK 19:41</v>
      </c>
      <c r="S237" t="str">
        <f>Table4[[#This Row],[EndR]]</f>
        <v>LUK 19:44</v>
      </c>
      <c r="T237">
        <f>Table4[[#This Row],[Merged.Start]]</f>
        <v>44905</v>
      </c>
      <c r="U237">
        <f>Table4[[#This Row],[Merged.End]]</f>
        <v>44960</v>
      </c>
    </row>
    <row r="238" spans="1:21" x14ac:dyDescent="0.25">
      <c r="A238">
        <v>237</v>
      </c>
      <c r="B238">
        <v>2</v>
      </c>
      <c r="C238" t="s">
        <v>1824</v>
      </c>
      <c r="D238" t="s">
        <v>1823</v>
      </c>
      <c r="E238" t="s">
        <v>1823</v>
      </c>
      <c r="F238">
        <v>44952</v>
      </c>
      <c r="G238">
        <v>44977</v>
      </c>
      <c r="H238">
        <v>1</v>
      </c>
      <c r="I238">
        <v>44961</v>
      </c>
      <c r="J238">
        <v>44977</v>
      </c>
      <c r="K238">
        <f>IF(Table4[[#This Row],[NeedsAttention]]=1,Table4[[#This Row],[Start]],Table4[[#This Row],[StartN]])</f>
        <v>44961</v>
      </c>
      <c r="L238">
        <f>IF(Table4[[#This Row],[NeedsAttention]]=1,Table4[[#This Row],[End]],Table4[[#This Row],[EndN]])</f>
        <v>44977</v>
      </c>
      <c r="M238" t="b">
        <f>Table4[[#This Row],[Merged.Start]]=L237+1</f>
        <v>1</v>
      </c>
      <c r="O238">
        <f>Table4[[#This Row],[Section]]</f>
        <v>237</v>
      </c>
      <c r="P238">
        <f>Table4[[#This Row],[Canon]]</f>
        <v>2</v>
      </c>
      <c r="Q238" s="1" t="str">
        <f>Table4[[#This Row],[Reference]]</f>
        <v>19.44BC</v>
      </c>
      <c r="R238" t="str">
        <f>Table4[[#This Row],[StartR]]</f>
        <v>LUK 19:44</v>
      </c>
      <c r="S238" t="str">
        <f>Table4[[#This Row],[EndR]]</f>
        <v>LUK 19:44</v>
      </c>
      <c r="T238">
        <f>Table4[[#This Row],[Merged.Start]]</f>
        <v>44961</v>
      </c>
      <c r="U238">
        <f>Table4[[#This Row],[Merged.End]]</f>
        <v>44977</v>
      </c>
    </row>
    <row r="239" spans="1:21" x14ac:dyDescent="0.25">
      <c r="A239">
        <v>238</v>
      </c>
      <c r="B239">
        <v>1</v>
      </c>
      <c r="C239" t="s">
        <v>1825</v>
      </c>
      <c r="D239" t="s">
        <v>1826</v>
      </c>
      <c r="E239" t="s">
        <v>1827</v>
      </c>
      <c r="F239">
        <v>44978</v>
      </c>
      <c r="G239">
        <v>45002</v>
      </c>
      <c r="H239">
        <v>0</v>
      </c>
      <c r="K239">
        <f>IF(Table4[[#This Row],[NeedsAttention]]=1,Table4[[#This Row],[Start]],Table4[[#This Row],[StartN]])</f>
        <v>44978</v>
      </c>
      <c r="L239">
        <f>IF(Table4[[#This Row],[NeedsAttention]]=1,Table4[[#This Row],[End]],Table4[[#This Row],[EndN]])</f>
        <v>45002</v>
      </c>
      <c r="M239" t="b">
        <f>Table4[[#This Row],[Merged.Start]]=L238+1</f>
        <v>1</v>
      </c>
      <c r="O239">
        <f>Table4[[#This Row],[Section]]</f>
        <v>238</v>
      </c>
      <c r="P239">
        <f>Table4[[#This Row],[Canon]]</f>
        <v>1</v>
      </c>
      <c r="Q239" s="1" t="str">
        <f>Table4[[#This Row],[Reference]]</f>
        <v>19.45-46</v>
      </c>
      <c r="R239" t="str">
        <f>Table4[[#This Row],[StartR]]</f>
        <v>LUK 19:45</v>
      </c>
      <c r="S239" t="str">
        <f>Table4[[#This Row],[EndR]]</f>
        <v>LUK 19:46</v>
      </c>
      <c r="T239">
        <f>Table4[[#This Row],[Merged.Start]]</f>
        <v>44978</v>
      </c>
      <c r="U239">
        <f>Table4[[#This Row],[Merged.End]]</f>
        <v>45002</v>
      </c>
    </row>
    <row r="240" spans="1:21" x14ac:dyDescent="0.25">
      <c r="A240">
        <v>239</v>
      </c>
      <c r="B240">
        <v>1</v>
      </c>
      <c r="C240" t="s">
        <v>1828</v>
      </c>
      <c r="D240" t="s">
        <v>1829</v>
      </c>
      <c r="E240" t="s">
        <v>1830</v>
      </c>
      <c r="F240">
        <v>45003</v>
      </c>
      <c r="G240">
        <v>45038</v>
      </c>
      <c r="H240">
        <v>0</v>
      </c>
      <c r="K240">
        <f>IF(Table4[[#This Row],[NeedsAttention]]=1,Table4[[#This Row],[Start]],Table4[[#This Row],[StartN]])</f>
        <v>45003</v>
      </c>
      <c r="L240">
        <f>IF(Table4[[#This Row],[NeedsAttention]]=1,Table4[[#This Row],[End]],Table4[[#This Row],[EndN]])</f>
        <v>45038</v>
      </c>
      <c r="M240" t="b">
        <f>Table4[[#This Row],[Merged.Start]]=L239+1</f>
        <v>1</v>
      </c>
      <c r="O240">
        <f>Table4[[#This Row],[Section]]</f>
        <v>239</v>
      </c>
      <c r="P240">
        <f>Table4[[#This Row],[Canon]]</f>
        <v>1</v>
      </c>
      <c r="Q240" s="1" t="str">
        <f>Table4[[#This Row],[Reference]]</f>
        <v>19.47-48</v>
      </c>
      <c r="R240" t="str">
        <f>Table4[[#This Row],[StartR]]</f>
        <v>LUK 19:47</v>
      </c>
      <c r="S240" t="str">
        <f>Table4[[#This Row],[EndR]]</f>
        <v>LUK 19:48</v>
      </c>
      <c r="T240">
        <f>Table4[[#This Row],[Merged.Start]]</f>
        <v>45003</v>
      </c>
      <c r="U240">
        <f>Table4[[#This Row],[Merged.End]]</f>
        <v>45038</v>
      </c>
    </row>
    <row r="241" spans="1:21" x14ac:dyDescent="0.25">
      <c r="A241">
        <v>240</v>
      </c>
      <c r="B241">
        <v>2</v>
      </c>
      <c r="C241" t="s">
        <v>1831</v>
      </c>
      <c r="D241" t="s">
        <v>1832</v>
      </c>
      <c r="E241" t="s">
        <v>1833</v>
      </c>
      <c r="F241">
        <v>45039</v>
      </c>
      <c r="G241">
        <v>45156</v>
      </c>
      <c r="H241">
        <v>0</v>
      </c>
      <c r="K241">
        <f>IF(Table4[[#This Row],[NeedsAttention]]=1,Table4[[#This Row],[Start]],Table4[[#This Row],[StartN]])</f>
        <v>45039</v>
      </c>
      <c r="L241">
        <f>IF(Table4[[#This Row],[NeedsAttention]]=1,Table4[[#This Row],[End]],Table4[[#This Row],[EndN]])</f>
        <v>45156</v>
      </c>
      <c r="M241" t="b">
        <f>Table4[[#This Row],[Merged.Start]]=L240+1</f>
        <v>1</v>
      </c>
      <c r="O241">
        <f>Table4[[#This Row],[Section]]</f>
        <v>240</v>
      </c>
      <c r="P241">
        <f>Table4[[#This Row],[Canon]]</f>
        <v>2</v>
      </c>
      <c r="Q241" s="1" t="str">
        <f>Table4[[#This Row],[Reference]]</f>
        <v>20.1-8</v>
      </c>
      <c r="R241" t="str">
        <f>Table4[[#This Row],[StartR]]</f>
        <v>LUK 20:1</v>
      </c>
      <c r="S241" t="str">
        <f>Table4[[#This Row],[EndR]]</f>
        <v>LUK 20:8</v>
      </c>
      <c r="T241">
        <f>Table4[[#This Row],[Merged.Start]]</f>
        <v>45039</v>
      </c>
      <c r="U241">
        <f>Table4[[#This Row],[Merged.End]]</f>
        <v>45156</v>
      </c>
    </row>
    <row r="242" spans="1:21" x14ac:dyDescent="0.25">
      <c r="A242">
        <v>241</v>
      </c>
      <c r="B242">
        <v>2</v>
      </c>
      <c r="C242" t="s">
        <v>1834</v>
      </c>
      <c r="D242" t="s">
        <v>1835</v>
      </c>
      <c r="E242" t="s">
        <v>1836</v>
      </c>
      <c r="F242">
        <v>45157</v>
      </c>
      <c r="G242">
        <v>45325</v>
      </c>
      <c r="H242">
        <v>0</v>
      </c>
      <c r="K242">
        <f>IF(Table4[[#This Row],[NeedsAttention]]=1,Table4[[#This Row],[Start]],Table4[[#This Row],[StartN]])</f>
        <v>45157</v>
      </c>
      <c r="L242">
        <f>IF(Table4[[#This Row],[NeedsAttention]]=1,Table4[[#This Row],[End]],Table4[[#This Row],[EndN]])</f>
        <v>45325</v>
      </c>
      <c r="M242" t="b">
        <f>Table4[[#This Row],[Merged.Start]]=L241+1</f>
        <v>1</v>
      </c>
      <c r="O242">
        <f>Table4[[#This Row],[Section]]</f>
        <v>241</v>
      </c>
      <c r="P242">
        <f>Table4[[#This Row],[Canon]]</f>
        <v>2</v>
      </c>
      <c r="Q242" s="1" t="str">
        <f>Table4[[#This Row],[Reference]]</f>
        <v>20.9-18</v>
      </c>
      <c r="R242" t="str">
        <f>Table4[[#This Row],[StartR]]</f>
        <v>LUK 20:9</v>
      </c>
      <c r="S242" t="str">
        <f>Table4[[#This Row],[EndR]]</f>
        <v>LUK 20:18</v>
      </c>
      <c r="T242">
        <f>Table4[[#This Row],[Merged.Start]]</f>
        <v>45157</v>
      </c>
      <c r="U242">
        <f>Table4[[#This Row],[Merged.End]]</f>
        <v>45325</v>
      </c>
    </row>
    <row r="243" spans="1:21" x14ac:dyDescent="0.25">
      <c r="A243">
        <v>242</v>
      </c>
      <c r="B243">
        <v>1</v>
      </c>
      <c r="C243">
        <v>20.190000000000001</v>
      </c>
      <c r="D243" t="s">
        <v>1837</v>
      </c>
      <c r="E243" t="s">
        <v>1837</v>
      </c>
      <c r="F243">
        <v>45326</v>
      </c>
      <c r="G243">
        <v>45354</v>
      </c>
      <c r="H243">
        <v>0</v>
      </c>
      <c r="K243">
        <f>IF(Table4[[#This Row],[NeedsAttention]]=1,Table4[[#This Row],[Start]],Table4[[#This Row],[StartN]])</f>
        <v>45326</v>
      </c>
      <c r="L243">
        <f>IF(Table4[[#This Row],[NeedsAttention]]=1,Table4[[#This Row],[End]],Table4[[#This Row],[EndN]])</f>
        <v>45354</v>
      </c>
      <c r="M243" t="b">
        <f>Table4[[#This Row],[Merged.Start]]=L242+1</f>
        <v>1</v>
      </c>
      <c r="O243">
        <f>Table4[[#This Row],[Section]]</f>
        <v>242</v>
      </c>
      <c r="P243">
        <f>Table4[[#This Row],[Canon]]</f>
        <v>1</v>
      </c>
      <c r="Q243" s="1">
        <f>Table4[[#This Row],[Reference]]</f>
        <v>20.190000000000001</v>
      </c>
      <c r="R243" t="str">
        <f>Table4[[#This Row],[StartR]]</f>
        <v>LUK 20:19</v>
      </c>
      <c r="S243" t="str">
        <f>Table4[[#This Row],[EndR]]</f>
        <v>LUK 20:19</v>
      </c>
      <c r="T243">
        <f>Table4[[#This Row],[Merged.Start]]</f>
        <v>45326</v>
      </c>
      <c r="U243">
        <f>Table4[[#This Row],[Merged.End]]</f>
        <v>45354</v>
      </c>
    </row>
    <row r="244" spans="1:21" x14ac:dyDescent="0.25">
      <c r="A244">
        <v>243</v>
      </c>
      <c r="B244">
        <v>2</v>
      </c>
      <c r="C244" t="s">
        <v>1838</v>
      </c>
      <c r="D244" t="s">
        <v>1839</v>
      </c>
      <c r="E244" t="s">
        <v>1840</v>
      </c>
      <c r="F244">
        <v>45355</v>
      </c>
      <c r="G244">
        <v>45637</v>
      </c>
      <c r="H244">
        <v>0</v>
      </c>
      <c r="K244">
        <f>IF(Table4[[#This Row],[NeedsAttention]]=1,Table4[[#This Row],[Start]],Table4[[#This Row],[StartN]])</f>
        <v>45355</v>
      </c>
      <c r="L244">
        <f>IF(Table4[[#This Row],[NeedsAttention]]=1,Table4[[#This Row],[End]],Table4[[#This Row],[EndN]])</f>
        <v>45637</v>
      </c>
      <c r="M244" t="b">
        <f>Table4[[#This Row],[Merged.Start]]=L243+1</f>
        <v>1</v>
      </c>
      <c r="O244">
        <f>Table4[[#This Row],[Section]]</f>
        <v>243</v>
      </c>
      <c r="P244">
        <f>Table4[[#This Row],[Canon]]</f>
        <v>2</v>
      </c>
      <c r="Q244" s="1" t="str">
        <f>Table4[[#This Row],[Reference]]</f>
        <v>20.20-39</v>
      </c>
      <c r="R244" t="str">
        <f>Table4[[#This Row],[StartR]]</f>
        <v>LUK 20:20</v>
      </c>
      <c r="S244" t="str">
        <f>Table4[[#This Row],[EndR]]</f>
        <v>LUK 20:39</v>
      </c>
      <c r="T244">
        <f>Table4[[#This Row],[Merged.Start]]</f>
        <v>45355</v>
      </c>
      <c r="U244">
        <f>Table4[[#This Row],[Merged.End]]</f>
        <v>45637</v>
      </c>
    </row>
    <row r="245" spans="1:21" x14ac:dyDescent="0.25">
      <c r="A245">
        <v>244</v>
      </c>
      <c r="B245">
        <v>2</v>
      </c>
      <c r="C245" t="s">
        <v>2535</v>
      </c>
      <c r="D245" t="s">
        <v>2536</v>
      </c>
      <c r="E245" t="s">
        <v>2536</v>
      </c>
      <c r="F245">
        <v>45638</v>
      </c>
      <c r="G245">
        <v>45643</v>
      </c>
      <c r="H245">
        <v>0</v>
      </c>
      <c r="K245">
        <f>IF(Table4[[#This Row],[NeedsAttention]]=1,Table4[[#This Row],[Start]],Table4[[#This Row],[StartN]])</f>
        <v>45638</v>
      </c>
      <c r="L245">
        <f>IF(Table4[[#This Row],[NeedsAttention]]=1,Table4[[#This Row],[End]],Table4[[#This Row],[EndN]])</f>
        <v>45643</v>
      </c>
      <c r="M245" t="b">
        <f>Table4[[#This Row],[Merged.Start]]=L244+1</f>
        <v>1</v>
      </c>
      <c r="O245">
        <f>Table4[[#This Row],[Section]]</f>
        <v>244</v>
      </c>
      <c r="P245">
        <f>Table4[[#This Row],[Canon]]</f>
        <v>2</v>
      </c>
      <c r="Q245" s="1" t="str">
        <f>Table4[[#This Row],[Reference]]</f>
        <v>20.4</v>
      </c>
      <c r="R245" t="str">
        <f>Table4[[#This Row],[StartR]]</f>
        <v>LUK 20:40</v>
      </c>
      <c r="S245" t="str">
        <f>Table4[[#This Row],[EndR]]</f>
        <v>LUK 20:40</v>
      </c>
      <c r="T245">
        <f>Table4[[#This Row],[Merged.Start]]</f>
        <v>45638</v>
      </c>
      <c r="U245">
        <f>Table4[[#This Row],[Merged.End]]</f>
        <v>45643</v>
      </c>
    </row>
    <row r="246" spans="1:21" x14ac:dyDescent="0.25">
      <c r="A246">
        <v>245</v>
      </c>
      <c r="B246">
        <v>2</v>
      </c>
      <c r="C246" t="s">
        <v>1841</v>
      </c>
      <c r="D246" t="s">
        <v>1842</v>
      </c>
      <c r="E246" t="s">
        <v>1843</v>
      </c>
      <c r="F246">
        <v>45644</v>
      </c>
      <c r="G246">
        <v>45690</v>
      </c>
      <c r="H246">
        <v>0</v>
      </c>
      <c r="K246">
        <f>IF(Table4[[#This Row],[NeedsAttention]]=1,Table4[[#This Row],[Start]],Table4[[#This Row],[StartN]])</f>
        <v>45644</v>
      </c>
      <c r="L246">
        <f>IF(Table4[[#This Row],[NeedsAttention]]=1,Table4[[#This Row],[End]],Table4[[#This Row],[EndN]])</f>
        <v>45690</v>
      </c>
      <c r="M246" t="b">
        <f>Table4[[#This Row],[Merged.Start]]=L245+1</f>
        <v>1</v>
      </c>
      <c r="O246">
        <f>Table4[[#This Row],[Section]]</f>
        <v>245</v>
      </c>
      <c r="P246">
        <f>Table4[[#This Row],[Canon]]</f>
        <v>2</v>
      </c>
      <c r="Q246" s="1" t="str">
        <f>Table4[[#This Row],[Reference]]</f>
        <v>20.41-44</v>
      </c>
      <c r="R246" t="str">
        <f>Table4[[#This Row],[StartR]]</f>
        <v>LUK 20:41</v>
      </c>
      <c r="S246" t="str">
        <f>Table4[[#This Row],[EndR]]</f>
        <v>LUK 20:44</v>
      </c>
      <c r="T246">
        <f>Table4[[#This Row],[Merged.Start]]</f>
        <v>45644</v>
      </c>
      <c r="U246">
        <f>Table4[[#This Row],[Merged.End]]</f>
        <v>45690</v>
      </c>
    </row>
    <row r="247" spans="1:21" x14ac:dyDescent="0.25">
      <c r="A247">
        <v>246</v>
      </c>
      <c r="B247">
        <v>2</v>
      </c>
      <c r="C247" t="s">
        <v>1844</v>
      </c>
      <c r="D247" t="s">
        <v>1845</v>
      </c>
      <c r="E247" t="s">
        <v>1846</v>
      </c>
      <c r="F247">
        <v>45691</v>
      </c>
      <c r="G247">
        <v>45723</v>
      </c>
      <c r="H247">
        <v>0</v>
      </c>
      <c r="K247">
        <f>IF(Table4[[#This Row],[NeedsAttention]]=1,Table4[[#This Row],[Start]],Table4[[#This Row],[StartN]])</f>
        <v>45691</v>
      </c>
      <c r="L247">
        <f>IF(Table4[[#This Row],[NeedsAttention]]=1,Table4[[#This Row],[End]],Table4[[#This Row],[EndN]])</f>
        <v>45723</v>
      </c>
      <c r="M247" t="b">
        <f>Table4[[#This Row],[Merged.Start]]=L246+1</f>
        <v>1</v>
      </c>
      <c r="O247">
        <f>Table4[[#This Row],[Section]]</f>
        <v>246</v>
      </c>
      <c r="P247">
        <f>Table4[[#This Row],[Canon]]</f>
        <v>2</v>
      </c>
      <c r="Q247" s="1" t="str">
        <f>Table4[[#This Row],[Reference]]</f>
        <v>20.45-46</v>
      </c>
      <c r="R247" t="str">
        <f>Table4[[#This Row],[StartR]]</f>
        <v>LUK 20:45</v>
      </c>
      <c r="S247" t="str">
        <f>Table4[[#This Row],[EndR]]</f>
        <v>LUK 20:46</v>
      </c>
      <c r="T247">
        <f>Table4[[#This Row],[Merged.Start]]</f>
        <v>45691</v>
      </c>
      <c r="U247">
        <f>Table4[[#This Row],[Merged.End]]</f>
        <v>45723</v>
      </c>
    </row>
    <row r="248" spans="1:21" x14ac:dyDescent="0.25">
      <c r="A248">
        <v>247</v>
      </c>
      <c r="B248">
        <v>8</v>
      </c>
      <c r="C248" t="s">
        <v>1847</v>
      </c>
      <c r="D248" t="s">
        <v>1848</v>
      </c>
      <c r="E248" t="s">
        <v>1849</v>
      </c>
      <c r="F248">
        <v>45724</v>
      </c>
      <c r="G248">
        <v>45795</v>
      </c>
      <c r="H248">
        <v>0</v>
      </c>
      <c r="K248">
        <f>IF(Table4[[#This Row],[NeedsAttention]]=1,Table4[[#This Row],[Start]],Table4[[#This Row],[StartN]])</f>
        <v>45724</v>
      </c>
      <c r="L248">
        <f>IF(Table4[[#This Row],[NeedsAttention]]=1,Table4[[#This Row],[End]],Table4[[#This Row],[EndN]])</f>
        <v>45795</v>
      </c>
      <c r="M248" t="b">
        <f>Table4[[#This Row],[Merged.Start]]=L247+1</f>
        <v>1</v>
      </c>
      <c r="O248">
        <f>Table4[[#This Row],[Section]]</f>
        <v>247</v>
      </c>
      <c r="P248">
        <f>Table4[[#This Row],[Canon]]</f>
        <v>8</v>
      </c>
      <c r="Q248" s="1" t="str">
        <f>Table4[[#This Row],[Reference]]</f>
        <v>20.47-21.4</v>
      </c>
      <c r="R248" t="str">
        <f>Table4[[#This Row],[StartR]]</f>
        <v>LUK 20:47</v>
      </c>
      <c r="S248" t="str">
        <f>Table4[[#This Row],[EndR]]</f>
        <v>LUK 21:4</v>
      </c>
      <c r="T248">
        <f>Table4[[#This Row],[Merged.Start]]</f>
        <v>45724</v>
      </c>
      <c r="U248">
        <f>Table4[[#This Row],[Merged.End]]</f>
        <v>45795</v>
      </c>
    </row>
    <row r="249" spans="1:21" x14ac:dyDescent="0.25">
      <c r="A249">
        <v>248</v>
      </c>
      <c r="B249">
        <v>2</v>
      </c>
      <c r="C249" t="s">
        <v>1850</v>
      </c>
      <c r="D249" t="s">
        <v>1851</v>
      </c>
      <c r="E249" t="s">
        <v>1852</v>
      </c>
      <c r="F249">
        <v>45796</v>
      </c>
      <c r="G249">
        <v>45823</v>
      </c>
      <c r="H249">
        <v>0</v>
      </c>
      <c r="K249">
        <f>IF(Table4[[#This Row],[NeedsAttention]]=1,Table4[[#This Row],[Start]],Table4[[#This Row],[StartN]])</f>
        <v>45796</v>
      </c>
      <c r="L249">
        <f>IF(Table4[[#This Row],[NeedsAttention]]=1,Table4[[#This Row],[End]],Table4[[#This Row],[EndN]])</f>
        <v>45823</v>
      </c>
      <c r="M249" t="b">
        <f>Table4[[#This Row],[Merged.Start]]=L248+1</f>
        <v>1</v>
      </c>
      <c r="O249">
        <f>Table4[[#This Row],[Section]]</f>
        <v>248</v>
      </c>
      <c r="P249">
        <f>Table4[[#This Row],[Canon]]</f>
        <v>2</v>
      </c>
      <c r="Q249" s="1" t="str">
        <f>Table4[[#This Row],[Reference]]</f>
        <v>21.5-6</v>
      </c>
      <c r="R249" t="str">
        <f>Table4[[#This Row],[StartR]]</f>
        <v>LUK 21:5</v>
      </c>
      <c r="S249" t="str">
        <f>Table4[[#This Row],[EndR]]</f>
        <v>LUK 21:6</v>
      </c>
      <c r="T249">
        <f>Table4[[#This Row],[Merged.Start]]</f>
        <v>45796</v>
      </c>
      <c r="U249">
        <f>Table4[[#This Row],[Merged.End]]</f>
        <v>45823</v>
      </c>
    </row>
    <row r="250" spans="1:21" x14ac:dyDescent="0.25">
      <c r="A250">
        <v>249</v>
      </c>
      <c r="B250">
        <v>2</v>
      </c>
      <c r="C250" t="s">
        <v>1853</v>
      </c>
      <c r="D250" t="s">
        <v>1854</v>
      </c>
      <c r="E250" t="s">
        <v>1855</v>
      </c>
      <c r="F250">
        <v>45824</v>
      </c>
      <c r="G250">
        <v>45911</v>
      </c>
      <c r="H250">
        <v>0</v>
      </c>
      <c r="K250">
        <f>IF(Table4[[#This Row],[NeedsAttention]]=1,Table4[[#This Row],[Start]],Table4[[#This Row],[StartN]])</f>
        <v>45824</v>
      </c>
      <c r="L250">
        <f>IF(Table4[[#This Row],[NeedsAttention]]=1,Table4[[#This Row],[End]],Table4[[#This Row],[EndN]])</f>
        <v>45911</v>
      </c>
      <c r="M250" t="b">
        <f>Table4[[#This Row],[Merged.Start]]=L249+1</f>
        <v>1</v>
      </c>
      <c r="O250">
        <f>Table4[[#This Row],[Section]]</f>
        <v>249</v>
      </c>
      <c r="P250">
        <f>Table4[[#This Row],[Canon]]</f>
        <v>2</v>
      </c>
      <c r="Q250" s="1" t="str">
        <f>Table4[[#This Row],[Reference]]</f>
        <v>21.7-11</v>
      </c>
      <c r="R250" t="str">
        <f>Table4[[#This Row],[StartR]]</f>
        <v>LUK 21:7</v>
      </c>
      <c r="S250" t="str">
        <f>Table4[[#This Row],[EndR]]</f>
        <v>LUK 21:11</v>
      </c>
      <c r="T250">
        <f>Table4[[#This Row],[Merged.Start]]</f>
        <v>45824</v>
      </c>
      <c r="U250">
        <f>Table4[[#This Row],[Merged.End]]</f>
        <v>45911</v>
      </c>
    </row>
    <row r="251" spans="1:21" x14ac:dyDescent="0.25">
      <c r="A251">
        <v>250</v>
      </c>
      <c r="B251">
        <v>1</v>
      </c>
      <c r="C251" t="s">
        <v>499</v>
      </c>
      <c r="D251" t="s">
        <v>1856</v>
      </c>
      <c r="E251" t="s">
        <v>1857</v>
      </c>
      <c r="F251">
        <v>45912</v>
      </c>
      <c r="G251">
        <v>45942</v>
      </c>
      <c r="H251">
        <v>0</v>
      </c>
      <c r="K251">
        <f>IF(Table4[[#This Row],[NeedsAttention]]=1,Table4[[#This Row],[Start]],Table4[[#This Row],[StartN]])</f>
        <v>45912</v>
      </c>
      <c r="L251">
        <f>IF(Table4[[#This Row],[NeedsAttention]]=1,Table4[[#This Row],[End]],Table4[[#This Row],[EndN]])</f>
        <v>45942</v>
      </c>
      <c r="M251" t="b">
        <f>Table4[[#This Row],[Merged.Start]]=L250+1</f>
        <v>1</v>
      </c>
      <c r="O251">
        <f>Table4[[#This Row],[Section]]</f>
        <v>250</v>
      </c>
      <c r="P251">
        <f>Table4[[#This Row],[Canon]]</f>
        <v>1</v>
      </c>
      <c r="Q251" s="1" t="str">
        <f>Table4[[#This Row],[Reference]]</f>
        <v>21.12-13</v>
      </c>
      <c r="R251" t="str">
        <f>Table4[[#This Row],[StartR]]</f>
        <v>LUK 21:12</v>
      </c>
      <c r="S251" t="str">
        <f>Table4[[#This Row],[EndR]]</f>
        <v>LUK 21:13</v>
      </c>
      <c r="T251">
        <f>Table4[[#This Row],[Merged.Start]]</f>
        <v>45912</v>
      </c>
      <c r="U251">
        <f>Table4[[#This Row],[Merged.End]]</f>
        <v>45942</v>
      </c>
    </row>
    <row r="252" spans="1:21" x14ac:dyDescent="0.25">
      <c r="A252">
        <v>251</v>
      </c>
      <c r="B252">
        <v>2</v>
      </c>
      <c r="C252" t="s">
        <v>1858</v>
      </c>
      <c r="D252" t="s">
        <v>1859</v>
      </c>
      <c r="E252" t="s">
        <v>1860</v>
      </c>
      <c r="F252">
        <v>45943</v>
      </c>
      <c r="G252">
        <v>46009</v>
      </c>
      <c r="H252">
        <v>0</v>
      </c>
      <c r="K252">
        <f>IF(Table4[[#This Row],[NeedsAttention]]=1,Table4[[#This Row],[Start]],Table4[[#This Row],[StartN]])</f>
        <v>45943</v>
      </c>
      <c r="L252">
        <f>IF(Table4[[#This Row],[NeedsAttention]]=1,Table4[[#This Row],[End]],Table4[[#This Row],[EndN]])</f>
        <v>46009</v>
      </c>
      <c r="M252" t="b">
        <f>Table4[[#This Row],[Merged.Start]]=L251+1</f>
        <v>1</v>
      </c>
      <c r="O252">
        <f>Table4[[#This Row],[Section]]</f>
        <v>251</v>
      </c>
      <c r="P252">
        <f>Table4[[#This Row],[Canon]]</f>
        <v>2</v>
      </c>
      <c r="Q252" s="1" t="str">
        <f>Table4[[#This Row],[Reference]]</f>
        <v>21.14-19</v>
      </c>
      <c r="R252" t="str">
        <f>Table4[[#This Row],[StartR]]</f>
        <v>LUK 21:14</v>
      </c>
      <c r="S252" t="str">
        <f>Table4[[#This Row],[EndR]]</f>
        <v>LUK 21:19</v>
      </c>
      <c r="T252">
        <f>Table4[[#This Row],[Merged.Start]]</f>
        <v>45943</v>
      </c>
      <c r="U252">
        <f>Table4[[#This Row],[Merged.End]]</f>
        <v>46009</v>
      </c>
    </row>
    <row r="253" spans="1:21" x14ac:dyDescent="0.25">
      <c r="A253">
        <v>252</v>
      </c>
      <c r="B253">
        <v>10</v>
      </c>
      <c r="C253">
        <v>21.2</v>
      </c>
      <c r="D253" t="s">
        <v>2537</v>
      </c>
      <c r="E253" t="s">
        <v>2537</v>
      </c>
      <c r="F253">
        <v>46010</v>
      </c>
      <c r="G253">
        <v>46023</v>
      </c>
      <c r="H253">
        <v>0</v>
      </c>
      <c r="K253">
        <f>IF(Table4[[#This Row],[NeedsAttention]]=1,Table4[[#This Row],[Start]],Table4[[#This Row],[StartN]])</f>
        <v>46010</v>
      </c>
      <c r="L253">
        <f>IF(Table4[[#This Row],[NeedsAttention]]=1,Table4[[#This Row],[End]],Table4[[#This Row],[EndN]])</f>
        <v>46023</v>
      </c>
      <c r="M253" t="b">
        <f>Table4[[#This Row],[Merged.Start]]=L252+1</f>
        <v>1</v>
      </c>
      <c r="O253">
        <f>Table4[[#This Row],[Section]]</f>
        <v>252</v>
      </c>
      <c r="P253">
        <f>Table4[[#This Row],[Canon]]</f>
        <v>10</v>
      </c>
      <c r="Q253" s="1">
        <f>Table4[[#This Row],[Reference]]</f>
        <v>21.2</v>
      </c>
      <c r="R253" t="str">
        <f>Table4[[#This Row],[StartR]]</f>
        <v>LUK 21:20</v>
      </c>
      <c r="S253" t="str">
        <f>Table4[[#This Row],[EndR]]</f>
        <v>LUK 21:20</v>
      </c>
      <c r="T253">
        <f>Table4[[#This Row],[Merged.Start]]</f>
        <v>46010</v>
      </c>
      <c r="U253">
        <f>Table4[[#This Row],[Merged.End]]</f>
        <v>46023</v>
      </c>
    </row>
    <row r="254" spans="1:21" x14ac:dyDescent="0.25">
      <c r="A254">
        <v>253</v>
      </c>
      <c r="B254">
        <v>2</v>
      </c>
      <c r="C254" t="s">
        <v>1861</v>
      </c>
      <c r="D254" t="s">
        <v>1862</v>
      </c>
      <c r="E254" t="s">
        <v>1863</v>
      </c>
      <c r="F254">
        <v>46024</v>
      </c>
      <c r="G254">
        <v>46057</v>
      </c>
      <c r="H254">
        <v>0</v>
      </c>
      <c r="K254">
        <f>IF(Table4[[#This Row],[NeedsAttention]]=1,Table4[[#This Row],[Start]],Table4[[#This Row],[StartN]])</f>
        <v>46024</v>
      </c>
      <c r="L254">
        <f>IF(Table4[[#This Row],[NeedsAttention]]=1,Table4[[#This Row],[End]],Table4[[#This Row],[EndN]])</f>
        <v>46057</v>
      </c>
      <c r="M254" t="b">
        <f>Table4[[#This Row],[Merged.Start]]=L253+1</f>
        <v>1</v>
      </c>
      <c r="O254">
        <f>Table4[[#This Row],[Section]]</f>
        <v>253</v>
      </c>
      <c r="P254">
        <f>Table4[[#This Row],[Canon]]</f>
        <v>2</v>
      </c>
      <c r="Q254" s="1" t="str">
        <f>Table4[[#This Row],[Reference]]</f>
        <v>21.21-22</v>
      </c>
      <c r="R254" t="str">
        <f>Table4[[#This Row],[StartR]]</f>
        <v>LUK 21:21</v>
      </c>
      <c r="S254" t="str">
        <f>Table4[[#This Row],[EndR]]</f>
        <v>LUK 21:22</v>
      </c>
      <c r="T254">
        <f>Table4[[#This Row],[Merged.Start]]</f>
        <v>46024</v>
      </c>
      <c r="U254">
        <f>Table4[[#This Row],[Merged.End]]</f>
        <v>46057</v>
      </c>
    </row>
    <row r="255" spans="1:21" x14ac:dyDescent="0.25">
      <c r="A255">
        <v>254</v>
      </c>
      <c r="B255">
        <v>2</v>
      </c>
      <c r="C255" t="s">
        <v>1864</v>
      </c>
      <c r="D255" t="s">
        <v>1865</v>
      </c>
      <c r="E255" t="s">
        <v>1865</v>
      </c>
      <c r="F255">
        <v>46058</v>
      </c>
      <c r="G255">
        <v>46081</v>
      </c>
      <c r="H255">
        <v>1</v>
      </c>
      <c r="I255">
        <v>46058</v>
      </c>
      <c r="J255">
        <v>46069</v>
      </c>
      <c r="K255">
        <f>IF(Table4[[#This Row],[NeedsAttention]]=1,Table4[[#This Row],[Start]],Table4[[#This Row],[StartN]])</f>
        <v>46058</v>
      </c>
      <c r="L255">
        <f>IF(Table4[[#This Row],[NeedsAttention]]=1,Table4[[#This Row],[End]],Table4[[#This Row],[EndN]])</f>
        <v>46069</v>
      </c>
      <c r="M255" t="b">
        <f>Table4[[#This Row],[Merged.Start]]=L254+1</f>
        <v>1</v>
      </c>
      <c r="O255">
        <f>Table4[[#This Row],[Section]]</f>
        <v>254</v>
      </c>
      <c r="P255">
        <f>Table4[[#This Row],[Canon]]</f>
        <v>2</v>
      </c>
      <c r="Q255" s="1" t="str">
        <f>Table4[[#This Row],[Reference]]</f>
        <v>21.23A</v>
      </c>
      <c r="R255" t="str">
        <f>Table4[[#This Row],[StartR]]</f>
        <v>LUK 21:23</v>
      </c>
      <c r="S255" t="str">
        <f>Table4[[#This Row],[EndR]]</f>
        <v>LUK 21:23</v>
      </c>
      <c r="T255">
        <f>Table4[[#This Row],[Merged.Start]]</f>
        <v>46058</v>
      </c>
      <c r="U255">
        <f>Table4[[#This Row],[Merged.End]]</f>
        <v>46069</v>
      </c>
    </row>
    <row r="256" spans="1:21" x14ac:dyDescent="0.25">
      <c r="A256">
        <v>255</v>
      </c>
      <c r="B256">
        <v>2</v>
      </c>
      <c r="C256" t="s">
        <v>1866</v>
      </c>
      <c r="D256" t="s">
        <v>1865</v>
      </c>
      <c r="E256" t="s">
        <v>1865</v>
      </c>
      <c r="F256">
        <v>46058</v>
      </c>
      <c r="G256">
        <v>46081</v>
      </c>
      <c r="H256">
        <v>1</v>
      </c>
      <c r="I256">
        <v>46070</v>
      </c>
      <c r="J256">
        <v>46081</v>
      </c>
      <c r="K256">
        <f>IF(Table4[[#This Row],[NeedsAttention]]=1,Table4[[#This Row],[Start]],Table4[[#This Row],[StartN]])</f>
        <v>46070</v>
      </c>
      <c r="L256">
        <f>IF(Table4[[#This Row],[NeedsAttention]]=1,Table4[[#This Row],[End]],Table4[[#This Row],[EndN]])</f>
        <v>46081</v>
      </c>
      <c r="M256" t="b">
        <f>Table4[[#This Row],[Merged.Start]]=L255+1</f>
        <v>1</v>
      </c>
      <c r="O256">
        <f>Table4[[#This Row],[Section]]</f>
        <v>255</v>
      </c>
      <c r="P256">
        <f>Table4[[#This Row],[Canon]]</f>
        <v>2</v>
      </c>
      <c r="Q256" s="1" t="str">
        <f>Table4[[#This Row],[Reference]]</f>
        <v>21.23B</v>
      </c>
      <c r="R256" t="str">
        <f>Table4[[#This Row],[StartR]]</f>
        <v>LUK 21:23</v>
      </c>
      <c r="S256" t="str">
        <f>Table4[[#This Row],[EndR]]</f>
        <v>LUK 21:23</v>
      </c>
      <c r="T256">
        <f>Table4[[#This Row],[Merged.Start]]</f>
        <v>46070</v>
      </c>
      <c r="U256">
        <f>Table4[[#This Row],[Merged.End]]</f>
        <v>46081</v>
      </c>
    </row>
    <row r="257" spans="1:21" x14ac:dyDescent="0.25">
      <c r="A257">
        <v>256</v>
      </c>
      <c r="B257">
        <v>10</v>
      </c>
      <c r="C257">
        <v>21.24</v>
      </c>
      <c r="D257" t="s">
        <v>1867</v>
      </c>
      <c r="E257" t="s">
        <v>1867</v>
      </c>
      <c r="F257">
        <v>46082</v>
      </c>
      <c r="G257">
        <v>46102</v>
      </c>
      <c r="H257">
        <v>0</v>
      </c>
      <c r="K257">
        <f>IF(Table4[[#This Row],[NeedsAttention]]=1,Table4[[#This Row],[Start]],Table4[[#This Row],[StartN]])</f>
        <v>46082</v>
      </c>
      <c r="L257">
        <f>IF(Table4[[#This Row],[NeedsAttention]]=1,Table4[[#This Row],[End]],Table4[[#This Row],[EndN]])</f>
        <v>46102</v>
      </c>
      <c r="M257" t="b">
        <f>Table4[[#This Row],[Merged.Start]]=L256+1</f>
        <v>1</v>
      </c>
      <c r="O257">
        <f>Table4[[#This Row],[Section]]</f>
        <v>256</v>
      </c>
      <c r="P257">
        <f>Table4[[#This Row],[Canon]]</f>
        <v>10</v>
      </c>
      <c r="Q257" s="1">
        <f>Table4[[#This Row],[Reference]]</f>
        <v>21.24</v>
      </c>
      <c r="R257" t="str">
        <f>Table4[[#This Row],[StartR]]</f>
        <v>LUK 21:24</v>
      </c>
      <c r="S257" t="str">
        <f>Table4[[#This Row],[EndR]]</f>
        <v>LUK 21:24</v>
      </c>
      <c r="T257">
        <f>Table4[[#This Row],[Merged.Start]]</f>
        <v>46082</v>
      </c>
      <c r="U257">
        <f>Table4[[#This Row],[Merged.End]]</f>
        <v>46102</v>
      </c>
    </row>
    <row r="258" spans="1:21" x14ac:dyDescent="0.25">
      <c r="A258">
        <v>257</v>
      </c>
      <c r="B258">
        <v>2</v>
      </c>
      <c r="C258" t="s">
        <v>1868</v>
      </c>
      <c r="D258" t="s">
        <v>1869</v>
      </c>
      <c r="E258" t="s">
        <v>1870</v>
      </c>
      <c r="F258">
        <v>46103</v>
      </c>
      <c r="G258">
        <v>46139</v>
      </c>
      <c r="H258">
        <v>0</v>
      </c>
      <c r="K258">
        <f>IF(Table4[[#This Row],[NeedsAttention]]=1,Table4[[#This Row],[Start]],Table4[[#This Row],[StartN]])</f>
        <v>46103</v>
      </c>
      <c r="L258">
        <f>IF(Table4[[#This Row],[NeedsAttention]]=1,Table4[[#This Row],[End]],Table4[[#This Row],[EndN]])</f>
        <v>46139</v>
      </c>
      <c r="M258" t="b">
        <f>Table4[[#This Row],[Merged.Start]]=L257+1</f>
        <v>1</v>
      </c>
      <c r="O258">
        <f>Table4[[#This Row],[Section]]</f>
        <v>257</v>
      </c>
      <c r="P258">
        <f>Table4[[#This Row],[Canon]]</f>
        <v>2</v>
      </c>
      <c r="Q258" s="1" t="str">
        <f>Table4[[#This Row],[Reference]]</f>
        <v>21.25-26</v>
      </c>
      <c r="R258" t="str">
        <f>Table4[[#This Row],[StartR]]</f>
        <v>LUK 21:25</v>
      </c>
      <c r="S258" t="str">
        <f>Table4[[#This Row],[EndR]]</f>
        <v>LUK 21:26</v>
      </c>
      <c r="T258">
        <f>Table4[[#This Row],[Merged.Start]]</f>
        <v>46103</v>
      </c>
      <c r="U258">
        <f>Table4[[#This Row],[Merged.End]]</f>
        <v>46139</v>
      </c>
    </row>
    <row r="259" spans="1:21" x14ac:dyDescent="0.25">
      <c r="A259">
        <v>258</v>
      </c>
      <c r="B259">
        <v>2</v>
      </c>
      <c r="C259" t="s">
        <v>1871</v>
      </c>
      <c r="D259" t="s">
        <v>1872</v>
      </c>
      <c r="E259" t="s">
        <v>1873</v>
      </c>
      <c r="F259">
        <v>46140</v>
      </c>
      <c r="G259">
        <v>46235</v>
      </c>
      <c r="H259">
        <v>0</v>
      </c>
      <c r="K259">
        <f>IF(Table4[[#This Row],[NeedsAttention]]=1,Table4[[#This Row],[Start]],Table4[[#This Row],[StartN]])</f>
        <v>46140</v>
      </c>
      <c r="L259">
        <f>IF(Table4[[#This Row],[NeedsAttention]]=1,Table4[[#This Row],[End]],Table4[[#This Row],[EndN]])</f>
        <v>46235</v>
      </c>
      <c r="M259" t="b">
        <f>Table4[[#This Row],[Merged.Start]]=L258+1</f>
        <v>1</v>
      </c>
      <c r="O259">
        <f>Table4[[#This Row],[Section]]</f>
        <v>258</v>
      </c>
      <c r="P259">
        <f>Table4[[#This Row],[Canon]]</f>
        <v>2</v>
      </c>
      <c r="Q259" s="1" t="str">
        <f>Table4[[#This Row],[Reference]]</f>
        <v>21.27-33</v>
      </c>
      <c r="R259" t="str">
        <f>Table4[[#This Row],[StartR]]</f>
        <v>LUK 21:27</v>
      </c>
      <c r="S259" t="str">
        <f>Table4[[#This Row],[EndR]]</f>
        <v>LUK 21:33</v>
      </c>
      <c r="T259">
        <f>Table4[[#This Row],[Merged.Start]]</f>
        <v>46140</v>
      </c>
      <c r="U259">
        <f>Table4[[#This Row],[Merged.End]]</f>
        <v>46235</v>
      </c>
    </row>
    <row r="260" spans="1:21" x14ac:dyDescent="0.25">
      <c r="A260">
        <v>259</v>
      </c>
      <c r="B260">
        <v>10</v>
      </c>
      <c r="C260" t="s">
        <v>1874</v>
      </c>
      <c r="D260" t="s">
        <v>1875</v>
      </c>
      <c r="E260" t="s">
        <v>1876</v>
      </c>
      <c r="F260">
        <v>46236</v>
      </c>
      <c r="G260">
        <v>46323</v>
      </c>
      <c r="H260">
        <v>0</v>
      </c>
      <c r="K260">
        <f>IF(Table4[[#This Row],[NeedsAttention]]=1,Table4[[#This Row],[Start]],Table4[[#This Row],[StartN]])</f>
        <v>46236</v>
      </c>
      <c r="L260">
        <f>IF(Table4[[#This Row],[NeedsAttention]]=1,Table4[[#This Row],[End]],Table4[[#This Row],[EndN]])</f>
        <v>46323</v>
      </c>
      <c r="M260" t="b">
        <f>Table4[[#This Row],[Merged.Start]]=L259+1</f>
        <v>1</v>
      </c>
      <c r="O260">
        <f>Table4[[#This Row],[Section]]</f>
        <v>259</v>
      </c>
      <c r="P260">
        <f>Table4[[#This Row],[Canon]]</f>
        <v>10</v>
      </c>
      <c r="Q260" s="1" t="str">
        <f>Table4[[#This Row],[Reference]]</f>
        <v>21.34-38</v>
      </c>
      <c r="R260" t="str">
        <f>Table4[[#This Row],[StartR]]</f>
        <v>LUK 21:34</v>
      </c>
      <c r="S260" t="str">
        <f>Table4[[#This Row],[EndR]]</f>
        <v>LUK 21:38</v>
      </c>
      <c r="T260">
        <f>Table4[[#This Row],[Merged.Start]]</f>
        <v>46236</v>
      </c>
      <c r="U260">
        <f>Table4[[#This Row],[Merged.End]]</f>
        <v>46323</v>
      </c>
    </row>
    <row r="261" spans="1:21" x14ac:dyDescent="0.25">
      <c r="A261">
        <v>260</v>
      </c>
      <c r="B261">
        <v>1</v>
      </c>
      <c r="C261">
        <v>22.1</v>
      </c>
      <c r="D261" t="s">
        <v>1877</v>
      </c>
      <c r="E261" t="s">
        <v>1877</v>
      </c>
      <c r="F261">
        <v>46324</v>
      </c>
      <c r="G261">
        <v>46332</v>
      </c>
      <c r="H261">
        <v>0</v>
      </c>
      <c r="K261">
        <f>IF(Table4[[#This Row],[NeedsAttention]]=1,Table4[[#This Row],[Start]],Table4[[#This Row],[StartN]])</f>
        <v>46324</v>
      </c>
      <c r="L261">
        <f>IF(Table4[[#This Row],[NeedsAttention]]=1,Table4[[#This Row],[End]],Table4[[#This Row],[EndN]])</f>
        <v>46332</v>
      </c>
      <c r="M261" t="b">
        <f>Table4[[#This Row],[Merged.Start]]=L260+1</f>
        <v>1</v>
      </c>
      <c r="O261">
        <f>Table4[[#This Row],[Section]]</f>
        <v>260</v>
      </c>
      <c r="P261">
        <f>Table4[[#This Row],[Canon]]</f>
        <v>1</v>
      </c>
      <c r="Q261" s="1">
        <f>Table4[[#This Row],[Reference]]</f>
        <v>22.1</v>
      </c>
      <c r="R261" t="str">
        <f>Table4[[#This Row],[StartR]]</f>
        <v>LUK 22:1</v>
      </c>
      <c r="S261" t="str">
        <f>Table4[[#This Row],[EndR]]</f>
        <v>LUK 22:1</v>
      </c>
      <c r="T261">
        <f>Table4[[#This Row],[Merged.Start]]</f>
        <v>46324</v>
      </c>
      <c r="U261">
        <f>Table4[[#This Row],[Merged.End]]</f>
        <v>46332</v>
      </c>
    </row>
    <row r="262" spans="1:21" x14ac:dyDescent="0.25">
      <c r="A262">
        <v>261</v>
      </c>
      <c r="B262">
        <v>1</v>
      </c>
      <c r="C262">
        <v>22.2</v>
      </c>
      <c r="D262" t="s">
        <v>1878</v>
      </c>
      <c r="E262" t="s">
        <v>1878</v>
      </c>
      <c r="F262">
        <v>46333</v>
      </c>
      <c r="G262">
        <v>46347</v>
      </c>
      <c r="H262">
        <v>0</v>
      </c>
      <c r="K262">
        <f>IF(Table4[[#This Row],[NeedsAttention]]=1,Table4[[#This Row],[Start]],Table4[[#This Row],[StartN]])</f>
        <v>46333</v>
      </c>
      <c r="L262">
        <f>IF(Table4[[#This Row],[NeedsAttention]]=1,Table4[[#This Row],[End]],Table4[[#This Row],[EndN]])</f>
        <v>46347</v>
      </c>
      <c r="M262" t="b">
        <f>Table4[[#This Row],[Merged.Start]]=L261+1</f>
        <v>1</v>
      </c>
      <c r="O262">
        <f>Table4[[#This Row],[Section]]</f>
        <v>261</v>
      </c>
      <c r="P262">
        <f>Table4[[#This Row],[Canon]]</f>
        <v>1</v>
      </c>
      <c r="Q262" s="1">
        <f>Table4[[#This Row],[Reference]]</f>
        <v>22.2</v>
      </c>
      <c r="R262" t="str">
        <f>Table4[[#This Row],[StartR]]</f>
        <v>LUK 22:2</v>
      </c>
      <c r="S262" t="str">
        <f>Table4[[#This Row],[EndR]]</f>
        <v>LUK 22:2</v>
      </c>
      <c r="T262">
        <f>Table4[[#This Row],[Merged.Start]]</f>
        <v>46333</v>
      </c>
      <c r="U262">
        <f>Table4[[#This Row],[Merged.End]]</f>
        <v>46347</v>
      </c>
    </row>
    <row r="263" spans="1:21" x14ac:dyDescent="0.25">
      <c r="A263">
        <v>262</v>
      </c>
      <c r="B263">
        <v>9</v>
      </c>
      <c r="C263">
        <v>22.3</v>
      </c>
      <c r="D263" t="s">
        <v>1879</v>
      </c>
      <c r="E263" t="s">
        <v>1879</v>
      </c>
      <c r="F263">
        <v>46348</v>
      </c>
      <c r="G263">
        <v>46361</v>
      </c>
      <c r="H263">
        <v>0</v>
      </c>
      <c r="K263">
        <f>IF(Table4[[#This Row],[NeedsAttention]]=1,Table4[[#This Row],[Start]],Table4[[#This Row],[StartN]])</f>
        <v>46348</v>
      </c>
      <c r="L263">
        <f>IF(Table4[[#This Row],[NeedsAttention]]=1,Table4[[#This Row],[End]],Table4[[#This Row],[EndN]])</f>
        <v>46361</v>
      </c>
      <c r="M263" t="b">
        <f>Table4[[#This Row],[Merged.Start]]=L262+1</f>
        <v>1</v>
      </c>
      <c r="O263">
        <f>Table4[[#This Row],[Section]]</f>
        <v>262</v>
      </c>
      <c r="P263">
        <f>Table4[[#This Row],[Canon]]</f>
        <v>9</v>
      </c>
      <c r="Q263" s="1">
        <f>Table4[[#This Row],[Reference]]</f>
        <v>22.3</v>
      </c>
      <c r="R263" t="str">
        <f>Table4[[#This Row],[StartR]]</f>
        <v>LUK 22:3</v>
      </c>
      <c r="S263" t="str">
        <f>Table4[[#This Row],[EndR]]</f>
        <v>LUK 22:3</v>
      </c>
      <c r="T263">
        <f>Table4[[#This Row],[Merged.Start]]</f>
        <v>46348</v>
      </c>
      <c r="U263">
        <f>Table4[[#This Row],[Merged.End]]</f>
        <v>46361</v>
      </c>
    </row>
    <row r="264" spans="1:21" x14ac:dyDescent="0.25">
      <c r="A264">
        <v>263</v>
      </c>
      <c r="B264">
        <v>2</v>
      </c>
      <c r="C264" t="s">
        <v>1880</v>
      </c>
      <c r="D264" t="s">
        <v>1881</v>
      </c>
      <c r="E264" t="s">
        <v>1882</v>
      </c>
      <c r="F264">
        <v>46362</v>
      </c>
      <c r="G264">
        <v>46486</v>
      </c>
      <c r="H264">
        <v>0</v>
      </c>
      <c r="K264">
        <f>IF(Table4[[#This Row],[NeedsAttention]]=1,Table4[[#This Row],[Start]],Table4[[#This Row],[StartN]])</f>
        <v>46362</v>
      </c>
      <c r="L264">
        <f>IF(Table4[[#This Row],[NeedsAttention]]=1,Table4[[#This Row],[End]],Table4[[#This Row],[EndN]])</f>
        <v>46486</v>
      </c>
      <c r="M264" t="b">
        <f>Table4[[#This Row],[Merged.Start]]=L263+1</f>
        <v>1</v>
      </c>
      <c r="O264">
        <f>Table4[[#This Row],[Section]]</f>
        <v>263</v>
      </c>
      <c r="P264">
        <f>Table4[[#This Row],[Canon]]</f>
        <v>2</v>
      </c>
      <c r="Q264" s="1" t="str">
        <f>Table4[[#This Row],[Reference]]</f>
        <v>22.4-13</v>
      </c>
      <c r="R264" t="str">
        <f>Table4[[#This Row],[StartR]]</f>
        <v>LUK 22:4</v>
      </c>
      <c r="S264" t="str">
        <f>Table4[[#This Row],[EndR]]</f>
        <v>LUK 22:13</v>
      </c>
      <c r="T264">
        <f>Table4[[#This Row],[Merged.Start]]</f>
        <v>46362</v>
      </c>
      <c r="U264">
        <f>Table4[[#This Row],[Merged.End]]</f>
        <v>46486</v>
      </c>
    </row>
    <row r="265" spans="1:21" x14ac:dyDescent="0.25">
      <c r="A265">
        <v>264</v>
      </c>
      <c r="B265">
        <v>10</v>
      </c>
      <c r="C265" t="s">
        <v>1883</v>
      </c>
      <c r="D265" t="s">
        <v>1884</v>
      </c>
      <c r="E265" t="s">
        <v>1885</v>
      </c>
      <c r="F265">
        <v>46487</v>
      </c>
      <c r="G265">
        <v>46513</v>
      </c>
      <c r="H265">
        <v>0</v>
      </c>
      <c r="K265">
        <f>IF(Table4[[#This Row],[NeedsAttention]]=1,Table4[[#This Row],[Start]],Table4[[#This Row],[StartN]])</f>
        <v>46487</v>
      </c>
      <c r="L265">
        <f>IF(Table4[[#This Row],[NeedsAttention]]=1,Table4[[#This Row],[End]],Table4[[#This Row],[EndN]])</f>
        <v>46513</v>
      </c>
      <c r="M265" t="b">
        <f>Table4[[#This Row],[Merged.Start]]=L264+1</f>
        <v>1</v>
      </c>
      <c r="O265">
        <f>Table4[[#This Row],[Section]]</f>
        <v>264</v>
      </c>
      <c r="P265">
        <f>Table4[[#This Row],[Canon]]</f>
        <v>10</v>
      </c>
      <c r="Q265" s="1" t="str">
        <f>Table4[[#This Row],[Reference]]</f>
        <v>22.14-15</v>
      </c>
      <c r="R265" t="str">
        <f>Table4[[#This Row],[StartR]]</f>
        <v>LUK 22:14</v>
      </c>
      <c r="S265" t="str">
        <f>Table4[[#This Row],[EndR]]</f>
        <v>LUK 22:15</v>
      </c>
      <c r="T265">
        <f>Table4[[#This Row],[Merged.Start]]</f>
        <v>46487</v>
      </c>
      <c r="U265">
        <f>Table4[[#This Row],[Merged.End]]</f>
        <v>46513</v>
      </c>
    </row>
    <row r="266" spans="1:21" x14ac:dyDescent="0.25">
      <c r="A266">
        <v>265</v>
      </c>
      <c r="B266">
        <v>2</v>
      </c>
      <c r="C266" t="s">
        <v>1886</v>
      </c>
      <c r="D266" t="s">
        <v>1887</v>
      </c>
      <c r="E266" t="s">
        <v>1888</v>
      </c>
      <c r="F266">
        <v>46514</v>
      </c>
      <c r="G266">
        <v>46561</v>
      </c>
      <c r="H266">
        <v>0</v>
      </c>
      <c r="K266">
        <f>IF(Table4[[#This Row],[NeedsAttention]]=1,Table4[[#This Row],[Start]],Table4[[#This Row],[StartN]])</f>
        <v>46514</v>
      </c>
      <c r="L266">
        <f>IF(Table4[[#This Row],[NeedsAttention]]=1,Table4[[#This Row],[End]],Table4[[#This Row],[EndN]])</f>
        <v>46561</v>
      </c>
      <c r="M266" t="b">
        <f>Table4[[#This Row],[Merged.Start]]=L265+1</f>
        <v>1</v>
      </c>
      <c r="O266">
        <f>Table4[[#This Row],[Section]]</f>
        <v>265</v>
      </c>
      <c r="P266">
        <f>Table4[[#This Row],[Canon]]</f>
        <v>2</v>
      </c>
      <c r="Q266" s="1" t="str">
        <f>Table4[[#This Row],[Reference]]</f>
        <v>22.16-18</v>
      </c>
      <c r="R266" t="str">
        <f>Table4[[#This Row],[StartR]]</f>
        <v>LUK 22:16</v>
      </c>
      <c r="S266" t="str">
        <f>Table4[[#This Row],[EndR]]</f>
        <v>LUK 22:18</v>
      </c>
      <c r="T266">
        <f>Table4[[#This Row],[Merged.Start]]</f>
        <v>46514</v>
      </c>
      <c r="U266">
        <f>Table4[[#This Row],[Merged.End]]</f>
        <v>46561</v>
      </c>
    </row>
    <row r="267" spans="1:21" x14ac:dyDescent="0.25">
      <c r="A267">
        <v>266</v>
      </c>
      <c r="B267">
        <v>1</v>
      </c>
      <c r="C267">
        <v>22.19</v>
      </c>
      <c r="D267" t="s">
        <v>1889</v>
      </c>
      <c r="E267" t="s">
        <v>1889</v>
      </c>
      <c r="F267">
        <v>46562</v>
      </c>
      <c r="G267">
        <v>46585</v>
      </c>
      <c r="H267">
        <v>0</v>
      </c>
      <c r="K267">
        <f>IF(Table4[[#This Row],[NeedsAttention]]=1,Table4[[#This Row],[Start]],Table4[[#This Row],[StartN]])</f>
        <v>46562</v>
      </c>
      <c r="L267">
        <f>IF(Table4[[#This Row],[NeedsAttention]]=1,Table4[[#This Row],[End]],Table4[[#This Row],[EndN]])</f>
        <v>46585</v>
      </c>
      <c r="M267" t="b">
        <f>Table4[[#This Row],[Merged.Start]]=L266+1</f>
        <v>1</v>
      </c>
      <c r="O267">
        <f>Table4[[#This Row],[Section]]</f>
        <v>266</v>
      </c>
      <c r="P267">
        <f>Table4[[#This Row],[Canon]]</f>
        <v>1</v>
      </c>
      <c r="Q267" s="1">
        <f>Table4[[#This Row],[Reference]]</f>
        <v>22.19</v>
      </c>
      <c r="R267" t="str">
        <f>Table4[[#This Row],[StartR]]</f>
        <v>LUK 22:19</v>
      </c>
      <c r="S267" t="str">
        <f>Table4[[#This Row],[EndR]]</f>
        <v>LUK 22:19</v>
      </c>
      <c r="T267">
        <f>Table4[[#This Row],[Merged.Start]]</f>
        <v>46562</v>
      </c>
      <c r="U267">
        <f>Table4[[#This Row],[Merged.End]]</f>
        <v>46585</v>
      </c>
    </row>
    <row r="268" spans="1:21" x14ac:dyDescent="0.25">
      <c r="A268">
        <v>267</v>
      </c>
      <c r="B268">
        <v>2</v>
      </c>
      <c r="C268">
        <v>22.2</v>
      </c>
      <c r="D268" t="s">
        <v>2538</v>
      </c>
      <c r="E268" t="s">
        <v>2538</v>
      </c>
      <c r="F268">
        <v>46586</v>
      </c>
      <c r="G268">
        <v>46607</v>
      </c>
      <c r="H268">
        <v>0</v>
      </c>
      <c r="K268">
        <f>IF(Table4[[#This Row],[NeedsAttention]]=1,Table4[[#This Row],[Start]],Table4[[#This Row],[StartN]])</f>
        <v>46586</v>
      </c>
      <c r="L268">
        <f>IF(Table4[[#This Row],[NeedsAttention]]=1,Table4[[#This Row],[End]],Table4[[#This Row],[EndN]])</f>
        <v>46607</v>
      </c>
      <c r="M268" t="b">
        <f>Table4[[#This Row],[Merged.Start]]=L267+1</f>
        <v>1</v>
      </c>
      <c r="O268">
        <f>Table4[[#This Row],[Section]]</f>
        <v>267</v>
      </c>
      <c r="P268">
        <f>Table4[[#This Row],[Canon]]</f>
        <v>2</v>
      </c>
      <c r="Q268" s="1">
        <f>Table4[[#This Row],[Reference]]</f>
        <v>22.2</v>
      </c>
      <c r="R268" t="str">
        <f>Table4[[#This Row],[StartR]]</f>
        <v>LUK 22:20</v>
      </c>
      <c r="S268" t="str">
        <f>Table4[[#This Row],[EndR]]</f>
        <v>LUK 22:20</v>
      </c>
      <c r="T268">
        <f>Table4[[#This Row],[Merged.Start]]</f>
        <v>46586</v>
      </c>
      <c r="U268">
        <f>Table4[[#This Row],[Merged.End]]</f>
        <v>46607</v>
      </c>
    </row>
    <row r="269" spans="1:21" x14ac:dyDescent="0.25">
      <c r="A269">
        <v>268</v>
      </c>
      <c r="B269">
        <v>2</v>
      </c>
      <c r="C269" t="s">
        <v>1890</v>
      </c>
      <c r="D269" t="s">
        <v>1891</v>
      </c>
      <c r="E269" t="s">
        <v>1892</v>
      </c>
      <c r="F269">
        <v>46608</v>
      </c>
      <c r="G269">
        <v>46637</v>
      </c>
      <c r="H269">
        <v>0</v>
      </c>
      <c r="K269">
        <f>IF(Table4[[#This Row],[NeedsAttention]]=1,Table4[[#This Row],[Start]],Table4[[#This Row],[StartN]])</f>
        <v>46608</v>
      </c>
      <c r="L269">
        <f>IF(Table4[[#This Row],[NeedsAttention]]=1,Table4[[#This Row],[End]],Table4[[#This Row],[EndN]])</f>
        <v>46637</v>
      </c>
      <c r="M269" t="b">
        <f>Table4[[#This Row],[Merged.Start]]=L268+1</f>
        <v>1</v>
      </c>
      <c r="O269">
        <f>Table4[[#This Row],[Section]]</f>
        <v>268</v>
      </c>
      <c r="P269">
        <f>Table4[[#This Row],[Canon]]</f>
        <v>2</v>
      </c>
      <c r="Q269" s="1" t="str">
        <f>Table4[[#This Row],[Reference]]</f>
        <v>22.21-22</v>
      </c>
      <c r="R269" t="str">
        <f>Table4[[#This Row],[StartR]]</f>
        <v>LUK 22:21</v>
      </c>
      <c r="S269" t="str">
        <f>Table4[[#This Row],[EndR]]</f>
        <v>LUK 22:22</v>
      </c>
      <c r="T269">
        <f>Table4[[#This Row],[Merged.Start]]</f>
        <v>46608</v>
      </c>
      <c r="U269">
        <f>Table4[[#This Row],[Merged.End]]</f>
        <v>46637</v>
      </c>
    </row>
    <row r="270" spans="1:21" x14ac:dyDescent="0.25">
      <c r="A270">
        <v>269</v>
      </c>
      <c r="B270">
        <v>1</v>
      </c>
      <c r="C270">
        <v>22.23</v>
      </c>
      <c r="D270" t="s">
        <v>1893</v>
      </c>
      <c r="E270" t="s">
        <v>1893</v>
      </c>
      <c r="F270">
        <v>46638</v>
      </c>
      <c r="G270">
        <v>46653</v>
      </c>
      <c r="H270">
        <v>0</v>
      </c>
      <c r="K270">
        <f>IF(Table4[[#This Row],[NeedsAttention]]=1,Table4[[#This Row],[Start]],Table4[[#This Row],[StartN]])</f>
        <v>46638</v>
      </c>
      <c r="L270">
        <f>IF(Table4[[#This Row],[NeedsAttention]]=1,Table4[[#This Row],[End]],Table4[[#This Row],[EndN]])</f>
        <v>46653</v>
      </c>
      <c r="M270" t="b">
        <f>Table4[[#This Row],[Merged.Start]]=L269+1</f>
        <v>1</v>
      </c>
      <c r="O270">
        <f>Table4[[#This Row],[Section]]</f>
        <v>269</v>
      </c>
      <c r="P270">
        <f>Table4[[#This Row],[Canon]]</f>
        <v>1</v>
      </c>
      <c r="Q270" s="1">
        <f>Table4[[#This Row],[Reference]]</f>
        <v>22.23</v>
      </c>
      <c r="R270" t="str">
        <f>Table4[[#This Row],[StartR]]</f>
        <v>LUK 22:23</v>
      </c>
      <c r="S270" t="str">
        <f>Table4[[#This Row],[EndR]]</f>
        <v>LUK 22:23</v>
      </c>
      <c r="T270">
        <f>Table4[[#This Row],[Merged.Start]]</f>
        <v>46638</v>
      </c>
      <c r="U270">
        <f>Table4[[#This Row],[Merged.End]]</f>
        <v>46653</v>
      </c>
    </row>
    <row r="271" spans="1:21" x14ac:dyDescent="0.25">
      <c r="A271">
        <v>270</v>
      </c>
      <c r="B271">
        <v>2</v>
      </c>
      <c r="C271" t="s">
        <v>1894</v>
      </c>
      <c r="D271" t="s">
        <v>1895</v>
      </c>
      <c r="E271" t="s">
        <v>1896</v>
      </c>
      <c r="F271">
        <v>46654</v>
      </c>
      <c r="G271">
        <v>46700</v>
      </c>
      <c r="H271">
        <v>0</v>
      </c>
      <c r="K271">
        <f>IF(Table4[[#This Row],[NeedsAttention]]=1,Table4[[#This Row],[Start]],Table4[[#This Row],[StartN]])</f>
        <v>46654</v>
      </c>
      <c r="L271">
        <f>IF(Table4[[#This Row],[NeedsAttention]]=1,Table4[[#This Row],[End]],Table4[[#This Row],[EndN]])</f>
        <v>46700</v>
      </c>
      <c r="M271" t="b">
        <f>Table4[[#This Row],[Merged.Start]]=L270+1</f>
        <v>1</v>
      </c>
      <c r="O271">
        <f>Table4[[#This Row],[Section]]</f>
        <v>270</v>
      </c>
      <c r="P271">
        <f>Table4[[#This Row],[Canon]]</f>
        <v>2</v>
      </c>
      <c r="Q271" s="1" t="str">
        <f>Table4[[#This Row],[Reference]]</f>
        <v>22.24-26</v>
      </c>
      <c r="R271" t="str">
        <f>Table4[[#This Row],[StartR]]</f>
        <v>LUK 22:24</v>
      </c>
      <c r="S271" t="str">
        <f>Table4[[#This Row],[EndR]]</f>
        <v>LUK 22:26</v>
      </c>
      <c r="T271">
        <f>Table4[[#This Row],[Merged.Start]]</f>
        <v>46654</v>
      </c>
      <c r="U271">
        <f>Table4[[#This Row],[Merged.End]]</f>
        <v>46700</v>
      </c>
    </row>
    <row r="272" spans="1:21" x14ac:dyDescent="0.25">
      <c r="A272">
        <v>271</v>
      </c>
      <c r="B272">
        <v>10</v>
      </c>
      <c r="C272" t="s">
        <v>1897</v>
      </c>
      <c r="D272" t="s">
        <v>1898</v>
      </c>
      <c r="E272" t="s">
        <v>1899</v>
      </c>
      <c r="F272">
        <v>46701</v>
      </c>
      <c r="G272">
        <v>46763</v>
      </c>
      <c r="H272">
        <v>1</v>
      </c>
      <c r="I272">
        <v>46701</v>
      </c>
      <c r="J272">
        <v>46753</v>
      </c>
      <c r="K272">
        <f>IF(Table4[[#This Row],[NeedsAttention]]=1,Table4[[#This Row],[Start]],Table4[[#This Row],[StartN]])</f>
        <v>46701</v>
      </c>
      <c r="L272">
        <f>IF(Table4[[#This Row],[NeedsAttention]]=1,Table4[[#This Row],[End]],Table4[[#This Row],[EndN]])</f>
        <v>46753</v>
      </c>
      <c r="M272" t="b">
        <f>Table4[[#This Row],[Merged.Start]]=L271+1</f>
        <v>1</v>
      </c>
      <c r="O272">
        <f>Table4[[#This Row],[Section]]</f>
        <v>271</v>
      </c>
      <c r="P272">
        <f>Table4[[#This Row],[Canon]]</f>
        <v>10</v>
      </c>
      <c r="Q272" s="1" t="str">
        <f>Table4[[#This Row],[Reference]]</f>
        <v>22.27-30A</v>
      </c>
      <c r="R272" t="str">
        <f>Table4[[#This Row],[StartR]]</f>
        <v>LUK 22:27</v>
      </c>
      <c r="S272" t="str">
        <f>Table4[[#This Row],[EndR]]</f>
        <v>LUK 22:30</v>
      </c>
      <c r="T272">
        <f>Table4[[#This Row],[Merged.Start]]</f>
        <v>46701</v>
      </c>
      <c r="U272">
        <f>Table4[[#This Row],[Merged.End]]</f>
        <v>46753</v>
      </c>
    </row>
    <row r="273" spans="1:21" x14ac:dyDescent="0.25">
      <c r="A273">
        <v>272</v>
      </c>
      <c r="B273">
        <v>5</v>
      </c>
      <c r="C273" t="s">
        <v>1900</v>
      </c>
      <c r="D273" t="s">
        <v>1899</v>
      </c>
      <c r="E273" t="s">
        <v>1899</v>
      </c>
      <c r="F273">
        <v>46742</v>
      </c>
      <c r="G273">
        <v>46763</v>
      </c>
      <c r="H273">
        <v>1</v>
      </c>
      <c r="I273">
        <v>46754</v>
      </c>
      <c r="J273">
        <v>46763</v>
      </c>
      <c r="K273">
        <f>IF(Table4[[#This Row],[NeedsAttention]]=1,Table4[[#This Row],[Start]],Table4[[#This Row],[StartN]])</f>
        <v>46754</v>
      </c>
      <c r="L273">
        <f>IF(Table4[[#This Row],[NeedsAttention]]=1,Table4[[#This Row],[End]],Table4[[#This Row],[EndN]])</f>
        <v>46763</v>
      </c>
      <c r="M273" t="b">
        <f>Table4[[#This Row],[Merged.Start]]=L272+1</f>
        <v>1</v>
      </c>
      <c r="O273">
        <f>Table4[[#This Row],[Section]]</f>
        <v>272</v>
      </c>
      <c r="P273">
        <f>Table4[[#This Row],[Canon]]</f>
        <v>5</v>
      </c>
      <c r="Q273" s="1" t="str">
        <f>Table4[[#This Row],[Reference]]</f>
        <v>22.30B</v>
      </c>
      <c r="R273" t="str">
        <f>Table4[[#This Row],[StartR]]</f>
        <v>LUK 22:30</v>
      </c>
      <c r="S273" t="str">
        <f>Table4[[#This Row],[EndR]]</f>
        <v>LUK 22:30</v>
      </c>
      <c r="T273">
        <f>Table4[[#This Row],[Merged.Start]]</f>
        <v>46754</v>
      </c>
      <c r="U273">
        <f>Table4[[#This Row],[Merged.End]]</f>
        <v>46763</v>
      </c>
    </row>
    <row r="274" spans="1:21" x14ac:dyDescent="0.25">
      <c r="A274">
        <v>273</v>
      </c>
      <c r="B274">
        <v>10</v>
      </c>
      <c r="C274" t="s">
        <v>1901</v>
      </c>
      <c r="D274" t="s">
        <v>1902</v>
      </c>
      <c r="E274" t="s">
        <v>1903</v>
      </c>
      <c r="F274">
        <v>46764</v>
      </c>
      <c r="G274">
        <v>46794</v>
      </c>
      <c r="H274">
        <v>1</v>
      </c>
      <c r="I274">
        <v>46764</v>
      </c>
      <c r="J274">
        <v>46786</v>
      </c>
      <c r="K274">
        <f>IF(Table4[[#This Row],[NeedsAttention]]=1,Table4[[#This Row],[Start]],Table4[[#This Row],[StartN]])</f>
        <v>46764</v>
      </c>
      <c r="L274">
        <f>IF(Table4[[#This Row],[NeedsAttention]]=1,Table4[[#This Row],[End]],Table4[[#This Row],[EndN]])</f>
        <v>46786</v>
      </c>
      <c r="M274" t="b">
        <f>Table4[[#This Row],[Merged.Start]]=L273+1</f>
        <v>1</v>
      </c>
      <c r="O274">
        <f>Table4[[#This Row],[Section]]</f>
        <v>273</v>
      </c>
      <c r="P274">
        <f>Table4[[#This Row],[Canon]]</f>
        <v>10</v>
      </c>
      <c r="Q274" s="1" t="str">
        <f>Table4[[#This Row],[Reference]]</f>
        <v>22.31-32A</v>
      </c>
      <c r="R274" t="str">
        <f>Table4[[#This Row],[StartR]]</f>
        <v>LUK 22:31</v>
      </c>
      <c r="S274" t="str">
        <f>Table4[[#This Row],[EndR]]</f>
        <v>LUK 22:32</v>
      </c>
      <c r="T274">
        <f>Table4[[#This Row],[Merged.Start]]</f>
        <v>46764</v>
      </c>
      <c r="U274">
        <f>Table4[[#This Row],[Merged.End]]</f>
        <v>46786</v>
      </c>
    </row>
    <row r="275" spans="1:21" x14ac:dyDescent="0.25">
      <c r="A275">
        <v>274</v>
      </c>
      <c r="B275">
        <v>9</v>
      </c>
      <c r="C275" t="s">
        <v>1904</v>
      </c>
      <c r="D275" t="s">
        <v>1903</v>
      </c>
      <c r="E275" t="s">
        <v>1903</v>
      </c>
      <c r="F275">
        <v>46776</v>
      </c>
      <c r="G275">
        <v>46794</v>
      </c>
      <c r="H275">
        <v>1</v>
      </c>
      <c r="I275">
        <v>46787</v>
      </c>
      <c r="J275">
        <v>46794</v>
      </c>
      <c r="K275">
        <f>IF(Table4[[#This Row],[NeedsAttention]]=1,Table4[[#This Row],[Start]],Table4[[#This Row],[StartN]])</f>
        <v>46787</v>
      </c>
      <c r="L275">
        <f>IF(Table4[[#This Row],[NeedsAttention]]=1,Table4[[#This Row],[End]],Table4[[#This Row],[EndN]])</f>
        <v>46794</v>
      </c>
      <c r="M275" t="b">
        <f>Table4[[#This Row],[Merged.Start]]=L274+1</f>
        <v>1</v>
      </c>
      <c r="O275">
        <f>Table4[[#This Row],[Section]]</f>
        <v>274</v>
      </c>
      <c r="P275">
        <f>Table4[[#This Row],[Canon]]</f>
        <v>9</v>
      </c>
      <c r="Q275" s="1" t="str">
        <f>Table4[[#This Row],[Reference]]</f>
        <v>22.32B</v>
      </c>
      <c r="R275" t="str">
        <f>Table4[[#This Row],[StartR]]</f>
        <v>LUK 22:32</v>
      </c>
      <c r="S275" t="str">
        <f>Table4[[#This Row],[EndR]]</f>
        <v>LUK 22:32</v>
      </c>
      <c r="T275">
        <f>Table4[[#This Row],[Merged.Start]]</f>
        <v>46787</v>
      </c>
      <c r="U275">
        <f>Table4[[#This Row],[Merged.End]]</f>
        <v>46794</v>
      </c>
    </row>
    <row r="276" spans="1:21" x14ac:dyDescent="0.25">
      <c r="A276">
        <v>275</v>
      </c>
      <c r="B276">
        <v>1</v>
      </c>
      <c r="C276" t="s">
        <v>1905</v>
      </c>
      <c r="D276" t="s">
        <v>1906</v>
      </c>
      <c r="E276" t="s">
        <v>1907</v>
      </c>
      <c r="F276">
        <v>46795</v>
      </c>
      <c r="G276">
        <v>46825</v>
      </c>
      <c r="H276">
        <v>0</v>
      </c>
      <c r="K276">
        <f>IF(Table4[[#This Row],[NeedsAttention]]=1,Table4[[#This Row],[Start]],Table4[[#This Row],[StartN]])</f>
        <v>46795</v>
      </c>
      <c r="L276">
        <f>IF(Table4[[#This Row],[NeedsAttention]]=1,Table4[[#This Row],[End]],Table4[[#This Row],[EndN]])</f>
        <v>46825</v>
      </c>
      <c r="M276" t="b">
        <f>Table4[[#This Row],[Merged.Start]]=L275+1</f>
        <v>1</v>
      </c>
      <c r="O276">
        <f>Table4[[#This Row],[Section]]</f>
        <v>275</v>
      </c>
      <c r="P276">
        <f>Table4[[#This Row],[Canon]]</f>
        <v>1</v>
      </c>
      <c r="Q276" s="1" t="str">
        <f>Table4[[#This Row],[Reference]]</f>
        <v>22.33-34</v>
      </c>
      <c r="R276" t="str">
        <f>Table4[[#This Row],[StartR]]</f>
        <v>LUK 22:33</v>
      </c>
      <c r="S276" t="str">
        <f>Table4[[#This Row],[EndR]]</f>
        <v>LUK 22:34</v>
      </c>
      <c r="T276">
        <f>Table4[[#This Row],[Merged.Start]]</f>
        <v>46795</v>
      </c>
      <c r="U276">
        <f>Table4[[#This Row],[Merged.End]]</f>
        <v>46825</v>
      </c>
    </row>
    <row r="277" spans="1:21" x14ac:dyDescent="0.25">
      <c r="A277">
        <v>276</v>
      </c>
      <c r="B277">
        <v>10</v>
      </c>
      <c r="C277" t="s">
        <v>1908</v>
      </c>
      <c r="D277" t="s">
        <v>1909</v>
      </c>
      <c r="E277" t="s">
        <v>1910</v>
      </c>
      <c r="F277">
        <v>46826</v>
      </c>
      <c r="G277">
        <v>46867</v>
      </c>
      <c r="H277">
        <v>0</v>
      </c>
      <c r="K277">
        <f>IF(Table4[[#This Row],[NeedsAttention]]=1,Table4[[#This Row],[Start]],Table4[[#This Row],[StartN]])</f>
        <v>46826</v>
      </c>
      <c r="L277">
        <f>IF(Table4[[#This Row],[NeedsAttention]]=1,Table4[[#This Row],[End]],Table4[[#This Row],[EndN]])</f>
        <v>46867</v>
      </c>
      <c r="M277" t="b">
        <f>Table4[[#This Row],[Merged.Start]]=L276+1</f>
        <v>1</v>
      </c>
      <c r="O277">
        <f>Table4[[#This Row],[Section]]</f>
        <v>276</v>
      </c>
      <c r="P277">
        <f>Table4[[#This Row],[Canon]]</f>
        <v>10</v>
      </c>
      <c r="Q277" s="1" t="str">
        <f>Table4[[#This Row],[Reference]]</f>
        <v>22.35-36</v>
      </c>
      <c r="R277" t="str">
        <f>Table4[[#This Row],[StartR]]</f>
        <v>LUK 22:35</v>
      </c>
      <c r="S277" t="str">
        <f>Table4[[#This Row],[EndR]]</f>
        <v>LUK 22:36</v>
      </c>
      <c r="T277">
        <f>Table4[[#This Row],[Merged.Start]]</f>
        <v>46826</v>
      </c>
      <c r="U277">
        <f>Table4[[#This Row],[Merged.End]]</f>
        <v>46867</v>
      </c>
    </row>
    <row r="278" spans="1:21" x14ac:dyDescent="0.25">
      <c r="A278">
        <v>277</v>
      </c>
      <c r="B278">
        <v>8</v>
      </c>
      <c r="C278">
        <v>22.37</v>
      </c>
      <c r="D278" t="s">
        <v>1911</v>
      </c>
      <c r="E278" t="s">
        <v>1911</v>
      </c>
      <c r="F278">
        <v>46868</v>
      </c>
      <c r="G278">
        <v>46890</v>
      </c>
      <c r="H278">
        <v>0</v>
      </c>
      <c r="K278">
        <f>IF(Table4[[#This Row],[NeedsAttention]]=1,Table4[[#This Row],[Start]],Table4[[#This Row],[StartN]])</f>
        <v>46868</v>
      </c>
      <c r="L278">
        <f>IF(Table4[[#This Row],[NeedsAttention]]=1,Table4[[#This Row],[End]],Table4[[#This Row],[EndN]])</f>
        <v>46890</v>
      </c>
      <c r="M278" t="b">
        <f>Table4[[#This Row],[Merged.Start]]=L277+1</f>
        <v>1</v>
      </c>
      <c r="O278">
        <f>Table4[[#This Row],[Section]]</f>
        <v>277</v>
      </c>
      <c r="P278">
        <f>Table4[[#This Row],[Canon]]</f>
        <v>8</v>
      </c>
      <c r="Q278" s="1">
        <f>Table4[[#This Row],[Reference]]</f>
        <v>22.37</v>
      </c>
      <c r="R278" t="str">
        <f>Table4[[#This Row],[StartR]]</f>
        <v>LUK 22:37</v>
      </c>
      <c r="S278" t="str">
        <f>Table4[[#This Row],[EndR]]</f>
        <v>LUK 22:37</v>
      </c>
      <c r="T278">
        <f>Table4[[#This Row],[Merged.Start]]</f>
        <v>46868</v>
      </c>
      <c r="U278">
        <f>Table4[[#This Row],[Merged.End]]</f>
        <v>46890</v>
      </c>
    </row>
    <row r="279" spans="1:21" x14ac:dyDescent="0.25">
      <c r="A279">
        <v>278</v>
      </c>
      <c r="B279">
        <v>10</v>
      </c>
      <c r="C279">
        <v>22.38</v>
      </c>
      <c r="D279" t="s">
        <v>1912</v>
      </c>
      <c r="E279" t="s">
        <v>1912</v>
      </c>
      <c r="F279">
        <v>46891</v>
      </c>
      <c r="G279">
        <v>46904</v>
      </c>
      <c r="H279">
        <v>0</v>
      </c>
      <c r="K279">
        <f>IF(Table4[[#This Row],[NeedsAttention]]=1,Table4[[#This Row],[Start]],Table4[[#This Row],[StartN]])</f>
        <v>46891</v>
      </c>
      <c r="L279">
        <f>IF(Table4[[#This Row],[NeedsAttention]]=1,Table4[[#This Row],[End]],Table4[[#This Row],[EndN]])</f>
        <v>46904</v>
      </c>
      <c r="M279" t="b">
        <f>Table4[[#This Row],[Merged.Start]]=L278+1</f>
        <v>1</v>
      </c>
      <c r="O279">
        <f>Table4[[#This Row],[Section]]</f>
        <v>278</v>
      </c>
      <c r="P279">
        <f>Table4[[#This Row],[Canon]]</f>
        <v>10</v>
      </c>
      <c r="Q279" s="1">
        <f>Table4[[#This Row],[Reference]]</f>
        <v>22.38</v>
      </c>
      <c r="R279" t="str">
        <f>Table4[[#This Row],[StartR]]</f>
        <v>LUK 22:38</v>
      </c>
      <c r="S279" t="str">
        <f>Table4[[#This Row],[EndR]]</f>
        <v>LUK 22:38</v>
      </c>
      <c r="T279">
        <f>Table4[[#This Row],[Merged.Start]]</f>
        <v>46891</v>
      </c>
      <c r="U279">
        <f>Table4[[#This Row],[Merged.End]]</f>
        <v>46904</v>
      </c>
    </row>
    <row r="280" spans="1:21" x14ac:dyDescent="0.25">
      <c r="A280">
        <v>279</v>
      </c>
      <c r="B280">
        <v>1</v>
      </c>
      <c r="C280">
        <v>22.39</v>
      </c>
      <c r="D280" t="s">
        <v>1913</v>
      </c>
      <c r="E280" t="s">
        <v>1913</v>
      </c>
      <c r="F280">
        <v>46905</v>
      </c>
      <c r="G280">
        <v>46921</v>
      </c>
      <c r="H280">
        <v>0</v>
      </c>
      <c r="K280">
        <f>IF(Table4[[#This Row],[NeedsAttention]]=1,Table4[[#This Row],[Start]],Table4[[#This Row],[StartN]])</f>
        <v>46905</v>
      </c>
      <c r="L280">
        <f>IF(Table4[[#This Row],[NeedsAttention]]=1,Table4[[#This Row],[End]],Table4[[#This Row],[EndN]])</f>
        <v>46921</v>
      </c>
      <c r="M280" t="b">
        <f>Table4[[#This Row],[Merged.Start]]=L279+1</f>
        <v>1</v>
      </c>
      <c r="O280">
        <f>Table4[[#This Row],[Section]]</f>
        <v>279</v>
      </c>
      <c r="P280">
        <f>Table4[[#This Row],[Canon]]</f>
        <v>1</v>
      </c>
      <c r="Q280" s="1">
        <f>Table4[[#This Row],[Reference]]</f>
        <v>22.39</v>
      </c>
      <c r="R280" t="str">
        <f>Table4[[#This Row],[StartR]]</f>
        <v>LUK 22:39</v>
      </c>
      <c r="S280" t="str">
        <f>Table4[[#This Row],[EndR]]</f>
        <v>LUK 22:39</v>
      </c>
      <c r="T280">
        <f>Table4[[#This Row],[Merged.Start]]</f>
        <v>46905</v>
      </c>
      <c r="U280">
        <f>Table4[[#This Row],[Merged.End]]</f>
        <v>46921</v>
      </c>
    </row>
    <row r="281" spans="1:21" x14ac:dyDescent="0.25">
      <c r="A281">
        <v>280</v>
      </c>
      <c r="B281">
        <v>2</v>
      </c>
      <c r="C281">
        <v>22.4</v>
      </c>
      <c r="D281" t="s">
        <v>2539</v>
      </c>
      <c r="E281" t="s">
        <v>2539</v>
      </c>
      <c r="F281">
        <v>46922</v>
      </c>
      <c r="G281">
        <v>46933</v>
      </c>
      <c r="H281">
        <v>0</v>
      </c>
      <c r="K281">
        <f>IF(Table4[[#This Row],[NeedsAttention]]=1,Table4[[#This Row],[Start]],Table4[[#This Row],[StartN]])</f>
        <v>46922</v>
      </c>
      <c r="L281">
        <f>IF(Table4[[#This Row],[NeedsAttention]]=1,Table4[[#This Row],[End]],Table4[[#This Row],[EndN]])</f>
        <v>46933</v>
      </c>
      <c r="M281" t="b">
        <f>Table4[[#This Row],[Merged.Start]]=L280+1</f>
        <v>1</v>
      </c>
      <c r="O281">
        <f>Table4[[#This Row],[Section]]</f>
        <v>280</v>
      </c>
      <c r="P281">
        <f>Table4[[#This Row],[Canon]]</f>
        <v>2</v>
      </c>
      <c r="Q281" s="1">
        <f>Table4[[#This Row],[Reference]]</f>
        <v>22.4</v>
      </c>
      <c r="R281" t="str">
        <f>Table4[[#This Row],[StartR]]</f>
        <v>LUK 22:40</v>
      </c>
      <c r="S281" t="str">
        <f>Table4[[#This Row],[EndR]]</f>
        <v>LUK 22:40</v>
      </c>
      <c r="T281">
        <f>Table4[[#This Row],[Merged.Start]]</f>
        <v>46922</v>
      </c>
      <c r="U281">
        <f>Table4[[#This Row],[Merged.End]]</f>
        <v>46933</v>
      </c>
    </row>
    <row r="282" spans="1:21" x14ac:dyDescent="0.25">
      <c r="A282">
        <v>281</v>
      </c>
      <c r="B282">
        <v>1</v>
      </c>
      <c r="C282">
        <v>22.41</v>
      </c>
      <c r="D282" t="s">
        <v>1914</v>
      </c>
      <c r="E282" t="s">
        <v>1914</v>
      </c>
      <c r="F282">
        <v>46934</v>
      </c>
      <c r="G282">
        <v>46946</v>
      </c>
      <c r="H282">
        <v>0</v>
      </c>
      <c r="K282">
        <f>IF(Table4[[#This Row],[NeedsAttention]]=1,Table4[[#This Row],[Start]],Table4[[#This Row],[StartN]])</f>
        <v>46934</v>
      </c>
      <c r="L282">
        <f>IF(Table4[[#This Row],[NeedsAttention]]=1,Table4[[#This Row],[End]],Table4[[#This Row],[EndN]])</f>
        <v>46946</v>
      </c>
      <c r="M282" t="b">
        <f>Table4[[#This Row],[Merged.Start]]=L281+1</f>
        <v>1</v>
      </c>
      <c r="O282">
        <f>Table4[[#This Row],[Section]]</f>
        <v>281</v>
      </c>
      <c r="P282">
        <f>Table4[[#This Row],[Canon]]</f>
        <v>1</v>
      </c>
      <c r="Q282" s="1">
        <f>Table4[[#This Row],[Reference]]</f>
        <v>22.41</v>
      </c>
      <c r="R282" t="str">
        <f>Table4[[#This Row],[StartR]]</f>
        <v>LUK 22:41</v>
      </c>
      <c r="S282" t="str">
        <f>Table4[[#This Row],[EndR]]</f>
        <v>LUK 22:41</v>
      </c>
      <c r="T282">
        <f>Table4[[#This Row],[Merged.Start]]</f>
        <v>46934</v>
      </c>
      <c r="U282">
        <f>Table4[[#This Row],[Merged.End]]</f>
        <v>46946</v>
      </c>
    </row>
    <row r="283" spans="1:21" x14ac:dyDescent="0.25">
      <c r="A283">
        <v>282</v>
      </c>
      <c r="B283">
        <v>1</v>
      </c>
      <c r="C283">
        <v>22.42</v>
      </c>
      <c r="D283" t="s">
        <v>1915</v>
      </c>
      <c r="E283" t="s">
        <v>1915</v>
      </c>
      <c r="F283">
        <v>46947</v>
      </c>
      <c r="G283">
        <v>46965</v>
      </c>
      <c r="H283">
        <v>0</v>
      </c>
      <c r="K283">
        <f>IF(Table4[[#This Row],[NeedsAttention]]=1,Table4[[#This Row],[Start]],Table4[[#This Row],[StartN]])</f>
        <v>46947</v>
      </c>
      <c r="L283">
        <f>IF(Table4[[#This Row],[NeedsAttention]]=1,Table4[[#This Row],[End]],Table4[[#This Row],[EndN]])</f>
        <v>46965</v>
      </c>
      <c r="M283" t="b">
        <f>Table4[[#This Row],[Merged.Start]]=L282+1</f>
        <v>1</v>
      </c>
      <c r="O283">
        <f>Table4[[#This Row],[Section]]</f>
        <v>282</v>
      </c>
      <c r="P283">
        <f>Table4[[#This Row],[Canon]]</f>
        <v>1</v>
      </c>
      <c r="Q283" s="1">
        <f>Table4[[#This Row],[Reference]]</f>
        <v>22.42</v>
      </c>
      <c r="R283" t="str">
        <f>Table4[[#This Row],[StartR]]</f>
        <v>LUK 22:42</v>
      </c>
      <c r="S283" t="str">
        <f>Table4[[#This Row],[EndR]]</f>
        <v>LUK 22:42</v>
      </c>
      <c r="T283">
        <f>Table4[[#This Row],[Merged.Start]]</f>
        <v>46947</v>
      </c>
      <c r="U283">
        <f>Table4[[#This Row],[Merged.End]]</f>
        <v>46965</v>
      </c>
    </row>
    <row r="284" spans="1:21" x14ac:dyDescent="0.25">
      <c r="A284">
        <v>283</v>
      </c>
      <c r="B284">
        <v>10</v>
      </c>
      <c r="C284" t="s">
        <v>1916</v>
      </c>
      <c r="D284" t="s">
        <v>1917</v>
      </c>
      <c r="E284" t="s">
        <v>1918</v>
      </c>
      <c r="F284">
        <v>46966</v>
      </c>
      <c r="G284">
        <v>46991</v>
      </c>
      <c r="H284">
        <v>0</v>
      </c>
      <c r="K284">
        <f>IF(Table4[[#This Row],[NeedsAttention]]=1,Table4[[#This Row],[Start]],Table4[[#This Row],[StartN]])</f>
        <v>46966</v>
      </c>
      <c r="L284">
        <f>IF(Table4[[#This Row],[NeedsAttention]]=1,Table4[[#This Row],[End]],Table4[[#This Row],[EndN]])</f>
        <v>46991</v>
      </c>
      <c r="M284" t="b">
        <f>Table4[[#This Row],[Merged.Start]]=L283+1</f>
        <v>1</v>
      </c>
      <c r="O284">
        <f>Table4[[#This Row],[Section]]</f>
        <v>283</v>
      </c>
      <c r="P284">
        <f>Table4[[#This Row],[Canon]]</f>
        <v>10</v>
      </c>
      <c r="Q284" s="1" t="str">
        <f>Table4[[#This Row],[Reference]]</f>
        <v>22.43-44</v>
      </c>
      <c r="R284" t="str">
        <f>Table4[[#This Row],[StartR]]</f>
        <v>LUK 22:43</v>
      </c>
      <c r="S284" t="str">
        <f>Table4[[#This Row],[EndR]]</f>
        <v>LUK 22:44</v>
      </c>
      <c r="T284">
        <f>Table4[[#This Row],[Merged.Start]]</f>
        <v>46966</v>
      </c>
      <c r="U284">
        <f>Table4[[#This Row],[Merged.End]]</f>
        <v>46991</v>
      </c>
    </row>
    <row r="285" spans="1:21" x14ac:dyDescent="0.25">
      <c r="A285">
        <v>284</v>
      </c>
      <c r="B285">
        <v>2</v>
      </c>
      <c r="C285" t="s">
        <v>1919</v>
      </c>
      <c r="D285" t="s">
        <v>1920</v>
      </c>
      <c r="E285" t="s">
        <v>1921</v>
      </c>
      <c r="F285">
        <v>46992</v>
      </c>
      <c r="G285">
        <v>47018</v>
      </c>
      <c r="H285">
        <v>0</v>
      </c>
      <c r="K285">
        <f>IF(Table4[[#This Row],[NeedsAttention]]=1,Table4[[#This Row],[Start]],Table4[[#This Row],[StartN]])</f>
        <v>46992</v>
      </c>
      <c r="L285">
        <f>IF(Table4[[#This Row],[NeedsAttention]]=1,Table4[[#This Row],[End]],Table4[[#This Row],[EndN]])</f>
        <v>47018</v>
      </c>
      <c r="M285" t="b">
        <f>Table4[[#This Row],[Merged.Start]]=L284+1</f>
        <v>1</v>
      </c>
      <c r="O285">
        <f>Table4[[#This Row],[Section]]</f>
        <v>284</v>
      </c>
      <c r="P285">
        <f>Table4[[#This Row],[Canon]]</f>
        <v>2</v>
      </c>
      <c r="Q285" s="1" t="str">
        <f>Table4[[#This Row],[Reference]]</f>
        <v>22.45-46</v>
      </c>
      <c r="R285" t="str">
        <f>Table4[[#This Row],[StartR]]</f>
        <v>LUK 22:45</v>
      </c>
      <c r="S285" t="str">
        <f>Table4[[#This Row],[EndR]]</f>
        <v>LUK 22:46</v>
      </c>
      <c r="T285">
        <f>Table4[[#This Row],[Merged.Start]]</f>
        <v>46992</v>
      </c>
      <c r="U285">
        <f>Table4[[#This Row],[Merged.End]]</f>
        <v>47018</v>
      </c>
    </row>
    <row r="286" spans="1:21" x14ac:dyDescent="0.25">
      <c r="A286">
        <v>285</v>
      </c>
      <c r="B286">
        <v>1</v>
      </c>
      <c r="C286" t="s">
        <v>1922</v>
      </c>
      <c r="D286" t="s">
        <v>1923</v>
      </c>
      <c r="E286" t="s">
        <v>1923</v>
      </c>
      <c r="F286">
        <v>47019</v>
      </c>
      <c r="G286">
        <v>47038</v>
      </c>
      <c r="H286">
        <v>1</v>
      </c>
      <c r="I286">
        <v>47019</v>
      </c>
      <c r="J286">
        <v>47032</v>
      </c>
      <c r="K286">
        <f>IF(Table4[[#This Row],[NeedsAttention]]=1,Table4[[#This Row],[Start]],Table4[[#This Row],[StartN]])</f>
        <v>47019</v>
      </c>
      <c r="L286">
        <f>IF(Table4[[#This Row],[NeedsAttention]]=1,Table4[[#This Row],[End]],Table4[[#This Row],[EndN]])</f>
        <v>47032</v>
      </c>
      <c r="M286" t="b">
        <f>Table4[[#This Row],[Merged.Start]]=L285+1</f>
        <v>1</v>
      </c>
      <c r="O286">
        <f>Table4[[#This Row],[Section]]</f>
        <v>285</v>
      </c>
      <c r="P286">
        <f>Table4[[#This Row],[Canon]]</f>
        <v>1</v>
      </c>
      <c r="Q286" s="1" t="str">
        <f>Table4[[#This Row],[Reference]]</f>
        <v>22.47A</v>
      </c>
      <c r="R286" t="str">
        <f>Table4[[#This Row],[StartR]]</f>
        <v>LUK 22:47</v>
      </c>
      <c r="S286" t="str">
        <f>Table4[[#This Row],[EndR]]</f>
        <v>LUK 22:47</v>
      </c>
      <c r="T286">
        <f>Table4[[#This Row],[Merged.Start]]</f>
        <v>47019</v>
      </c>
      <c r="U286">
        <f>Table4[[#This Row],[Merged.End]]</f>
        <v>47032</v>
      </c>
    </row>
    <row r="287" spans="1:21" x14ac:dyDescent="0.25">
      <c r="A287">
        <v>286</v>
      </c>
      <c r="B287">
        <v>2</v>
      </c>
      <c r="C287" t="s">
        <v>1924</v>
      </c>
      <c r="D287" t="s">
        <v>1923</v>
      </c>
      <c r="E287" t="s">
        <v>1925</v>
      </c>
      <c r="F287">
        <v>47019</v>
      </c>
      <c r="G287">
        <v>47049</v>
      </c>
      <c r="H287">
        <v>1</v>
      </c>
      <c r="I287">
        <v>47033</v>
      </c>
      <c r="J287">
        <v>47049</v>
      </c>
      <c r="K287">
        <f>IF(Table4[[#This Row],[NeedsAttention]]=1,Table4[[#This Row],[Start]],Table4[[#This Row],[StartN]])</f>
        <v>47033</v>
      </c>
      <c r="L287">
        <f>IF(Table4[[#This Row],[NeedsAttention]]=1,Table4[[#This Row],[End]],Table4[[#This Row],[EndN]])</f>
        <v>47049</v>
      </c>
      <c r="M287" t="b">
        <f>Table4[[#This Row],[Merged.Start]]=L286+1</f>
        <v>1</v>
      </c>
      <c r="O287">
        <f>Table4[[#This Row],[Section]]</f>
        <v>286</v>
      </c>
      <c r="P287">
        <f>Table4[[#This Row],[Canon]]</f>
        <v>2</v>
      </c>
      <c r="Q287" s="1" t="str">
        <f>Table4[[#This Row],[Reference]]</f>
        <v>22.47B-48</v>
      </c>
      <c r="R287" t="str">
        <f>Table4[[#This Row],[StartR]]</f>
        <v>LUK 22:47</v>
      </c>
      <c r="S287" t="str">
        <f>Table4[[#This Row],[EndR]]</f>
        <v>LUK 22:48</v>
      </c>
      <c r="T287">
        <f>Table4[[#This Row],[Merged.Start]]</f>
        <v>47033</v>
      </c>
      <c r="U287">
        <f>Table4[[#This Row],[Merged.End]]</f>
        <v>47049</v>
      </c>
    </row>
    <row r="288" spans="1:21" x14ac:dyDescent="0.25">
      <c r="A288">
        <v>287</v>
      </c>
      <c r="B288">
        <v>1</v>
      </c>
      <c r="C288" t="s">
        <v>1926</v>
      </c>
      <c r="D288" t="s">
        <v>1927</v>
      </c>
      <c r="E288" t="s">
        <v>1928</v>
      </c>
      <c r="F288">
        <v>47050</v>
      </c>
      <c r="G288">
        <v>47079</v>
      </c>
      <c r="H288">
        <v>0</v>
      </c>
      <c r="K288">
        <f>IF(Table4[[#This Row],[NeedsAttention]]=1,Table4[[#This Row],[Start]],Table4[[#This Row],[StartN]])</f>
        <v>47050</v>
      </c>
      <c r="L288">
        <f>IF(Table4[[#This Row],[NeedsAttention]]=1,Table4[[#This Row],[End]],Table4[[#This Row],[EndN]])</f>
        <v>47079</v>
      </c>
      <c r="M288" t="b">
        <f>Table4[[#This Row],[Merged.Start]]=L287+1</f>
        <v>1</v>
      </c>
      <c r="O288">
        <f>Table4[[#This Row],[Section]]</f>
        <v>287</v>
      </c>
      <c r="P288">
        <f>Table4[[#This Row],[Canon]]</f>
        <v>1</v>
      </c>
      <c r="Q288" s="1" t="str">
        <f>Table4[[#This Row],[Reference]]</f>
        <v>22.49-50</v>
      </c>
      <c r="R288" t="str">
        <f>Table4[[#This Row],[StartR]]</f>
        <v>LUK 22:49</v>
      </c>
      <c r="S288" t="str">
        <f>Table4[[#This Row],[EndR]]</f>
        <v>LUK 22:50</v>
      </c>
      <c r="T288">
        <f>Table4[[#This Row],[Merged.Start]]</f>
        <v>47050</v>
      </c>
      <c r="U288">
        <f>Table4[[#This Row],[Merged.End]]</f>
        <v>47079</v>
      </c>
    </row>
    <row r="289" spans="1:21" x14ac:dyDescent="0.25">
      <c r="A289">
        <v>288</v>
      </c>
      <c r="B289">
        <v>10</v>
      </c>
      <c r="C289">
        <v>22.51</v>
      </c>
      <c r="D289" t="s">
        <v>1929</v>
      </c>
      <c r="E289" t="s">
        <v>1929</v>
      </c>
      <c r="F289">
        <v>47080</v>
      </c>
      <c r="G289">
        <v>47093</v>
      </c>
      <c r="H289">
        <v>0</v>
      </c>
      <c r="K289">
        <f>IF(Table4[[#This Row],[NeedsAttention]]=1,Table4[[#This Row],[Start]],Table4[[#This Row],[StartN]])</f>
        <v>47080</v>
      </c>
      <c r="L289">
        <f>IF(Table4[[#This Row],[NeedsAttention]]=1,Table4[[#This Row],[End]],Table4[[#This Row],[EndN]])</f>
        <v>47093</v>
      </c>
      <c r="M289" t="b">
        <f>Table4[[#This Row],[Merged.Start]]=L288+1</f>
        <v>1</v>
      </c>
      <c r="O289">
        <f>Table4[[#This Row],[Section]]</f>
        <v>288</v>
      </c>
      <c r="P289">
        <f>Table4[[#This Row],[Canon]]</f>
        <v>10</v>
      </c>
      <c r="Q289" s="1">
        <f>Table4[[#This Row],[Reference]]</f>
        <v>22.51</v>
      </c>
      <c r="R289" t="str">
        <f>Table4[[#This Row],[StartR]]</f>
        <v>LUK 22:51</v>
      </c>
      <c r="S289" t="str">
        <f>Table4[[#This Row],[EndR]]</f>
        <v>LUK 22:51</v>
      </c>
      <c r="T289">
        <f>Table4[[#This Row],[Merged.Start]]</f>
        <v>47080</v>
      </c>
      <c r="U289">
        <f>Table4[[#This Row],[Merged.End]]</f>
        <v>47093</v>
      </c>
    </row>
    <row r="290" spans="1:21" x14ac:dyDescent="0.25">
      <c r="A290">
        <v>289</v>
      </c>
      <c r="B290">
        <v>1</v>
      </c>
      <c r="C290" t="s">
        <v>1930</v>
      </c>
      <c r="D290" t="s">
        <v>1931</v>
      </c>
      <c r="E290" t="s">
        <v>1932</v>
      </c>
      <c r="F290">
        <v>47094</v>
      </c>
      <c r="G290">
        <v>47142</v>
      </c>
      <c r="H290">
        <v>0</v>
      </c>
      <c r="K290">
        <f>IF(Table4[[#This Row],[NeedsAttention]]=1,Table4[[#This Row],[Start]],Table4[[#This Row],[StartN]])</f>
        <v>47094</v>
      </c>
      <c r="L290">
        <f>IF(Table4[[#This Row],[NeedsAttention]]=1,Table4[[#This Row],[End]],Table4[[#This Row],[EndN]])</f>
        <v>47142</v>
      </c>
      <c r="M290" t="b">
        <f>Table4[[#This Row],[Merged.Start]]=L289+1</f>
        <v>1</v>
      </c>
      <c r="O290">
        <f>Table4[[#This Row],[Section]]</f>
        <v>289</v>
      </c>
      <c r="P290">
        <f>Table4[[#This Row],[Canon]]</f>
        <v>1</v>
      </c>
      <c r="Q290" s="1" t="str">
        <f>Table4[[#This Row],[Reference]]</f>
        <v>22.52-53</v>
      </c>
      <c r="R290" t="str">
        <f>Table4[[#This Row],[StartR]]</f>
        <v>LUK 22:52</v>
      </c>
      <c r="S290" t="str">
        <f>Table4[[#This Row],[EndR]]</f>
        <v>LUK 22:53</v>
      </c>
      <c r="T290">
        <f>Table4[[#This Row],[Merged.Start]]</f>
        <v>47094</v>
      </c>
      <c r="U290">
        <f>Table4[[#This Row],[Merged.End]]</f>
        <v>47142</v>
      </c>
    </row>
    <row r="291" spans="1:21" x14ac:dyDescent="0.25">
      <c r="A291">
        <v>290</v>
      </c>
      <c r="B291">
        <v>1</v>
      </c>
      <c r="C291" t="s">
        <v>1933</v>
      </c>
      <c r="D291" t="s">
        <v>1934</v>
      </c>
      <c r="E291" t="s">
        <v>1934</v>
      </c>
      <c r="F291">
        <v>47143</v>
      </c>
      <c r="G291">
        <v>47158</v>
      </c>
      <c r="H291">
        <v>1</v>
      </c>
      <c r="I291">
        <v>47143</v>
      </c>
      <c r="J291">
        <v>47153</v>
      </c>
      <c r="K291">
        <f>IF(Table4[[#This Row],[NeedsAttention]]=1,Table4[[#This Row],[Start]],Table4[[#This Row],[StartN]])</f>
        <v>47143</v>
      </c>
      <c r="L291">
        <f>IF(Table4[[#This Row],[NeedsAttention]]=1,Table4[[#This Row],[End]],Table4[[#This Row],[EndN]])</f>
        <v>47153</v>
      </c>
      <c r="M291" t="b">
        <f>Table4[[#This Row],[Merged.Start]]=L290+1</f>
        <v>1</v>
      </c>
      <c r="O291">
        <f>Table4[[#This Row],[Section]]</f>
        <v>290</v>
      </c>
      <c r="P291">
        <f>Table4[[#This Row],[Canon]]</f>
        <v>1</v>
      </c>
      <c r="Q291" s="1" t="str">
        <f>Table4[[#This Row],[Reference]]</f>
        <v>22.54A</v>
      </c>
      <c r="R291" t="str">
        <f>Table4[[#This Row],[StartR]]</f>
        <v>LUK 22:54</v>
      </c>
      <c r="S291" t="str">
        <f>Table4[[#This Row],[EndR]]</f>
        <v>LUK 22:54</v>
      </c>
      <c r="T291">
        <f>Table4[[#This Row],[Merged.Start]]</f>
        <v>47143</v>
      </c>
      <c r="U291">
        <f>Table4[[#This Row],[Merged.End]]</f>
        <v>47153</v>
      </c>
    </row>
    <row r="292" spans="1:21" x14ac:dyDescent="0.25">
      <c r="A292">
        <v>291</v>
      </c>
      <c r="B292">
        <v>1</v>
      </c>
      <c r="C292" t="s">
        <v>1935</v>
      </c>
      <c r="D292" t="s">
        <v>1934</v>
      </c>
      <c r="E292" t="s">
        <v>1936</v>
      </c>
      <c r="F292">
        <v>47143</v>
      </c>
      <c r="G292">
        <v>47198</v>
      </c>
      <c r="H292">
        <v>1</v>
      </c>
      <c r="I292">
        <v>47154</v>
      </c>
      <c r="J292">
        <v>47198</v>
      </c>
      <c r="K292">
        <f>IF(Table4[[#This Row],[NeedsAttention]]=1,Table4[[#This Row],[Start]],Table4[[#This Row],[StartN]])</f>
        <v>47154</v>
      </c>
      <c r="L292">
        <f>IF(Table4[[#This Row],[NeedsAttention]]=1,Table4[[#This Row],[End]],Table4[[#This Row],[EndN]])</f>
        <v>47198</v>
      </c>
      <c r="M292" t="b">
        <f>Table4[[#This Row],[Merged.Start]]=L291+1</f>
        <v>1</v>
      </c>
      <c r="O292">
        <f>Table4[[#This Row],[Section]]</f>
        <v>291</v>
      </c>
      <c r="P292">
        <f>Table4[[#This Row],[Canon]]</f>
        <v>1</v>
      </c>
      <c r="Q292" s="1" t="str">
        <f>Table4[[#This Row],[Reference]]</f>
        <v>22.54B-57</v>
      </c>
      <c r="R292" t="str">
        <f>Table4[[#This Row],[StartR]]</f>
        <v>LUK 22:54</v>
      </c>
      <c r="S292" t="str">
        <f>Table4[[#This Row],[EndR]]</f>
        <v>LUK 22:57</v>
      </c>
      <c r="T292">
        <f>Table4[[#This Row],[Merged.Start]]</f>
        <v>47154</v>
      </c>
      <c r="U292">
        <f>Table4[[#This Row],[Merged.End]]</f>
        <v>47198</v>
      </c>
    </row>
    <row r="293" spans="1:21" x14ac:dyDescent="0.25">
      <c r="A293">
        <v>292</v>
      </c>
      <c r="B293">
        <v>1</v>
      </c>
      <c r="C293" t="s">
        <v>1937</v>
      </c>
      <c r="D293" t="s">
        <v>1938</v>
      </c>
      <c r="E293" t="s">
        <v>1939</v>
      </c>
      <c r="F293">
        <v>47199</v>
      </c>
      <c r="G293">
        <v>47279</v>
      </c>
      <c r="H293">
        <v>1</v>
      </c>
      <c r="I293">
        <v>47199</v>
      </c>
      <c r="J293">
        <v>47260</v>
      </c>
      <c r="K293">
        <f>IF(Table4[[#This Row],[NeedsAttention]]=1,Table4[[#This Row],[Start]],Table4[[#This Row],[StartN]])</f>
        <v>47199</v>
      </c>
      <c r="L293">
        <f>IF(Table4[[#This Row],[NeedsAttention]]=1,Table4[[#This Row],[End]],Table4[[#This Row],[EndN]])</f>
        <v>47260</v>
      </c>
      <c r="M293" t="b">
        <f>Table4[[#This Row],[Merged.Start]]=L292+1</f>
        <v>1</v>
      </c>
      <c r="O293">
        <f>Table4[[#This Row],[Section]]</f>
        <v>292</v>
      </c>
      <c r="P293">
        <f>Table4[[#This Row],[Canon]]</f>
        <v>1</v>
      </c>
      <c r="Q293" s="1" t="str">
        <f>Table4[[#This Row],[Reference]]</f>
        <v>22.58-61A</v>
      </c>
      <c r="R293" t="str">
        <f>Table4[[#This Row],[StartR]]</f>
        <v>LUK 22:58</v>
      </c>
      <c r="S293" t="str">
        <f>Table4[[#This Row],[EndR]]</f>
        <v>LUK 22:61</v>
      </c>
      <c r="T293">
        <f>Table4[[#This Row],[Merged.Start]]</f>
        <v>47199</v>
      </c>
      <c r="U293">
        <f>Table4[[#This Row],[Merged.End]]</f>
        <v>47260</v>
      </c>
    </row>
    <row r="294" spans="1:21" x14ac:dyDescent="0.25">
      <c r="A294">
        <v>293</v>
      </c>
      <c r="B294">
        <v>2</v>
      </c>
      <c r="C294" t="s">
        <v>1940</v>
      </c>
      <c r="D294" t="s">
        <v>1939</v>
      </c>
      <c r="E294" t="s">
        <v>1941</v>
      </c>
      <c r="F294">
        <v>47254</v>
      </c>
      <c r="G294">
        <v>47284</v>
      </c>
      <c r="H294">
        <v>1</v>
      </c>
      <c r="I294">
        <v>47261</v>
      </c>
      <c r="J294">
        <v>47284</v>
      </c>
      <c r="K294">
        <f>IF(Table4[[#This Row],[NeedsAttention]]=1,Table4[[#This Row],[Start]],Table4[[#This Row],[StartN]])</f>
        <v>47261</v>
      </c>
      <c r="L294">
        <f>IF(Table4[[#This Row],[NeedsAttention]]=1,Table4[[#This Row],[End]],Table4[[#This Row],[EndN]])</f>
        <v>47284</v>
      </c>
      <c r="M294" t="b">
        <f>Table4[[#This Row],[Merged.Start]]=L293+1</f>
        <v>1</v>
      </c>
      <c r="O294">
        <f>Table4[[#This Row],[Section]]</f>
        <v>293</v>
      </c>
      <c r="P294">
        <f>Table4[[#This Row],[Canon]]</f>
        <v>2</v>
      </c>
      <c r="Q294" s="1" t="str">
        <f>Table4[[#This Row],[Reference]]</f>
        <v>22.61B-62</v>
      </c>
      <c r="R294" t="str">
        <f>Table4[[#This Row],[StartR]]</f>
        <v>LUK 22:61</v>
      </c>
      <c r="S294" t="str">
        <f>Table4[[#This Row],[EndR]]</f>
        <v>LUK 22:62</v>
      </c>
      <c r="T294">
        <f>Table4[[#This Row],[Merged.Start]]</f>
        <v>47261</v>
      </c>
      <c r="U294">
        <f>Table4[[#This Row],[Merged.End]]</f>
        <v>47284</v>
      </c>
    </row>
    <row r="295" spans="1:21" x14ac:dyDescent="0.25">
      <c r="A295">
        <v>294</v>
      </c>
      <c r="B295">
        <v>1</v>
      </c>
      <c r="C295" t="s">
        <v>1942</v>
      </c>
      <c r="D295" t="s">
        <v>1943</v>
      </c>
      <c r="E295" t="s">
        <v>1944</v>
      </c>
      <c r="F295">
        <v>47285</v>
      </c>
      <c r="G295">
        <v>47311</v>
      </c>
      <c r="H295">
        <v>0</v>
      </c>
      <c r="K295">
        <f>IF(Table4[[#This Row],[NeedsAttention]]=1,Table4[[#This Row],[Start]],Table4[[#This Row],[StartN]])</f>
        <v>47285</v>
      </c>
      <c r="L295">
        <f>IF(Table4[[#This Row],[NeedsAttention]]=1,Table4[[#This Row],[End]],Table4[[#This Row],[EndN]])</f>
        <v>47311</v>
      </c>
      <c r="M295" t="b">
        <f>Table4[[#This Row],[Merged.Start]]=L294+1</f>
        <v>1</v>
      </c>
      <c r="O295">
        <f>Table4[[#This Row],[Section]]</f>
        <v>294</v>
      </c>
      <c r="P295">
        <f>Table4[[#This Row],[Canon]]</f>
        <v>1</v>
      </c>
      <c r="Q295" s="1" t="str">
        <f>Table4[[#This Row],[Reference]]</f>
        <v>22.63-65</v>
      </c>
      <c r="R295" t="str">
        <f>Table4[[#This Row],[StartR]]</f>
        <v>LUK 22:63</v>
      </c>
      <c r="S295" t="str">
        <f>Table4[[#This Row],[EndR]]</f>
        <v>LUK 22:65</v>
      </c>
      <c r="T295">
        <f>Table4[[#This Row],[Merged.Start]]</f>
        <v>47285</v>
      </c>
      <c r="U295">
        <f>Table4[[#This Row],[Merged.End]]</f>
        <v>47311</v>
      </c>
    </row>
    <row r="296" spans="1:21" x14ac:dyDescent="0.25">
      <c r="A296">
        <v>295</v>
      </c>
      <c r="B296">
        <v>2</v>
      </c>
      <c r="C296" t="s">
        <v>1945</v>
      </c>
      <c r="D296" t="s">
        <v>1946</v>
      </c>
      <c r="E296" t="s">
        <v>1947</v>
      </c>
      <c r="F296">
        <v>47312</v>
      </c>
      <c r="G296">
        <v>47348</v>
      </c>
      <c r="H296">
        <v>1</v>
      </c>
      <c r="I296">
        <v>47312</v>
      </c>
      <c r="J296">
        <v>47339</v>
      </c>
      <c r="K296">
        <f>IF(Table4[[#This Row],[NeedsAttention]]=1,Table4[[#This Row],[Start]],Table4[[#This Row],[StartN]])</f>
        <v>47312</v>
      </c>
      <c r="L296">
        <f>IF(Table4[[#This Row],[NeedsAttention]]=1,Table4[[#This Row],[End]],Table4[[#This Row],[EndN]])</f>
        <v>47339</v>
      </c>
      <c r="M296" t="b">
        <f>Table4[[#This Row],[Merged.Start]]=L295+1</f>
        <v>1</v>
      </c>
      <c r="O296">
        <f>Table4[[#This Row],[Section]]</f>
        <v>295</v>
      </c>
      <c r="P296">
        <f>Table4[[#This Row],[Canon]]</f>
        <v>2</v>
      </c>
      <c r="Q296" s="1" t="str">
        <f>Table4[[#This Row],[Reference]]</f>
        <v>22.66-67A</v>
      </c>
      <c r="R296" t="str">
        <f>Table4[[#This Row],[StartR]]</f>
        <v>LUK 22:66</v>
      </c>
      <c r="S296" t="str">
        <f>Table4[[#This Row],[EndR]]</f>
        <v>LUK 22:67</v>
      </c>
      <c r="T296">
        <f>Table4[[#This Row],[Merged.Start]]</f>
        <v>47312</v>
      </c>
      <c r="U296">
        <f>Table4[[#This Row],[Merged.End]]</f>
        <v>47339</v>
      </c>
    </row>
    <row r="297" spans="1:21" x14ac:dyDescent="0.25">
      <c r="A297">
        <v>296</v>
      </c>
      <c r="B297">
        <v>10</v>
      </c>
      <c r="C297" t="s">
        <v>1948</v>
      </c>
      <c r="D297" t="s">
        <v>1947</v>
      </c>
      <c r="E297" t="s">
        <v>1949</v>
      </c>
      <c r="F297">
        <v>47332</v>
      </c>
      <c r="G297">
        <v>47354</v>
      </c>
      <c r="H297">
        <v>1</v>
      </c>
      <c r="I297">
        <v>47340</v>
      </c>
      <c r="J297">
        <v>47354</v>
      </c>
      <c r="K297">
        <f>IF(Table4[[#This Row],[NeedsAttention]]=1,Table4[[#This Row],[Start]],Table4[[#This Row],[StartN]])</f>
        <v>47340</v>
      </c>
      <c r="L297">
        <f>IF(Table4[[#This Row],[NeedsAttention]]=1,Table4[[#This Row],[End]],Table4[[#This Row],[EndN]])</f>
        <v>47354</v>
      </c>
      <c r="M297" t="b">
        <f>Table4[[#This Row],[Merged.Start]]=L296+1</f>
        <v>1</v>
      </c>
      <c r="O297">
        <f>Table4[[#This Row],[Section]]</f>
        <v>296</v>
      </c>
      <c r="P297">
        <f>Table4[[#This Row],[Canon]]</f>
        <v>10</v>
      </c>
      <c r="Q297" s="1" t="str">
        <f>Table4[[#This Row],[Reference]]</f>
        <v>22.67B-68</v>
      </c>
      <c r="R297" t="str">
        <f>Table4[[#This Row],[StartR]]</f>
        <v>LUK 22:67</v>
      </c>
      <c r="S297" t="str">
        <f>Table4[[#This Row],[EndR]]</f>
        <v>LUK 22:68</v>
      </c>
      <c r="T297">
        <f>Table4[[#This Row],[Merged.Start]]</f>
        <v>47340</v>
      </c>
      <c r="U297">
        <f>Table4[[#This Row],[Merged.End]]</f>
        <v>47354</v>
      </c>
    </row>
    <row r="298" spans="1:21" x14ac:dyDescent="0.25">
      <c r="A298">
        <v>297</v>
      </c>
      <c r="B298">
        <v>1</v>
      </c>
      <c r="C298">
        <v>22.69</v>
      </c>
      <c r="D298" t="s">
        <v>1950</v>
      </c>
      <c r="E298" t="s">
        <v>1950</v>
      </c>
      <c r="F298">
        <v>47355</v>
      </c>
      <c r="G298">
        <v>47370</v>
      </c>
      <c r="H298">
        <v>0</v>
      </c>
      <c r="K298">
        <f>IF(Table4[[#This Row],[NeedsAttention]]=1,Table4[[#This Row],[Start]],Table4[[#This Row],[StartN]])</f>
        <v>47355</v>
      </c>
      <c r="L298">
        <f>IF(Table4[[#This Row],[NeedsAttention]]=1,Table4[[#This Row],[End]],Table4[[#This Row],[EndN]])</f>
        <v>47370</v>
      </c>
      <c r="M298" t="b">
        <f>Table4[[#This Row],[Merged.Start]]=L297+1</f>
        <v>1</v>
      </c>
      <c r="O298">
        <f>Table4[[#This Row],[Section]]</f>
        <v>297</v>
      </c>
      <c r="P298">
        <f>Table4[[#This Row],[Canon]]</f>
        <v>1</v>
      </c>
      <c r="Q298" s="1">
        <f>Table4[[#This Row],[Reference]]</f>
        <v>22.69</v>
      </c>
      <c r="R298" t="str">
        <f>Table4[[#This Row],[StartR]]</f>
        <v>LUK 22:69</v>
      </c>
      <c r="S298" t="str">
        <f>Table4[[#This Row],[EndR]]</f>
        <v>LUK 22:69</v>
      </c>
      <c r="T298">
        <f>Table4[[#This Row],[Merged.Start]]</f>
        <v>47355</v>
      </c>
      <c r="U298">
        <f>Table4[[#This Row],[Merged.End]]</f>
        <v>47370</v>
      </c>
    </row>
    <row r="299" spans="1:21" x14ac:dyDescent="0.25">
      <c r="A299">
        <v>298</v>
      </c>
      <c r="B299">
        <v>10</v>
      </c>
      <c r="C299">
        <v>22.7</v>
      </c>
      <c r="D299" t="s">
        <v>2540</v>
      </c>
      <c r="E299" t="s">
        <v>2540</v>
      </c>
      <c r="F299">
        <v>47371</v>
      </c>
      <c r="G299">
        <v>47390</v>
      </c>
      <c r="H299">
        <v>0</v>
      </c>
      <c r="K299">
        <f>IF(Table4[[#This Row],[NeedsAttention]]=1,Table4[[#This Row],[Start]],Table4[[#This Row],[StartN]])</f>
        <v>47371</v>
      </c>
      <c r="L299">
        <f>IF(Table4[[#This Row],[NeedsAttention]]=1,Table4[[#This Row],[End]],Table4[[#This Row],[EndN]])</f>
        <v>47390</v>
      </c>
      <c r="M299" t="b">
        <f>Table4[[#This Row],[Merged.Start]]=L298+1</f>
        <v>1</v>
      </c>
      <c r="O299">
        <f>Table4[[#This Row],[Section]]</f>
        <v>298</v>
      </c>
      <c r="P299">
        <f>Table4[[#This Row],[Canon]]</f>
        <v>10</v>
      </c>
      <c r="Q299" s="1">
        <f>Table4[[#This Row],[Reference]]</f>
        <v>22.7</v>
      </c>
      <c r="R299" t="str">
        <f>Table4[[#This Row],[StartR]]</f>
        <v>LUK 22:70</v>
      </c>
      <c r="S299" t="str">
        <f>Table4[[#This Row],[EndR]]</f>
        <v>LUK 22:70</v>
      </c>
      <c r="T299">
        <f>Table4[[#This Row],[Merged.Start]]</f>
        <v>47371</v>
      </c>
      <c r="U299">
        <f>Table4[[#This Row],[Merged.End]]</f>
        <v>47390</v>
      </c>
    </row>
    <row r="300" spans="1:21" x14ac:dyDescent="0.25">
      <c r="A300">
        <v>299</v>
      </c>
      <c r="B300">
        <v>2</v>
      </c>
      <c r="C300">
        <v>22.71</v>
      </c>
      <c r="D300" t="s">
        <v>1951</v>
      </c>
      <c r="E300" t="s">
        <v>1951</v>
      </c>
      <c r="F300">
        <v>47391</v>
      </c>
      <c r="G300">
        <v>47405</v>
      </c>
      <c r="H300">
        <v>0</v>
      </c>
      <c r="K300">
        <f>IF(Table4[[#This Row],[NeedsAttention]]=1,Table4[[#This Row],[Start]],Table4[[#This Row],[StartN]])</f>
        <v>47391</v>
      </c>
      <c r="L300">
        <f>IF(Table4[[#This Row],[NeedsAttention]]=1,Table4[[#This Row],[End]],Table4[[#This Row],[EndN]])</f>
        <v>47405</v>
      </c>
      <c r="M300" t="b">
        <f>Table4[[#This Row],[Merged.Start]]=L299+1</f>
        <v>1</v>
      </c>
      <c r="O300">
        <f>Table4[[#This Row],[Section]]</f>
        <v>299</v>
      </c>
      <c r="P300">
        <f>Table4[[#This Row],[Canon]]</f>
        <v>2</v>
      </c>
      <c r="Q300" s="1">
        <f>Table4[[#This Row],[Reference]]</f>
        <v>22.71</v>
      </c>
      <c r="R300" t="str">
        <f>Table4[[#This Row],[StartR]]</f>
        <v>LUK 22:71</v>
      </c>
      <c r="S300" t="str">
        <f>Table4[[#This Row],[EndR]]</f>
        <v>LUK 22:71</v>
      </c>
      <c r="T300">
        <f>Table4[[#This Row],[Merged.Start]]</f>
        <v>47391</v>
      </c>
      <c r="U300">
        <f>Table4[[#This Row],[Merged.End]]</f>
        <v>47405</v>
      </c>
    </row>
    <row r="301" spans="1:21" x14ac:dyDescent="0.25">
      <c r="A301">
        <v>300</v>
      </c>
      <c r="B301">
        <v>1</v>
      </c>
      <c r="C301">
        <v>23.1</v>
      </c>
      <c r="D301" t="s">
        <v>1952</v>
      </c>
      <c r="E301" t="s">
        <v>1952</v>
      </c>
      <c r="F301">
        <v>47406</v>
      </c>
      <c r="G301">
        <v>47416</v>
      </c>
      <c r="H301">
        <v>0</v>
      </c>
      <c r="K301">
        <f>IF(Table4[[#This Row],[NeedsAttention]]=1,Table4[[#This Row],[Start]],Table4[[#This Row],[StartN]])</f>
        <v>47406</v>
      </c>
      <c r="L301">
        <f>IF(Table4[[#This Row],[NeedsAttention]]=1,Table4[[#This Row],[End]],Table4[[#This Row],[EndN]])</f>
        <v>47416</v>
      </c>
      <c r="M301" t="b">
        <f>Table4[[#This Row],[Merged.Start]]=L300+1</f>
        <v>1</v>
      </c>
      <c r="O301">
        <f>Table4[[#This Row],[Section]]</f>
        <v>300</v>
      </c>
      <c r="P301">
        <f>Table4[[#This Row],[Canon]]</f>
        <v>1</v>
      </c>
      <c r="Q301" s="1">
        <f>Table4[[#This Row],[Reference]]</f>
        <v>23.1</v>
      </c>
      <c r="R301" t="str">
        <f>Table4[[#This Row],[StartR]]</f>
        <v>LUK 23:1</v>
      </c>
      <c r="S301" t="str">
        <f>Table4[[#This Row],[EndR]]</f>
        <v>LUK 23:1</v>
      </c>
      <c r="T301">
        <f>Table4[[#This Row],[Merged.Start]]</f>
        <v>47406</v>
      </c>
      <c r="U301">
        <f>Table4[[#This Row],[Merged.End]]</f>
        <v>47416</v>
      </c>
    </row>
    <row r="302" spans="1:21" x14ac:dyDescent="0.25">
      <c r="A302">
        <v>301</v>
      </c>
      <c r="B302">
        <v>10</v>
      </c>
      <c r="C302">
        <v>23.2</v>
      </c>
      <c r="D302" t="s">
        <v>1953</v>
      </c>
      <c r="E302" t="s">
        <v>1953</v>
      </c>
      <c r="F302">
        <v>47417</v>
      </c>
      <c r="G302">
        <v>47438</v>
      </c>
      <c r="H302">
        <v>0</v>
      </c>
      <c r="K302">
        <f>IF(Table4[[#This Row],[NeedsAttention]]=1,Table4[[#This Row],[Start]],Table4[[#This Row],[StartN]])</f>
        <v>47417</v>
      </c>
      <c r="L302">
        <f>IF(Table4[[#This Row],[NeedsAttention]]=1,Table4[[#This Row],[End]],Table4[[#This Row],[EndN]])</f>
        <v>47438</v>
      </c>
      <c r="M302" t="b">
        <f>Table4[[#This Row],[Merged.Start]]=L301+1</f>
        <v>1</v>
      </c>
      <c r="O302">
        <f>Table4[[#This Row],[Section]]</f>
        <v>301</v>
      </c>
      <c r="P302">
        <f>Table4[[#This Row],[Canon]]</f>
        <v>10</v>
      </c>
      <c r="Q302" s="1">
        <f>Table4[[#This Row],[Reference]]</f>
        <v>23.2</v>
      </c>
      <c r="R302" t="str">
        <f>Table4[[#This Row],[StartR]]</f>
        <v>LUK 23:2</v>
      </c>
      <c r="S302" t="str">
        <f>Table4[[#This Row],[EndR]]</f>
        <v>LUK 23:2</v>
      </c>
      <c r="T302">
        <f>Table4[[#This Row],[Merged.Start]]</f>
        <v>47417</v>
      </c>
      <c r="U302">
        <f>Table4[[#This Row],[Merged.End]]</f>
        <v>47438</v>
      </c>
    </row>
    <row r="303" spans="1:21" x14ac:dyDescent="0.25">
      <c r="A303">
        <v>302</v>
      </c>
      <c r="B303">
        <v>1</v>
      </c>
      <c r="C303">
        <v>23.3</v>
      </c>
      <c r="D303" t="s">
        <v>1954</v>
      </c>
      <c r="E303" t="s">
        <v>1954</v>
      </c>
      <c r="F303">
        <v>47439</v>
      </c>
      <c r="G303">
        <v>47457</v>
      </c>
      <c r="H303">
        <v>0</v>
      </c>
      <c r="K303">
        <f>IF(Table4[[#This Row],[NeedsAttention]]=1,Table4[[#This Row],[Start]],Table4[[#This Row],[StartN]])</f>
        <v>47439</v>
      </c>
      <c r="L303">
        <f>IF(Table4[[#This Row],[NeedsAttention]]=1,Table4[[#This Row],[End]],Table4[[#This Row],[EndN]])</f>
        <v>47457</v>
      </c>
      <c r="M303" t="b">
        <f>Table4[[#This Row],[Merged.Start]]=L302+1</f>
        <v>1</v>
      </c>
      <c r="O303">
        <f>Table4[[#This Row],[Section]]</f>
        <v>302</v>
      </c>
      <c r="P303">
        <f>Table4[[#This Row],[Canon]]</f>
        <v>1</v>
      </c>
      <c r="Q303" s="1">
        <f>Table4[[#This Row],[Reference]]</f>
        <v>23.3</v>
      </c>
      <c r="R303" t="str">
        <f>Table4[[#This Row],[StartR]]</f>
        <v>LUK 23:3</v>
      </c>
      <c r="S303" t="str">
        <f>Table4[[#This Row],[EndR]]</f>
        <v>LUK 23:3</v>
      </c>
      <c r="T303">
        <f>Table4[[#This Row],[Merged.Start]]</f>
        <v>47439</v>
      </c>
      <c r="U303">
        <f>Table4[[#This Row],[Merged.End]]</f>
        <v>47457</v>
      </c>
    </row>
    <row r="304" spans="1:21" x14ac:dyDescent="0.25">
      <c r="A304">
        <v>303</v>
      </c>
      <c r="B304">
        <v>9</v>
      </c>
      <c r="C304">
        <v>23.4</v>
      </c>
      <c r="D304" t="s">
        <v>1955</v>
      </c>
      <c r="E304" t="s">
        <v>1955</v>
      </c>
      <c r="F304">
        <v>47458</v>
      </c>
      <c r="G304">
        <v>47474</v>
      </c>
      <c r="H304">
        <v>0</v>
      </c>
      <c r="K304">
        <f>IF(Table4[[#This Row],[NeedsAttention]]=1,Table4[[#This Row],[Start]],Table4[[#This Row],[StartN]])</f>
        <v>47458</v>
      </c>
      <c r="L304">
        <f>IF(Table4[[#This Row],[NeedsAttention]]=1,Table4[[#This Row],[End]],Table4[[#This Row],[EndN]])</f>
        <v>47474</v>
      </c>
      <c r="M304" t="b">
        <f>Table4[[#This Row],[Merged.Start]]=L303+1</f>
        <v>1</v>
      </c>
      <c r="O304">
        <f>Table4[[#This Row],[Section]]</f>
        <v>303</v>
      </c>
      <c r="P304">
        <f>Table4[[#This Row],[Canon]]</f>
        <v>9</v>
      </c>
      <c r="Q304" s="1">
        <f>Table4[[#This Row],[Reference]]</f>
        <v>23.4</v>
      </c>
      <c r="R304" t="str">
        <f>Table4[[#This Row],[StartR]]</f>
        <v>LUK 23:4</v>
      </c>
      <c r="S304" t="str">
        <f>Table4[[#This Row],[EndR]]</f>
        <v>LUK 23:4</v>
      </c>
      <c r="T304">
        <f>Table4[[#This Row],[Merged.Start]]</f>
        <v>47458</v>
      </c>
      <c r="U304">
        <f>Table4[[#This Row],[Merged.End]]</f>
        <v>47474</v>
      </c>
    </row>
    <row r="305" spans="1:21" x14ac:dyDescent="0.25">
      <c r="A305">
        <v>304</v>
      </c>
      <c r="B305">
        <v>10</v>
      </c>
      <c r="C305" t="s">
        <v>1956</v>
      </c>
      <c r="D305" t="s">
        <v>1957</v>
      </c>
      <c r="E305" t="s">
        <v>1958</v>
      </c>
      <c r="F305">
        <v>47475</v>
      </c>
      <c r="G305">
        <v>47564</v>
      </c>
      <c r="H305">
        <v>0</v>
      </c>
      <c r="K305">
        <f>IF(Table4[[#This Row],[NeedsAttention]]=1,Table4[[#This Row],[Start]],Table4[[#This Row],[StartN]])</f>
        <v>47475</v>
      </c>
      <c r="L305">
        <f>IF(Table4[[#This Row],[NeedsAttention]]=1,Table4[[#This Row],[End]],Table4[[#This Row],[EndN]])</f>
        <v>47564</v>
      </c>
      <c r="M305" t="b">
        <f>Table4[[#This Row],[Merged.Start]]=L304+1</f>
        <v>1</v>
      </c>
      <c r="O305">
        <f>Table4[[#This Row],[Section]]</f>
        <v>304</v>
      </c>
      <c r="P305">
        <f>Table4[[#This Row],[Canon]]</f>
        <v>10</v>
      </c>
      <c r="Q305" s="1" t="str">
        <f>Table4[[#This Row],[Reference]]</f>
        <v>23.5-9</v>
      </c>
      <c r="R305" t="str">
        <f>Table4[[#This Row],[StartR]]</f>
        <v>LUK 23:5</v>
      </c>
      <c r="S305" t="str">
        <f>Table4[[#This Row],[EndR]]</f>
        <v>LUK 23:9</v>
      </c>
      <c r="T305">
        <f>Table4[[#This Row],[Merged.Start]]</f>
        <v>47475</v>
      </c>
      <c r="U305">
        <f>Table4[[#This Row],[Merged.End]]</f>
        <v>47564</v>
      </c>
    </row>
    <row r="306" spans="1:21" x14ac:dyDescent="0.25">
      <c r="A306">
        <v>305</v>
      </c>
      <c r="B306">
        <v>2</v>
      </c>
      <c r="C306">
        <v>23.1</v>
      </c>
      <c r="D306" t="s">
        <v>2541</v>
      </c>
      <c r="E306" t="s">
        <v>2541</v>
      </c>
      <c r="F306">
        <v>47565</v>
      </c>
      <c r="G306">
        <v>47574</v>
      </c>
      <c r="H306">
        <v>0</v>
      </c>
      <c r="K306">
        <f>IF(Table4[[#This Row],[NeedsAttention]]=1,Table4[[#This Row],[Start]],Table4[[#This Row],[StartN]])</f>
        <v>47565</v>
      </c>
      <c r="L306">
        <f>IF(Table4[[#This Row],[NeedsAttention]]=1,Table4[[#This Row],[End]],Table4[[#This Row],[EndN]])</f>
        <v>47574</v>
      </c>
      <c r="M306" t="b">
        <f>Table4[[#This Row],[Merged.Start]]=L305+1</f>
        <v>1</v>
      </c>
      <c r="O306">
        <f>Table4[[#This Row],[Section]]</f>
        <v>305</v>
      </c>
      <c r="P306">
        <f>Table4[[#This Row],[Canon]]</f>
        <v>2</v>
      </c>
      <c r="Q306" s="1">
        <f>Table4[[#This Row],[Reference]]</f>
        <v>23.1</v>
      </c>
      <c r="R306" t="str">
        <f>Table4[[#This Row],[StartR]]</f>
        <v>LUK 23:10</v>
      </c>
      <c r="S306" t="str">
        <f>Table4[[#This Row],[EndR]]</f>
        <v>LUK 23:10</v>
      </c>
      <c r="T306">
        <f>Table4[[#This Row],[Merged.Start]]</f>
        <v>47565</v>
      </c>
      <c r="U306">
        <f>Table4[[#This Row],[Merged.End]]</f>
        <v>47574</v>
      </c>
    </row>
    <row r="307" spans="1:21" x14ac:dyDescent="0.25">
      <c r="A307">
        <v>306</v>
      </c>
      <c r="B307">
        <v>10</v>
      </c>
      <c r="C307" t="s">
        <v>1959</v>
      </c>
      <c r="D307" t="s">
        <v>1960</v>
      </c>
      <c r="E307" t="s">
        <v>1961</v>
      </c>
      <c r="F307">
        <v>47575</v>
      </c>
      <c r="G307">
        <v>47615</v>
      </c>
      <c r="H307">
        <v>0</v>
      </c>
      <c r="K307">
        <f>IF(Table4[[#This Row],[NeedsAttention]]=1,Table4[[#This Row],[Start]],Table4[[#This Row],[StartN]])</f>
        <v>47575</v>
      </c>
      <c r="L307">
        <f>IF(Table4[[#This Row],[NeedsAttention]]=1,Table4[[#This Row],[End]],Table4[[#This Row],[EndN]])</f>
        <v>47615</v>
      </c>
      <c r="M307" t="b">
        <f>Table4[[#This Row],[Merged.Start]]=L306+1</f>
        <v>1</v>
      </c>
      <c r="O307">
        <f>Table4[[#This Row],[Section]]</f>
        <v>306</v>
      </c>
      <c r="P307">
        <f>Table4[[#This Row],[Canon]]</f>
        <v>10</v>
      </c>
      <c r="Q307" s="1" t="str">
        <f>Table4[[#This Row],[Reference]]</f>
        <v>23.11-12</v>
      </c>
      <c r="R307" t="str">
        <f>Table4[[#This Row],[StartR]]</f>
        <v>LUK 23:11</v>
      </c>
      <c r="S307" t="str">
        <f>Table4[[#This Row],[EndR]]</f>
        <v>LUK 23:12</v>
      </c>
      <c r="T307">
        <f>Table4[[#This Row],[Merged.Start]]</f>
        <v>47575</v>
      </c>
      <c r="U307">
        <f>Table4[[#This Row],[Merged.End]]</f>
        <v>47615</v>
      </c>
    </row>
    <row r="308" spans="1:21" x14ac:dyDescent="0.25">
      <c r="A308">
        <v>307</v>
      </c>
      <c r="B308">
        <v>9</v>
      </c>
      <c r="C308" t="s">
        <v>1962</v>
      </c>
      <c r="D308" t="s">
        <v>1963</v>
      </c>
      <c r="E308" t="s">
        <v>1964</v>
      </c>
      <c r="F308">
        <v>47616</v>
      </c>
      <c r="G308">
        <v>47655</v>
      </c>
      <c r="H308">
        <v>0</v>
      </c>
      <c r="K308">
        <f>IF(Table4[[#This Row],[NeedsAttention]]=1,Table4[[#This Row],[Start]],Table4[[#This Row],[StartN]])</f>
        <v>47616</v>
      </c>
      <c r="L308">
        <f>IF(Table4[[#This Row],[NeedsAttention]]=1,Table4[[#This Row],[End]],Table4[[#This Row],[EndN]])</f>
        <v>47655</v>
      </c>
      <c r="M308" t="b">
        <f>Table4[[#This Row],[Merged.Start]]=L307+1</f>
        <v>1</v>
      </c>
      <c r="O308">
        <f>Table4[[#This Row],[Section]]</f>
        <v>307</v>
      </c>
      <c r="P308">
        <f>Table4[[#This Row],[Canon]]</f>
        <v>9</v>
      </c>
      <c r="Q308" s="1" t="str">
        <f>Table4[[#This Row],[Reference]]</f>
        <v>23.13-14</v>
      </c>
      <c r="R308" t="str">
        <f>Table4[[#This Row],[StartR]]</f>
        <v>LUK 23:13</v>
      </c>
      <c r="S308" t="str">
        <f>Table4[[#This Row],[EndR]]</f>
        <v>LUK 23:14</v>
      </c>
      <c r="T308">
        <f>Table4[[#This Row],[Merged.Start]]</f>
        <v>47616</v>
      </c>
      <c r="U308">
        <f>Table4[[#This Row],[Merged.End]]</f>
        <v>47655</v>
      </c>
    </row>
    <row r="309" spans="1:21" x14ac:dyDescent="0.25">
      <c r="A309">
        <v>308</v>
      </c>
      <c r="B309">
        <v>10</v>
      </c>
      <c r="C309" t="s">
        <v>1965</v>
      </c>
      <c r="D309" t="s">
        <v>1966</v>
      </c>
      <c r="E309" t="s">
        <v>1967</v>
      </c>
      <c r="F309">
        <v>47656</v>
      </c>
      <c r="G309">
        <v>47675</v>
      </c>
      <c r="H309">
        <v>0</v>
      </c>
      <c r="K309">
        <f>IF(Table4[[#This Row],[NeedsAttention]]=1,Table4[[#This Row],[Start]],Table4[[#This Row],[StartN]])</f>
        <v>47656</v>
      </c>
      <c r="L309">
        <f>IF(Table4[[#This Row],[NeedsAttention]]=1,Table4[[#This Row],[End]],Table4[[#This Row],[EndN]])</f>
        <v>47675</v>
      </c>
      <c r="M309" t="b">
        <f>Table4[[#This Row],[Merged.Start]]=L308+1</f>
        <v>1</v>
      </c>
      <c r="O309">
        <f>Table4[[#This Row],[Section]]</f>
        <v>308</v>
      </c>
      <c r="P309">
        <f>Table4[[#This Row],[Canon]]</f>
        <v>10</v>
      </c>
      <c r="Q309" s="1" t="str">
        <f>Table4[[#This Row],[Reference]]</f>
        <v>23.15-16</v>
      </c>
      <c r="R309" t="str">
        <f>Table4[[#This Row],[StartR]]</f>
        <v>LUK 23:15</v>
      </c>
      <c r="S309" t="str">
        <f>Table4[[#This Row],[EndR]]</f>
        <v>LUK 23:16</v>
      </c>
      <c r="T309">
        <f>Table4[[#This Row],[Merged.Start]]</f>
        <v>47656</v>
      </c>
      <c r="U309">
        <f>Table4[[#This Row],[Merged.End]]</f>
        <v>47675</v>
      </c>
    </row>
    <row r="310" spans="1:21" x14ac:dyDescent="0.25">
      <c r="A310">
        <v>309</v>
      </c>
      <c r="B310">
        <v>2</v>
      </c>
      <c r="C310" t="s">
        <v>1968</v>
      </c>
      <c r="D310" t="s">
        <v>2525</v>
      </c>
      <c r="E310" t="s">
        <v>2525</v>
      </c>
      <c r="F310">
        <v>0</v>
      </c>
      <c r="G310">
        <v>0</v>
      </c>
      <c r="H310">
        <v>1</v>
      </c>
      <c r="K310">
        <f>IF(Table4[[#This Row],[NeedsAttention]]=1,Table4[[#This Row],[Start]],Table4[[#This Row],[StartN]])</f>
        <v>0</v>
      </c>
      <c r="L310">
        <f>IF(Table4[[#This Row],[NeedsAttention]]=1,Table4[[#This Row],[End]],Table4[[#This Row],[EndN]])</f>
        <v>0</v>
      </c>
      <c r="M310" t="b">
        <f>Table4[[#This Row],[Merged.Start]]=L309+1</f>
        <v>0</v>
      </c>
      <c r="O310">
        <f>Table4[[#This Row],[Section]]</f>
        <v>309</v>
      </c>
      <c r="P310">
        <f>Table4[[#This Row],[Canon]]</f>
        <v>2</v>
      </c>
      <c r="Q310" s="1" t="str">
        <f>Table4[[#This Row],[Reference]]</f>
        <v>23.17 (in note)</v>
      </c>
      <c r="R310" t="str">
        <f>Table4[[#This Row],[StartR]]</f>
        <v>LUK 23:17</v>
      </c>
      <c r="S310" t="str">
        <f>Table4[[#This Row],[EndR]]</f>
        <v>LUK 23:17</v>
      </c>
      <c r="T310">
        <f>Table4[[#This Row],[Merged.Start]]</f>
        <v>0</v>
      </c>
      <c r="U310">
        <f>Table4[[#This Row],[Merged.End]]</f>
        <v>0</v>
      </c>
    </row>
    <row r="311" spans="1:21" x14ac:dyDescent="0.25">
      <c r="A311">
        <v>310</v>
      </c>
      <c r="B311">
        <v>1</v>
      </c>
      <c r="C311" t="s">
        <v>1969</v>
      </c>
      <c r="D311" t="s">
        <v>1970</v>
      </c>
      <c r="E311" t="s">
        <v>1971</v>
      </c>
      <c r="F311">
        <v>47676</v>
      </c>
      <c r="G311">
        <v>47701</v>
      </c>
      <c r="H311">
        <v>0</v>
      </c>
      <c r="K311">
        <f>IF(Table4[[#This Row],[NeedsAttention]]=1,Table4[[#This Row],[Start]],Table4[[#This Row],[StartN]])</f>
        <v>47676</v>
      </c>
      <c r="L311">
        <f>IF(Table4[[#This Row],[NeedsAttention]]=1,Table4[[#This Row],[End]],Table4[[#This Row],[EndN]])</f>
        <v>47701</v>
      </c>
      <c r="M311" t="b">
        <f>Table4[[#This Row],[Merged.Start]]=L310+1</f>
        <v>0</v>
      </c>
      <c r="O311">
        <f>Table4[[#This Row],[Section]]</f>
        <v>310</v>
      </c>
      <c r="P311">
        <f>Table4[[#This Row],[Canon]]</f>
        <v>1</v>
      </c>
      <c r="Q311" s="1" t="str">
        <f>Table4[[#This Row],[Reference]]</f>
        <v>23.18-19</v>
      </c>
      <c r="R311" t="str">
        <f>Table4[[#This Row],[StartR]]</f>
        <v>LUK 23:18</v>
      </c>
      <c r="S311" t="str">
        <f>Table4[[#This Row],[EndR]]</f>
        <v>LUK 23:19</v>
      </c>
      <c r="T311">
        <f>Table4[[#This Row],[Merged.Start]]</f>
        <v>47676</v>
      </c>
      <c r="U311">
        <f>Table4[[#This Row],[Merged.End]]</f>
        <v>47701</v>
      </c>
    </row>
    <row r="312" spans="1:21" x14ac:dyDescent="0.25">
      <c r="A312">
        <v>311</v>
      </c>
      <c r="B312">
        <v>1</v>
      </c>
      <c r="C312" t="s">
        <v>1972</v>
      </c>
      <c r="D312" t="s">
        <v>1973</v>
      </c>
      <c r="E312" t="s">
        <v>1974</v>
      </c>
      <c r="F312">
        <v>47702</v>
      </c>
      <c r="G312">
        <v>47717</v>
      </c>
      <c r="H312">
        <v>0</v>
      </c>
      <c r="K312">
        <f>IF(Table4[[#This Row],[NeedsAttention]]=1,Table4[[#This Row],[Start]],Table4[[#This Row],[StartN]])</f>
        <v>47702</v>
      </c>
      <c r="L312">
        <f>IF(Table4[[#This Row],[NeedsAttention]]=1,Table4[[#This Row],[End]],Table4[[#This Row],[EndN]])</f>
        <v>47717</v>
      </c>
      <c r="M312" t="b">
        <f>Table4[[#This Row],[Merged.Start]]=L311+1</f>
        <v>1</v>
      </c>
      <c r="O312">
        <f>Table4[[#This Row],[Section]]</f>
        <v>311</v>
      </c>
      <c r="P312">
        <f>Table4[[#This Row],[Canon]]</f>
        <v>1</v>
      </c>
      <c r="Q312" s="1" t="str">
        <f>Table4[[#This Row],[Reference]]</f>
        <v>23.20-21</v>
      </c>
      <c r="R312" t="str">
        <f>Table4[[#This Row],[StartR]]</f>
        <v>LUK 23:20</v>
      </c>
      <c r="S312" t="str">
        <f>Table4[[#This Row],[EndR]]</f>
        <v>LUK 23:21</v>
      </c>
      <c r="T312">
        <f>Table4[[#This Row],[Merged.Start]]</f>
        <v>47702</v>
      </c>
      <c r="U312">
        <f>Table4[[#This Row],[Merged.End]]</f>
        <v>47717</v>
      </c>
    </row>
    <row r="313" spans="1:21" x14ac:dyDescent="0.25">
      <c r="A313">
        <v>312</v>
      </c>
      <c r="B313">
        <v>9</v>
      </c>
      <c r="C313">
        <v>23.22</v>
      </c>
      <c r="D313" t="s">
        <v>1975</v>
      </c>
      <c r="E313" t="s">
        <v>1975</v>
      </c>
      <c r="F313">
        <v>47718</v>
      </c>
      <c r="G313">
        <v>47738</v>
      </c>
      <c r="H313">
        <v>0</v>
      </c>
      <c r="K313">
        <f>IF(Table4[[#This Row],[NeedsAttention]]=1,Table4[[#This Row],[Start]],Table4[[#This Row],[StartN]])</f>
        <v>47718</v>
      </c>
      <c r="L313">
        <f>IF(Table4[[#This Row],[NeedsAttention]]=1,Table4[[#This Row],[End]],Table4[[#This Row],[EndN]])</f>
        <v>47738</v>
      </c>
      <c r="M313" t="b">
        <f>Table4[[#This Row],[Merged.Start]]=L312+1</f>
        <v>1</v>
      </c>
      <c r="O313">
        <f>Table4[[#This Row],[Section]]</f>
        <v>312</v>
      </c>
      <c r="P313">
        <f>Table4[[#This Row],[Canon]]</f>
        <v>9</v>
      </c>
      <c r="Q313" s="1">
        <f>Table4[[#This Row],[Reference]]</f>
        <v>23.22</v>
      </c>
      <c r="R313" t="str">
        <f>Table4[[#This Row],[StartR]]</f>
        <v>LUK 23:22</v>
      </c>
      <c r="S313" t="str">
        <f>Table4[[#This Row],[EndR]]</f>
        <v>LUK 23:22</v>
      </c>
      <c r="T313">
        <f>Table4[[#This Row],[Merged.Start]]</f>
        <v>47718</v>
      </c>
      <c r="U313">
        <f>Table4[[#This Row],[Merged.End]]</f>
        <v>47738</v>
      </c>
    </row>
    <row r="314" spans="1:21" x14ac:dyDescent="0.25">
      <c r="A314">
        <v>313</v>
      </c>
      <c r="B314">
        <v>1</v>
      </c>
      <c r="C314">
        <v>23.23</v>
      </c>
      <c r="D314" t="s">
        <v>1976</v>
      </c>
      <c r="E314" t="s">
        <v>1976</v>
      </c>
      <c r="F314">
        <v>47739</v>
      </c>
      <c r="G314">
        <v>47751</v>
      </c>
      <c r="H314">
        <v>0</v>
      </c>
      <c r="K314">
        <f>IF(Table4[[#This Row],[NeedsAttention]]=1,Table4[[#This Row],[Start]],Table4[[#This Row],[StartN]])</f>
        <v>47739</v>
      </c>
      <c r="L314">
        <f>IF(Table4[[#This Row],[NeedsAttention]]=1,Table4[[#This Row],[End]],Table4[[#This Row],[EndN]])</f>
        <v>47751</v>
      </c>
      <c r="M314" t="b">
        <f>Table4[[#This Row],[Merged.Start]]=L313+1</f>
        <v>1</v>
      </c>
      <c r="O314">
        <f>Table4[[#This Row],[Section]]</f>
        <v>313</v>
      </c>
      <c r="P314">
        <f>Table4[[#This Row],[Canon]]</f>
        <v>1</v>
      </c>
      <c r="Q314" s="1">
        <f>Table4[[#This Row],[Reference]]</f>
        <v>23.23</v>
      </c>
      <c r="R314" t="str">
        <f>Table4[[#This Row],[StartR]]</f>
        <v>LUK 23:23</v>
      </c>
      <c r="S314" t="str">
        <f>Table4[[#This Row],[EndR]]</f>
        <v>LUK 23:23</v>
      </c>
      <c r="T314">
        <f>Table4[[#This Row],[Merged.Start]]</f>
        <v>47739</v>
      </c>
      <c r="U314">
        <f>Table4[[#This Row],[Merged.End]]</f>
        <v>47751</v>
      </c>
    </row>
    <row r="315" spans="1:21" x14ac:dyDescent="0.25">
      <c r="A315">
        <v>314</v>
      </c>
      <c r="B315">
        <v>1</v>
      </c>
      <c r="C315" t="s">
        <v>1977</v>
      </c>
      <c r="D315" t="s">
        <v>1978</v>
      </c>
      <c r="E315" t="s">
        <v>1979</v>
      </c>
      <c r="F315">
        <v>47752</v>
      </c>
      <c r="G315">
        <v>47777</v>
      </c>
      <c r="H315">
        <v>0</v>
      </c>
      <c r="K315">
        <f>IF(Table4[[#This Row],[NeedsAttention]]=1,Table4[[#This Row],[Start]],Table4[[#This Row],[StartN]])</f>
        <v>47752</v>
      </c>
      <c r="L315">
        <f>IF(Table4[[#This Row],[NeedsAttention]]=1,Table4[[#This Row],[End]],Table4[[#This Row],[EndN]])</f>
        <v>47777</v>
      </c>
      <c r="M315" t="b">
        <f>Table4[[#This Row],[Merged.Start]]=L314+1</f>
        <v>1</v>
      </c>
      <c r="O315">
        <f>Table4[[#This Row],[Section]]</f>
        <v>314</v>
      </c>
      <c r="P315">
        <f>Table4[[#This Row],[Canon]]</f>
        <v>1</v>
      </c>
      <c r="Q315" s="1" t="str">
        <f>Table4[[#This Row],[Reference]]</f>
        <v>23.24-25</v>
      </c>
      <c r="R315" t="str">
        <f>Table4[[#This Row],[StartR]]</f>
        <v>LUK 23:24</v>
      </c>
      <c r="S315" t="str">
        <f>Table4[[#This Row],[EndR]]</f>
        <v>LUK 23:25</v>
      </c>
      <c r="T315">
        <f>Table4[[#This Row],[Merged.Start]]</f>
        <v>47752</v>
      </c>
      <c r="U315">
        <f>Table4[[#This Row],[Merged.End]]</f>
        <v>47777</v>
      </c>
    </row>
    <row r="316" spans="1:21" x14ac:dyDescent="0.25">
      <c r="A316">
        <v>315</v>
      </c>
      <c r="B316">
        <v>1</v>
      </c>
      <c r="C316">
        <v>23.26</v>
      </c>
      <c r="D316" t="s">
        <v>1980</v>
      </c>
      <c r="E316" t="s">
        <v>1980</v>
      </c>
      <c r="F316">
        <v>47778</v>
      </c>
      <c r="G316">
        <v>47796</v>
      </c>
      <c r="H316">
        <v>0</v>
      </c>
      <c r="K316">
        <f>IF(Table4[[#This Row],[NeedsAttention]]=1,Table4[[#This Row],[Start]],Table4[[#This Row],[StartN]])</f>
        <v>47778</v>
      </c>
      <c r="L316">
        <f>IF(Table4[[#This Row],[NeedsAttention]]=1,Table4[[#This Row],[End]],Table4[[#This Row],[EndN]])</f>
        <v>47796</v>
      </c>
      <c r="M316" t="b">
        <f>Table4[[#This Row],[Merged.Start]]=L315+1</f>
        <v>1</v>
      </c>
      <c r="O316">
        <f>Table4[[#This Row],[Section]]</f>
        <v>315</v>
      </c>
      <c r="P316">
        <f>Table4[[#This Row],[Canon]]</f>
        <v>1</v>
      </c>
      <c r="Q316" s="1">
        <f>Table4[[#This Row],[Reference]]</f>
        <v>23.26</v>
      </c>
      <c r="R316" t="str">
        <f>Table4[[#This Row],[StartR]]</f>
        <v>LUK 23:26</v>
      </c>
      <c r="S316" t="str">
        <f>Table4[[#This Row],[EndR]]</f>
        <v>LUK 23:26</v>
      </c>
      <c r="T316">
        <f>Table4[[#This Row],[Merged.Start]]</f>
        <v>47778</v>
      </c>
      <c r="U316">
        <f>Table4[[#This Row],[Merged.End]]</f>
        <v>47796</v>
      </c>
    </row>
    <row r="317" spans="1:21" x14ac:dyDescent="0.25">
      <c r="A317">
        <v>316</v>
      </c>
      <c r="B317">
        <v>10</v>
      </c>
      <c r="C317">
        <v>23.27</v>
      </c>
      <c r="D317" t="s">
        <v>1981</v>
      </c>
      <c r="E317" t="s">
        <v>2542</v>
      </c>
      <c r="F317">
        <v>47797</v>
      </c>
      <c r="G317">
        <v>47879</v>
      </c>
      <c r="H317">
        <v>0</v>
      </c>
      <c r="K317">
        <f>IF(Table4[[#This Row],[NeedsAttention]]=1,Table4[[#This Row],[Start]],Table4[[#This Row],[StartN]])</f>
        <v>47797</v>
      </c>
      <c r="L317">
        <f>IF(Table4[[#This Row],[NeedsAttention]]=1,Table4[[#This Row],[End]],Table4[[#This Row],[EndN]])</f>
        <v>47879</v>
      </c>
      <c r="M317" t="b">
        <f>Table4[[#This Row],[Merged.Start]]=L316+1</f>
        <v>1</v>
      </c>
      <c r="O317">
        <f>Table4[[#This Row],[Section]]</f>
        <v>316</v>
      </c>
      <c r="P317">
        <f>Table4[[#This Row],[Canon]]</f>
        <v>10</v>
      </c>
      <c r="Q317" s="1">
        <f>Table4[[#This Row],[Reference]]</f>
        <v>23.27</v>
      </c>
      <c r="R317" t="str">
        <f>Table4[[#This Row],[StartR]]</f>
        <v>LUK 23:27</v>
      </c>
      <c r="S317" t="str">
        <f>Table4[[#This Row],[EndR]]</f>
        <v>LUK 23:31</v>
      </c>
      <c r="T317">
        <f>Table4[[#This Row],[Merged.Start]]</f>
        <v>47797</v>
      </c>
      <c r="U317">
        <f>Table4[[#This Row],[Merged.End]]</f>
        <v>47879</v>
      </c>
    </row>
    <row r="318" spans="1:21" x14ac:dyDescent="0.25">
      <c r="A318">
        <v>317</v>
      </c>
      <c r="B318">
        <v>1</v>
      </c>
      <c r="C318">
        <v>23.32</v>
      </c>
      <c r="D318" t="s">
        <v>1982</v>
      </c>
      <c r="E318" t="s">
        <v>1982</v>
      </c>
      <c r="F318">
        <v>47880</v>
      </c>
      <c r="G318">
        <v>47888</v>
      </c>
      <c r="H318">
        <v>0</v>
      </c>
      <c r="K318">
        <f>IF(Table4[[#This Row],[NeedsAttention]]=1,Table4[[#This Row],[Start]],Table4[[#This Row],[StartN]])</f>
        <v>47880</v>
      </c>
      <c r="L318">
        <f>IF(Table4[[#This Row],[NeedsAttention]]=1,Table4[[#This Row],[End]],Table4[[#This Row],[EndN]])</f>
        <v>47888</v>
      </c>
      <c r="M318" t="b">
        <f>Table4[[#This Row],[Merged.Start]]=L317+1</f>
        <v>1</v>
      </c>
      <c r="O318">
        <f>Table4[[#This Row],[Section]]</f>
        <v>317</v>
      </c>
      <c r="P318">
        <f>Table4[[#This Row],[Canon]]</f>
        <v>1</v>
      </c>
      <c r="Q318" s="1">
        <f>Table4[[#This Row],[Reference]]</f>
        <v>23.32</v>
      </c>
      <c r="R318" t="str">
        <f>Table4[[#This Row],[StartR]]</f>
        <v>LUK 23:32</v>
      </c>
      <c r="S318" t="str">
        <f>Table4[[#This Row],[EndR]]</f>
        <v>LUK 23:32</v>
      </c>
      <c r="T318">
        <f>Table4[[#This Row],[Merged.Start]]</f>
        <v>47880</v>
      </c>
      <c r="U318">
        <f>Table4[[#This Row],[Merged.End]]</f>
        <v>47888</v>
      </c>
    </row>
    <row r="319" spans="1:21" x14ac:dyDescent="0.25">
      <c r="A319">
        <v>318</v>
      </c>
      <c r="B319">
        <v>1</v>
      </c>
      <c r="C319" t="s">
        <v>1983</v>
      </c>
      <c r="D319" t="s">
        <v>1984</v>
      </c>
      <c r="E319" t="s">
        <v>1984</v>
      </c>
      <c r="F319">
        <v>47889</v>
      </c>
      <c r="G319">
        <v>47911</v>
      </c>
      <c r="H319">
        <v>1</v>
      </c>
      <c r="I319">
        <v>47889</v>
      </c>
      <c r="J319">
        <v>47900</v>
      </c>
      <c r="K319">
        <f>IF(Table4[[#This Row],[NeedsAttention]]=1,Table4[[#This Row],[Start]],Table4[[#This Row],[StartN]])</f>
        <v>47889</v>
      </c>
      <c r="L319">
        <f>IF(Table4[[#This Row],[NeedsAttention]]=1,Table4[[#This Row],[End]],Table4[[#This Row],[EndN]])</f>
        <v>47900</v>
      </c>
      <c r="M319" t="b">
        <f>Table4[[#This Row],[Merged.Start]]=L318+1</f>
        <v>1</v>
      </c>
      <c r="O319">
        <f>Table4[[#This Row],[Section]]</f>
        <v>318</v>
      </c>
      <c r="P319">
        <f>Table4[[#This Row],[Canon]]</f>
        <v>1</v>
      </c>
      <c r="Q319" s="1" t="str">
        <f>Table4[[#This Row],[Reference]]</f>
        <v>23.33A</v>
      </c>
      <c r="R319" t="str">
        <f>Table4[[#This Row],[StartR]]</f>
        <v>LUK 23:33</v>
      </c>
      <c r="S319" t="str">
        <f>Table4[[#This Row],[EndR]]</f>
        <v>LUK 23:33</v>
      </c>
      <c r="T319">
        <f>Table4[[#This Row],[Merged.Start]]</f>
        <v>47889</v>
      </c>
      <c r="U319">
        <f>Table4[[#This Row],[Merged.End]]</f>
        <v>47900</v>
      </c>
    </row>
    <row r="320" spans="1:21" x14ac:dyDescent="0.25">
      <c r="A320">
        <v>319</v>
      </c>
      <c r="B320">
        <v>1</v>
      </c>
      <c r="C320" t="s">
        <v>1985</v>
      </c>
      <c r="D320" t="s">
        <v>1984</v>
      </c>
      <c r="E320" t="s">
        <v>1984</v>
      </c>
      <c r="F320">
        <v>47889</v>
      </c>
      <c r="G320">
        <v>47911</v>
      </c>
      <c r="H320">
        <v>1</v>
      </c>
      <c r="I320">
        <v>47901</v>
      </c>
      <c r="J320">
        <v>47911</v>
      </c>
      <c r="K320">
        <f>IF(Table4[[#This Row],[NeedsAttention]]=1,Table4[[#This Row],[Start]],Table4[[#This Row],[StartN]])</f>
        <v>47901</v>
      </c>
      <c r="L320">
        <f>IF(Table4[[#This Row],[NeedsAttention]]=1,Table4[[#This Row],[End]],Table4[[#This Row],[EndN]])</f>
        <v>47911</v>
      </c>
      <c r="M320" t="b">
        <f>Table4[[#This Row],[Merged.Start]]=L319+1</f>
        <v>1</v>
      </c>
      <c r="O320">
        <f>Table4[[#This Row],[Section]]</f>
        <v>319</v>
      </c>
      <c r="P320">
        <f>Table4[[#This Row],[Canon]]</f>
        <v>1</v>
      </c>
      <c r="Q320" s="1" t="str">
        <f>Table4[[#This Row],[Reference]]</f>
        <v>23.33B</v>
      </c>
      <c r="R320" t="str">
        <f>Table4[[#This Row],[StartR]]</f>
        <v>LUK 23:33</v>
      </c>
      <c r="S320" t="str">
        <f>Table4[[#This Row],[EndR]]</f>
        <v>LUK 23:33</v>
      </c>
      <c r="T320">
        <f>Table4[[#This Row],[Merged.Start]]</f>
        <v>47901</v>
      </c>
      <c r="U320">
        <f>Table4[[#This Row],[Merged.End]]</f>
        <v>47911</v>
      </c>
    </row>
    <row r="321" spans="1:21" x14ac:dyDescent="0.25">
      <c r="A321">
        <v>320</v>
      </c>
      <c r="B321">
        <v>10</v>
      </c>
      <c r="C321" t="s">
        <v>1986</v>
      </c>
      <c r="D321" t="s">
        <v>1987</v>
      </c>
      <c r="E321" t="s">
        <v>1987</v>
      </c>
      <c r="F321">
        <v>47912</v>
      </c>
      <c r="G321">
        <v>47930</v>
      </c>
      <c r="H321">
        <v>1</v>
      </c>
      <c r="I321">
        <v>47912</v>
      </c>
      <c r="J321">
        <v>47923</v>
      </c>
      <c r="K321">
        <f>IF(Table4[[#This Row],[NeedsAttention]]=1,Table4[[#This Row],[Start]],Table4[[#This Row],[StartN]])</f>
        <v>47912</v>
      </c>
      <c r="L321">
        <f>IF(Table4[[#This Row],[NeedsAttention]]=1,Table4[[#This Row],[End]],Table4[[#This Row],[EndN]])</f>
        <v>47923</v>
      </c>
      <c r="M321" t="b">
        <f>Table4[[#This Row],[Merged.Start]]=L320+1</f>
        <v>1</v>
      </c>
      <c r="O321">
        <f>Table4[[#This Row],[Section]]</f>
        <v>320</v>
      </c>
      <c r="P321">
        <f>Table4[[#This Row],[Canon]]</f>
        <v>10</v>
      </c>
      <c r="Q321" s="1" t="str">
        <f>Table4[[#This Row],[Reference]]</f>
        <v>23.34A</v>
      </c>
      <c r="R321" t="str">
        <f>Table4[[#This Row],[StartR]]</f>
        <v>LUK 23:34</v>
      </c>
      <c r="S321" t="str">
        <f>Table4[[#This Row],[EndR]]</f>
        <v>LUK 23:34</v>
      </c>
      <c r="T321">
        <f>Table4[[#This Row],[Merged.Start]]</f>
        <v>47912</v>
      </c>
      <c r="U321">
        <f>Table4[[#This Row],[Merged.End]]</f>
        <v>47923</v>
      </c>
    </row>
    <row r="322" spans="1:21" x14ac:dyDescent="0.25">
      <c r="A322">
        <v>321</v>
      </c>
      <c r="B322">
        <v>1</v>
      </c>
      <c r="C322" t="s">
        <v>1988</v>
      </c>
      <c r="D322" t="s">
        <v>1987</v>
      </c>
      <c r="E322" t="s">
        <v>1989</v>
      </c>
      <c r="F322">
        <v>47912</v>
      </c>
      <c r="G322">
        <v>47954</v>
      </c>
      <c r="H322">
        <v>1</v>
      </c>
      <c r="I322">
        <v>47924</v>
      </c>
      <c r="J322">
        <v>47935</v>
      </c>
      <c r="K322">
        <f>IF(Table4[[#This Row],[NeedsAttention]]=1,Table4[[#This Row],[Start]],Table4[[#This Row],[StartN]])</f>
        <v>47924</v>
      </c>
      <c r="L322">
        <f>IF(Table4[[#This Row],[NeedsAttention]]=1,Table4[[#This Row],[End]],Table4[[#This Row],[EndN]])</f>
        <v>47935</v>
      </c>
      <c r="M322" t="b">
        <f>Table4[[#This Row],[Merged.Start]]=L321+1</f>
        <v>1</v>
      </c>
      <c r="O322">
        <f>Table4[[#This Row],[Section]]</f>
        <v>321</v>
      </c>
      <c r="P322">
        <f>Table4[[#This Row],[Canon]]</f>
        <v>1</v>
      </c>
      <c r="Q322" s="1" t="str">
        <f>Table4[[#This Row],[Reference]]</f>
        <v>23.34B-35A</v>
      </c>
      <c r="R322" t="str">
        <f>Table4[[#This Row],[StartR]]</f>
        <v>LUK 23:34</v>
      </c>
      <c r="S322" t="str">
        <f>Table4[[#This Row],[EndR]]</f>
        <v>LUK 23:35</v>
      </c>
      <c r="T322">
        <f>Table4[[#This Row],[Merged.Start]]</f>
        <v>47924</v>
      </c>
      <c r="U322">
        <f>Table4[[#This Row],[Merged.End]]</f>
        <v>47935</v>
      </c>
    </row>
    <row r="323" spans="1:21" x14ac:dyDescent="0.25">
      <c r="A323">
        <v>322</v>
      </c>
      <c r="B323">
        <v>2</v>
      </c>
      <c r="C323" t="s">
        <v>1990</v>
      </c>
      <c r="D323" t="s">
        <v>1989</v>
      </c>
      <c r="E323" t="s">
        <v>1989</v>
      </c>
      <c r="F323">
        <v>47931</v>
      </c>
      <c r="G323">
        <v>47954</v>
      </c>
      <c r="H323">
        <v>1</v>
      </c>
      <c r="I323">
        <v>47936</v>
      </c>
      <c r="J323">
        <v>47954</v>
      </c>
      <c r="K323">
        <f>IF(Table4[[#This Row],[NeedsAttention]]=1,Table4[[#This Row],[Start]],Table4[[#This Row],[StartN]])</f>
        <v>47936</v>
      </c>
      <c r="L323">
        <f>IF(Table4[[#This Row],[NeedsAttention]]=1,Table4[[#This Row],[End]],Table4[[#This Row],[EndN]])</f>
        <v>47954</v>
      </c>
      <c r="M323" t="b">
        <f>Table4[[#This Row],[Merged.Start]]=L322+1</f>
        <v>1</v>
      </c>
      <c r="O323">
        <f>Table4[[#This Row],[Section]]</f>
        <v>322</v>
      </c>
      <c r="P323">
        <f>Table4[[#This Row],[Canon]]</f>
        <v>2</v>
      </c>
      <c r="Q323" s="1" t="str">
        <f>Table4[[#This Row],[Reference]]</f>
        <v>23.35B</v>
      </c>
      <c r="R323" t="str">
        <f>Table4[[#This Row],[StartR]]</f>
        <v>LUK 23:35</v>
      </c>
      <c r="S323" t="str">
        <f>Table4[[#This Row],[EndR]]</f>
        <v>LUK 23:35</v>
      </c>
      <c r="T323">
        <f>Table4[[#This Row],[Merged.Start]]</f>
        <v>47936</v>
      </c>
      <c r="U323">
        <f>Table4[[#This Row],[Merged.End]]</f>
        <v>47954</v>
      </c>
    </row>
    <row r="324" spans="1:21" x14ac:dyDescent="0.25">
      <c r="A324">
        <v>323</v>
      </c>
      <c r="B324">
        <v>2</v>
      </c>
      <c r="C324" t="s">
        <v>1991</v>
      </c>
      <c r="D324" t="s">
        <v>1992</v>
      </c>
      <c r="E324" t="s">
        <v>1993</v>
      </c>
      <c r="F324">
        <v>47955</v>
      </c>
      <c r="G324">
        <v>47975</v>
      </c>
      <c r="H324">
        <v>0</v>
      </c>
      <c r="K324">
        <f>IF(Table4[[#This Row],[NeedsAttention]]=1,Table4[[#This Row],[Start]],Table4[[#This Row],[StartN]])</f>
        <v>47955</v>
      </c>
      <c r="L324">
        <f>IF(Table4[[#This Row],[NeedsAttention]]=1,Table4[[#This Row],[End]],Table4[[#This Row],[EndN]])</f>
        <v>47975</v>
      </c>
      <c r="M324" t="b">
        <f>Table4[[#This Row],[Merged.Start]]=L323+1</f>
        <v>1</v>
      </c>
      <c r="O324">
        <f>Table4[[#This Row],[Section]]</f>
        <v>323</v>
      </c>
      <c r="P324">
        <f>Table4[[#This Row],[Canon]]</f>
        <v>2</v>
      </c>
      <c r="Q324" s="1" t="str">
        <f>Table4[[#This Row],[Reference]]</f>
        <v>23.36-37</v>
      </c>
      <c r="R324" t="str">
        <f>Table4[[#This Row],[StartR]]</f>
        <v>LUK 23:36</v>
      </c>
      <c r="S324" t="str">
        <f>Table4[[#This Row],[EndR]]</f>
        <v>LUK 23:37</v>
      </c>
      <c r="T324">
        <f>Table4[[#This Row],[Merged.Start]]</f>
        <v>47955</v>
      </c>
      <c r="U324">
        <f>Table4[[#This Row],[Merged.End]]</f>
        <v>47975</v>
      </c>
    </row>
    <row r="325" spans="1:21" x14ac:dyDescent="0.25">
      <c r="A325">
        <v>324</v>
      </c>
      <c r="B325">
        <v>1</v>
      </c>
      <c r="C325">
        <v>23.38</v>
      </c>
      <c r="D325" t="s">
        <v>1994</v>
      </c>
      <c r="E325" t="s">
        <v>1994</v>
      </c>
      <c r="F325">
        <v>47976</v>
      </c>
      <c r="G325">
        <v>47986</v>
      </c>
      <c r="H325">
        <v>0</v>
      </c>
      <c r="K325">
        <f>IF(Table4[[#This Row],[NeedsAttention]]=1,Table4[[#This Row],[Start]],Table4[[#This Row],[StartN]])</f>
        <v>47976</v>
      </c>
      <c r="L325">
        <f>IF(Table4[[#This Row],[NeedsAttention]]=1,Table4[[#This Row],[End]],Table4[[#This Row],[EndN]])</f>
        <v>47986</v>
      </c>
      <c r="M325" t="b">
        <f>Table4[[#This Row],[Merged.Start]]=L324+1</f>
        <v>1</v>
      </c>
      <c r="O325">
        <f>Table4[[#This Row],[Section]]</f>
        <v>324</v>
      </c>
      <c r="P325">
        <f>Table4[[#This Row],[Canon]]</f>
        <v>1</v>
      </c>
      <c r="Q325" s="1">
        <f>Table4[[#This Row],[Reference]]</f>
        <v>23.38</v>
      </c>
      <c r="R325" t="str">
        <f>Table4[[#This Row],[StartR]]</f>
        <v>LUK 23:38</v>
      </c>
      <c r="S325" t="str">
        <f>Table4[[#This Row],[EndR]]</f>
        <v>LUK 23:38</v>
      </c>
      <c r="T325">
        <f>Table4[[#This Row],[Merged.Start]]</f>
        <v>47976</v>
      </c>
      <c r="U325">
        <f>Table4[[#This Row],[Merged.End]]</f>
        <v>47986</v>
      </c>
    </row>
    <row r="326" spans="1:21" x14ac:dyDescent="0.25">
      <c r="A326">
        <v>325</v>
      </c>
      <c r="B326">
        <v>2</v>
      </c>
      <c r="C326">
        <v>23.39</v>
      </c>
      <c r="D326" t="s">
        <v>1995</v>
      </c>
      <c r="E326" t="s">
        <v>1995</v>
      </c>
      <c r="F326">
        <v>47987</v>
      </c>
      <c r="G326">
        <v>48003</v>
      </c>
      <c r="H326">
        <v>0</v>
      </c>
      <c r="K326">
        <f>IF(Table4[[#This Row],[NeedsAttention]]=1,Table4[[#This Row],[Start]],Table4[[#This Row],[StartN]])</f>
        <v>47987</v>
      </c>
      <c r="L326">
        <f>IF(Table4[[#This Row],[NeedsAttention]]=1,Table4[[#This Row],[End]],Table4[[#This Row],[EndN]])</f>
        <v>48003</v>
      </c>
      <c r="M326" t="b">
        <f>Table4[[#This Row],[Merged.Start]]=L325+1</f>
        <v>1</v>
      </c>
      <c r="O326">
        <f>Table4[[#This Row],[Section]]</f>
        <v>325</v>
      </c>
      <c r="P326">
        <f>Table4[[#This Row],[Canon]]</f>
        <v>2</v>
      </c>
      <c r="Q326" s="1">
        <f>Table4[[#This Row],[Reference]]</f>
        <v>23.39</v>
      </c>
      <c r="R326" t="str">
        <f>Table4[[#This Row],[StartR]]</f>
        <v>LUK 23:39</v>
      </c>
      <c r="S326" t="str">
        <f>Table4[[#This Row],[EndR]]</f>
        <v>LUK 23:39</v>
      </c>
      <c r="T326">
        <f>Table4[[#This Row],[Merged.Start]]</f>
        <v>47987</v>
      </c>
      <c r="U326">
        <f>Table4[[#This Row],[Merged.End]]</f>
        <v>48003</v>
      </c>
    </row>
    <row r="327" spans="1:21" x14ac:dyDescent="0.25">
      <c r="A327">
        <v>326</v>
      </c>
      <c r="B327">
        <v>10</v>
      </c>
      <c r="C327" t="s">
        <v>1996</v>
      </c>
      <c r="D327" t="s">
        <v>1997</v>
      </c>
      <c r="E327" t="s">
        <v>1998</v>
      </c>
      <c r="F327">
        <v>48004</v>
      </c>
      <c r="G327">
        <v>48059</v>
      </c>
      <c r="H327">
        <v>0</v>
      </c>
      <c r="K327">
        <f>IF(Table4[[#This Row],[NeedsAttention]]=1,Table4[[#This Row],[Start]],Table4[[#This Row],[StartN]])</f>
        <v>48004</v>
      </c>
      <c r="L327">
        <f>IF(Table4[[#This Row],[NeedsAttention]]=1,Table4[[#This Row],[End]],Table4[[#This Row],[EndN]])</f>
        <v>48059</v>
      </c>
      <c r="M327" t="b">
        <f>Table4[[#This Row],[Merged.Start]]=L326+1</f>
        <v>1</v>
      </c>
      <c r="O327">
        <f>Table4[[#This Row],[Section]]</f>
        <v>326</v>
      </c>
      <c r="P327">
        <f>Table4[[#This Row],[Canon]]</f>
        <v>10</v>
      </c>
      <c r="Q327" s="1" t="str">
        <f>Table4[[#This Row],[Reference]]</f>
        <v>23.40-43</v>
      </c>
      <c r="R327" t="str">
        <f>Table4[[#This Row],[StartR]]</f>
        <v>LUK 23:40</v>
      </c>
      <c r="S327" t="str">
        <f>Table4[[#This Row],[EndR]]</f>
        <v>LUK 23:43</v>
      </c>
      <c r="T327">
        <f>Table4[[#This Row],[Merged.Start]]</f>
        <v>48004</v>
      </c>
      <c r="U327">
        <f>Table4[[#This Row],[Merged.End]]</f>
        <v>48059</v>
      </c>
    </row>
    <row r="328" spans="1:21" x14ac:dyDescent="0.25">
      <c r="A328">
        <v>327</v>
      </c>
      <c r="B328">
        <v>2</v>
      </c>
      <c r="C328" t="s">
        <v>1999</v>
      </c>
      <c r="D328" t="s">
        <v>2000</v>
      </c>
      <c r="E328" t="s">
        <v>2001</v>
      </c>
      <c r="F328">
        <v>48060</v>
      </c>
      <c r="G328">
        <v>48085</v>
      </c>
      <c r="H328">
        <v>1</v>
      </c>
      <c r="I328">
        <v>48060</v>
      </c>
      <c r="J328">
        <v>48078</v>
      </c>
      <c r="K328">
        <f>IF(Table4[[#This Row],[NeedsAttention]]=1,Table4[[#This Row],[Start]],Table4[[#This Row],[StartN]])</f>
        <v>48060</v>
      </c>
      <c r="L328">
        <f>IF(Table4[[#This Row],[NeedsAttention]]=1,Table4[[#This Row],[End]],Table4[[#This Row],[EndN]])</f>
        <v>48078</v>
      </c>
      <c r="M328" t="b">
        <f>Table4[[#This Row],[Merged.Start]]=L327+1</f>
        <v>1</v>
      </c>
      <c r="O328">
        <f>Table4[[#This Row],[Section]]</f>
        <v>327</v>
      </c>
      <c r="P328">
        <f>Table4[[#This Row],[Canon]]</f>
        <v>2</v>
      </c>
      <c r="Q328" s="1" t="str">
        <f>Table4[[#This Row],[Reference]]</f>
        <v>23.44-45A</v>
      </c>
      <c r="R328" t="str">
        <f>Table4[[#This Row],[StartR]]</f>
        <v>LUK 23:44</v>
      </c>
      <c r="S328" t="str">
        <f>Table4[[#This Row],[EndR]]</f>
        <v>LUK 23:45</v>
      </c>
      <c r="T328">
        <f>Table4[[#This Row],[Merged.Start]]</f>
        <v>48060</v>
      </c>
      <c r="U328">
        <f>Table4[[#This Row],[Merged.End]]</f>
        <v>48078</v>
      </c>
    </row>
    <row r="329" spans="1:21" x14ac:dyDescent="0.25">
      <c r="A329">
        <v>328</v>
      </c>
      <c r="B329">
        <v>2</v>
      </c>
      <c r="C329" t="s">
        <v>2002</v>
      </c>
      <c r="D329" t="s">
        <v>2001</v>
      </c>
      <c r="E329" t="s">
        <v>2001</v>
      </c>
      <c r="F329">
        <v>48076</v>
      </c>
      <c r="G329">
        <v>48085</v>
      </c>
      <c r="H329">
        <v>1</v>
      </c>
      <c r="I329">
        <v>48079</v>
      </c>
      <c r="J329">
        <v>48085</v>
      </c>
      <c r="K329">
        <f>IF(Table4[[#This Row],[NeedsAttention]]=1,Table4[[#This Row],[Start]],Table4[[#This Row],[StartN]])</f>
        <v>48079</v>
      </c>
      <c r="L329">
        <f>IF(Table4[[#This Row],[NeedsAttention]]=1,Table4[[#This Row],[End]],Table4[[#This Row],[EndN]])</f>
        <v>48085</v>
      </c>
      <c r="M329" t="b">
        <f>Table4[[#This Row],[Merged.Start]]=L328+1</f>
        <v>1</v>
      </c>
      <c r="O329">
        <f>Table4[[#This Row],[Section]]</f>
        <v>328</v>
      </c>
      <c r="P329">
        <f>Table4[[#This Row],[Canon]]</f>
        <v>2</v>
      </c>
      <c r="Q329" s="1" t="str">
        <f>Table4[[#This Row],[Reference]]</f>
        <v>23.45B</v>
      </c>
      <c r="R329" t="str">
        <f>Table4[[#This Row],[StartR]]</f>
        <v>LUK 23:45</v>
      </c>
      <c r="S329" t="str">
        <f>Table4[[#This Row],[EndR]]</f>
        <v>LUK 23:45</v>
      </c>
      <c r="T329">
        <f>Table4[[#This Row],[Merged.Start]]</f>
        <v>48079</v>
      </c>
      <c r="U329">
        <f>Table4[[#This Row],[Merged.End]]</f>
        <v>48085</v>
      </c>
    </row>
    <row r="330" spans="1:21" x14ac:dyDescent="0.25">
      <c r="A330">
        <v>329</v>
      </c>
      <c r="B330">
        <v>1</v>
      </c>
      <c r="C330">
        <v>23.46</v>
      </c>
      <c r="D330" t="s">
        <v>2003</v>
      </c>
      <c r="E330" t="s">
        <v>2003</v>
      </c>
      <c r="F330">
        <v>48086</v>
      </c>
      <c r="G330">
        <v>48104</v>
      </c>
      <c r="H330">
        <v>0</v>
      </c>
      <c r="K330">
        <f>IF(Table4[[#This Row],[NeedsAttention]]=1,Table4[[#This Row],[Start]],Table4[[#This Row],[StartN]])</f>
        <v>48086</v>
      </c>
      <c r="L330">
        <f>IF(Table4[[#This Row],[NeedsAttention]]=1,Table4[[#This Row],[End]],Table4[[#This Row],[EndN]])</f>
        <v>48104</v>
      </c>
      <c r="M330" t="b">
        <f>Table4[[#This Row],[Merged.Start]]=L329+1</f>
        <v>1</v>
      </c>
      <c r="O330">
        <f>Table4[[#This Row],[Section]]</f>
        <v>329</v>
      </c>
      <c r="P330">
        <f>Table4[[#This Row],[Canon]]</f>
        <v>1</v>
      </c>
      <c r="Q330" s="1">
        <f>Table4[[#This Row],[Reference]]</f>
        <v>23.46</v>
      </c>
      <c r="R330" t="str">
        <f>Table4[[#This Row],[StartR]]</f>
        <v>LUK 23:46</v>
      </c>
      <c r="S330" t="str">
        <f>Table4[[#This Row],[EndR]]</f>
        <v>LUK 23:46</v>
      </c>
      <c r="T330">
        <f>Table4[[#This Row],[Merged.Start]]</f>
        <v>48086</v>
      </c>
      <c r="U330">
        <f>Table4[[#This Row],[Merged.End]]</f>
        <v>48104</v>
      </c>
    </row>
    <row r="331" spans="1:21" x14ac:dyDescent="0.25">
      <c r="A331">
        <v>330</v>
      </c>
      <c r="B331">
        <v>2</v>
      </c>
      <c r="C331">
        <v>23.47</v>
      </c>
      <c r="D331" t="s">
        <v>2004</v>
      </c>
      <c r="E331" t="s">
        <v>2004</v>
      </c>
      <c r="F331">
        <v>48105</v>
      </c>
      <c r="G331">
        <v>48120</v>
      </c>
      <c r="H331">
        <v>0</v>
      </c>
      <c r="K331">
        <f>IF(Table4[[#This Row],[NeedsAttention]]=1,Table4[[#This Row],[Start]],Table4[[#This Row],[StartN]])</f>
        <v>48105</v>
      </c>
      <c r="L331">
        <f>IF(Table4[[#This Row],[NeedsAttention]]=1,Table4[[#This Row],[End]],Table4[[#This Row],[EndN]])</f>
        <v>48120</v>
      </c>
      <c r="M331" t="b">
        <f>Table4[[#This Row],[Merged.Start]]=L330+1</f>
        <v>1</v>
      </c>
      <c r="O331">
        <f>Table4[[#This Row],[Section]]</f>
        <v>330</v>
      </c>
      <c r="P331">
        <f>Table4[[#This Row],[Canon]]</f>
        <v>2</v>
      </c>
      <c r="Q331" s="1">
        <f>Table4[[#This Row],[Reference]]</f>
        <v>23.47</v>
      </c>
      <c r="R331" t="str">
        <f>Table4[[#This Row],[StartR]]</f>
        <v>LUK 23:47</v>
      </c>
      <c r="S331" t="str">
        <f>Table4[[#This Row],[EndR]]</f>
        <v>LUK 23:47</v>
      </c>
      <c r="T331">
        <f>Table4[[#This Row],[Merged.Start]]</f>
        <v>48105</v>
      </c>
      <c r="U331">
        <f>Table4[[#This Row],[Merged.End]]</f>
        <v>48120</v>
      </c>
    </row>
    <row r="332" spans="1:21" x14ac:dyDescent="0.25">
      <c r="A332">
        <v>331</v>
      </c>
      <c r="B332">
        <v>10</v>
      </c>
      <c r="C332" t="s">
        <v>2005</v>
      </c>
      <c r="D332" t="s">
        <v>2006</v>
      </c>
      <c r="E332" t="s">
        <v>2007</v>
      </c>
      <c r="F332">
        <v>48121</v>
      </c>
      <c r="G332">
        <v>48153</v>
      </c>
      <c r="H332">
        <v>0</v>
      </c>
      <c r="K332">
        <f>IF(Table4[[#This Row],[NeedsAttention]]=1,Table4[[#This Row],[Start]],Table4[[#This Row],[StartN]])</f>
        <v>48121</v>
      </c>
      <c r="L332">
        <f>IF(Table4[[#This Row],[NeedsAttention]]=1,Table4[[#This Row],[End]],Table4[[#This Row],[EndN]])</f>
        <v>48153</v>
      </c>
      <c r="M332" t="b">
        <f>Table4[[#This Row],[Merged.Start]]=L331+1</f>
        <v>1</v>
      </c>
      <c r="O332">
        <f>Table4[[#This Row],[Section]]</f>
        <v>331</v>
      </c>
      <c r="P332">
        <f>Table4[[#This Row],[Canon]]</f>
        <v>10</v>
      </c>
      <c r="Q332" s="1" t="str">
        <f>Table4[[#This Row],[Reference]]</f>
        <v>23.48-49</v>
      </c>
      <c r="R332" t="str">
        <f>Table4[[#This Row],[StartR]]</f>
        <v>LUK 23:48</v>
      </c>
      <c r="S332" t="str">
        <f>Table4[[#This Row],[EndR]]</f>
        <v>LUK 23:49</v>
      </c>
      <c r="T332">
        <f>Table4[[#This Row],[Merged.Start]]</f>
        <v>48121</v>
      </c>
      <c r="U332">
        <f>Table4[[#This Row],[Merged.End]]</f>
        <v>48153</v>
      </c>
    </row>
    <row r="333" spans="1:21" x14ac:dyDescent="0.25">
      <c r="A333">
        <v>332</v>
      </c>
      <c r="B333">
        <v>1</v>
      </c>
      <c r="C333" t="s">
        <v>2008</v>
      </c>
      <c r="D333" t="s">
        <v>2009</v>
      </c>
      <c r="E333" t="s">
        <v>2010</v>
      </c>
      <c r="F333">
        <v>48154</v>
      </c>
      <c r="G333">
        <v>48194</v>
      </c>
      <c r="H333">
        <v>0</v>
      </c>
      <c r="K333">
        <f>IF(Table4[[#This Row],[NeedsAttention]]=1,Table4[[#This Row],[Start]],Table4[[#This Row],[StartN]])</f>
        <v>48154</v>
      </c>
      <c r="L333">
        <f>IF(Table4[[#This Row],[NeedsAttention]]=1,Table4[[#This Row],[End]],Table4[[#This Row],[EndN]])</f>
        <v>48194</v>
      </c>
      <c r="M333" t="b">
        <f>Table4[[#This Row],[Merged.Start]]=L332+1</f>
        <v>1</v>
      </c>
      <c r="O333">
        <f>Table4[[#This Row],[Section]]</f>
        <v>332</v>
      </c>
      <c r="P333">
        <f>Table4[[#This Row],[Canon]]</f>
        <v>1</v>
      </c>
      <c r="Q333" s="1" t="str">
        <f>Table4[[#This Row],[Reference]]</f>
        <v>23.50-52</v>
      </c>
      <c r="R333" t="str">
        <f>Table4[[#This Row],[StartR]]</f>
        <v>LUK 23:50</v>
      </c>
      <c r="S333" t="str">
        <f>Table4[[#This Row],[EndR]]</f>
        <v>LUK 23:52</v>
      </c>
      <c r="T333">
        <f>Table4[[#This Row],[Merged.Start]]</f>
        <v>48154</v>
      </c>
      <c r="U333">
        <f>Table4[[#This Row],[Merged.End]]</f>
        <v>48194</v>
      </c>
    </row>
    <row r="334" spans="1:21" x14ac:dyDescent="0.25">
      <c r="A334">
        <v>333</v>
      </c>
      <c r="B334">
        <v>1</v>
      </c>
      <c r="C334">
        <v>23.53</v>
      </c>
      <c r="D334" t="s">
        <v>2011</v>
      </c>
      <c r="E334" t="s">
        <v>2011</v>
      </c>
      <c r="F334">
        <v>48195</v>
      </c>
      <c r="G334">
        <v>48211</v>
      </c>
      <c r="H334">
        <v>0</v>
      </c>
      <c r="K334">
        <f>IF(Table4[[#This Row],[NeedsAttention]]=1,Table4[[#This Row],[Start]],Table4[[#This Row],[StartN]])</f>
        <v>48195</v>
      </c>
      <c r="L334">
        <f>IF(Table4[[#This Row],[NeedsAttention]]=1,Table4[[#This Row],[End]],Table4[[#This Row],[EndN]])</f>
        <v>48211</v>
      </c>
      <c r="M334" t="b">
        <f>Table4[[#This Row],[Merged.Start]]=L333+1</f>
        <v>1</v>
      </c>
      <c r="O334">
        <f>Table4[[#This Row],[Section]]</f>
        <v>333</v>
      </c>
      <c r="P334">
        <f>Table4[[#This Row],[Canon]]</f>
        <v>1</v>
      </c>
      <c r="Q334" s="1">
        <f>Table4[[#This Row],[Reference]]</f>
        <v>23.53</v>
      </c>
      <c r="R334" t="str">
        <f>Table4[[#This Row],[StartR]]</f>
        <v>LUK 23:53</v>
      </c>
      <c r="S334" t="str">
        <f>Table4[[#This Row],[EndR]]</f>
        <v>LUK 23:53</v>
      </c>
      <c r="T334">
        <f>Table4[[#This Row],[Merged.Start]]</f>
        <v>48195</v>
      </c>
      <c r="U334">
        <f>Table4[[#This Row],[Merged.End]]</f>
        <v>48211</v>
      </c>
    </row>
    <row r="335" spans="1:21" x14ac:dyDescent="0.25">
      <c r="A335">
        <v>334</v>
      </c>
      <c r="B335">
        <v>10</v>
      </c>
      <c r="C335" t="s">
        <v>2012</v>
      </c>
      <c r="D335" t="s">
        <v>2013</v>
      </c>
      <c r="E335" t="s">
        <v>2014</v>
      </c>
      <c r="F335">
        <v>48212</v>
      </c>
      <c r="G335">
        <v>48238</v>
      </c>
      <c r="H335">
        <v>0</v>
      </c>
      <c r="K335">
        <f>IF(Table4[[#This Row],[NeedsAttention]]=1,Table4[[#This Row],[Start]],Table4[[#This Row],[StartN]])</f>
        <v>48212</v>
      </c>
      <c r="L335">
        <f>IF(Table4[[#This Row],[NeedsAttention]]=1,Table4[[#This Row],[End]],Table4[[#This Row],[EndN]])</f>
        <v>48238</v>
      </c>
      <c r="M335" t="b">
        <f>Table4[[#This Row],[Merged.Start]]=L334+1</f>
        <v>1</v>
      </c>
      <c r="O335">
        <f>Table4[[#This Row],[Section]]</f>
        <v>334</v>
      </c>
      <c r="P335">
        <f>Table4[[#This Row],[Canon]]</f>
        <v>10</v>
      </c>
      <c r="Q335" s="1" t="str">
        <f>Table4[[#This Row],[Reference]]</f>
        <v>23.54-55</v>
      </c>
      <c r="R335" t="str">
        <f>Table4[[#This Row],[StartR]]</f>
        <v>LUK 23:54</v>
      </c>
      <c r="S335" t="str">
        <f>Table4[[#This Row],[EndR]]</f>
        <v>LUK 23:55</v>
      </c>
      <c r="T335">
        <f>Table4[[#This Row],[Merged.Start]]</f>
        <v>48212</v>
      </c>
      <c r="U335">
        <f>Table4[[#This Row],[Merged.End]]</f>
        <v>48238</v>
      </c>
    </row>
    <row r="336" spans="1:21" x14ac:dyDescent="0.25">
      <c r="A336">
        <v>335</v>
      </c>
      <c r="B336">
        <v>8</v>
      </c>
      <c r="C336">
        <v>23.56</v>
      </c>
      <c r="D336" t="s">
        <v>2015</v>
      </c>
      <c r="E336" t="s">
        <v>2015</v>
      </c>
      <c r="F336">
        <v>48239</v>
      </c>
      <c r="G336">
        <v>48252</v>
      </c>
      <c r="H336">
        <v>0</v>
      </c>
      <c r="K336">
        <f>IF(Table4[[#This Row],[NeedsAttention]]=1,Table4[[#This Row],[Start]],Table4[[#This Row],[StartN]])</f>
        <v>48239</v>
      </c>
      <c r="L336">
        <f>IF(Table4[[#This Row],[NeedsAttention]]=1,Table4[[#This Row],[End]],Table4[[#This Row],[EndN]])</f>
        <v>48252</v>
      </c>
      <c r="M336" t="b">
        <f>Table4[[#This Row],[Merged.Start]]=L335+1</f>
        <v>1</v>
      </c>
      <c r="O336">
        <f>Table4[[#This Row],[Section]]</f>
        <v>335</v>
      </c>
      <c r="P336">
        <f>Table4[[#This Row],[Canon]]</f>
        <v>8</v>
      </c>
      <c r="Q336" s="1">
        <f>Table4[[#This Row],[Reference]]</f>
        <v>23.56</v>
      </c>
      <c r="R336" t="str">
        <f>Table4[[#This Row],[StartR]]</f>
        <v>LUK 23:56</v>
      </c>
      <c r="S336" t="str">
        <f>Table4[[#This Row],[EndR]]</f>
        <v>LUK 23:56</v>
      </c>
      <c r="T336">
        <f>Table4[[#This Row],[Merged.Start]]</f>
        <v>48239</v>
      </c>
      <c r="U336">
        <f>Table4[[#This Row],[Merged.End]]</f>
        <v>48252</v>
      </c>
    </row>
    <row r="337" spans="1:21" x14ac:dyDescent="0.25">
      <c r="A337">
        <v>336</v>
      </c>
      <c r="B337">
        <v>1</v>
      </c>
      <c r="C337" t="s">
        <v>2016</v>
      </c>
      <c r="D337" t="s">
        <v>2017</v>
      </c>
      <c r="E337" t="s">
        <v>2018</v>
      </c>
      <c r="F337">
        <v>48253</v>
      </c>
      <c r="G337">
        <v>48298</v>
      </c>
      <c r="H337">
        <v>0</v>
      </c>
      <c r="K337">
        <f>IF(Table4[[#This Row],[NeedsAttention]]=1,Table4[[#This Row],[Start]],Table4[[#This Row],[StartN]])</f>
        <v>48253</v>
      </c>
      <c r="L337">
        <f>IF(Table4[[#This Row],[NeedsAttention]]=1,Table4[[#This Row],[End]],Table4[[#This Row],[EndN]])</f>
        <v>48298</v>
      </c>
      <c r="M337" t="b">
        <f>Table4[[#This Row],[Merged.Start]]=L336+1</f>
        <v>1</v>
      </c>
      <c r="O337">
        <f>Table4[[#This Row],[Section]]</f>
        <v>336</v>
      </c>
      <c r="P337">
        <f>Table4[[#This Row],[Canon]]</f>
        <v>1</v>
      </c>
      <c r="Q337" s="1" t="str">
        <f>Table4[[#This Row],[Reference]]</f>
        <v>24.1-4</v>
      </c>
      <c r="R337" t="str">
        <f>Table4[[#This Row],[StartR]]</f>
        <v>LUK 24:1</v>
      </c>
      <c r="S337" t="str">
        <f>Table4[[#This Row],[EndR]]</f>
        <v>LUK 24:4</v>
      </c>
      <c r="T337">
        <f>Table4[[#This Row],[Merged.Start]]</f>
        <v>48253</v>
      </c>
      <c r="U337">
        <f>Table4[[#This Row],[Merged.End]]</f>
        <v>48298</v>
      </c>
    </row>
    <row r="338" spans="1:21" x14ac:dyDescent="0.25">
      <c r="A338">
        <v>337</v>
      </c>
      <c r="B338">
        <v>2</v>
      </c>
      <c r="C338" t="s">
        <v>2019</v>
      </c>
      <c r="D338" t="s">
        <v>2020</v>
      </c>
      <c r="E338" t="s">
        <v>2021</v>
      </c>
      <c r="F338">
        <v>48299</v>
      </c>
      <c r="G338">
        <v>48357</v>
      </c>
      <c r="H338">
        <v>0</v>
      </c>
      <c r="K338">
        <f>IF(Table4[[#This Row],[NeedsAttention]]=1,Table4[[#This Row],[Start]],Table4[[#This Row],[StartN]])</f>
        <v>48299</v>
      </c>
      <c r="L338">
        <f>IF(Table4[[#This Row],[NeedsAttention]]=1,Table4[[#This Row],[End]],Table4[[#This Row],[EndN]])</f>
        <v>48357</v>
      </c>
      <c r="M338" t="b">
        <f>Table4[[#This Row],[Merged.Start]]=L337+1</f>
        <v>1</v>
      </c>
      <c r="O338">
        <f>Table4[[#This Row],[Section]]</f>
        <v>337</v>
      </c>
      <c r="P338">
        <f>Table4[[#This Row],[Canon]]</f>
        <v>2</v>
      </c>
      <c r="Q338" s="1" t="str">
        <f>Table4[[#This Row],[Reference]]</f>
        <v>24.5-8</v>
      </c>
      <c r="R338" t="str">
        <f>Table4[[#This Row],[StartR]]</f>
        <v>LUK 24:5</v>
      </c>
      <c r="S338" t="str">
        <f>Table4[[#This Row],[EndR]]</f>
        <v>LUK 24:8</v>
      </c>
      <c r="T338">
        <f>Table4[[#This Row],[Merged.Start]]</f>
        <v>48299</v>
      </c>
      <c r="U338">
        <f>Table4[[#This Row],[Merged.End]]</f>
        <v>48357</v>
      </c>
    </row>
    <row r="339" spans="1:21" x14ac:dyDescent="0.25">
      <c r="A339">
        <v>338</v>
      </c>
      <c r="B339">
        <v>2</v>
      </c>
      <c r="C339">
        <v>24.9</v>
      </c>
      <c r="D339" t="s">
        <v>2022</v>
      </c>
      <c r="E339" t="s">
        <v>2022</v>
      </c>
      <c r="F339">
        <v>48358</v>
      </c>
      <c r="G339">
        <v>48371</v>
      </c>
      <c r="H339">
        <v>0</v>
      </c>
      <c r="K339">
        <f>IF(Table4[[#This Row],[NeedsAttention]]=1,Table4[[#This Row],[Start]],Table4[[#This Row],[StartN]])</f>
        <v>48358</v>
      </c>
      <c r="L339">
        <f>IF(Table4[[#This Row],[NeedsAttention]]=1,Table4[[#This Row],[End]],Table4[[#This Row],[EndN]])</f>
        <v>48371</v>
      </c>
      <c r="M339" t="b">
        <f>Table4[[#This Row],[Merged.Start]]=L338+1</f>
        <v>1</v>
      </c>
      <c r="O339">
        <f>Table4[[#This Row],[Section]]</f>
        <v>338</v>
      </c>
      <c r="P339">
        <f>Table4[[#This Row],[Canon]]</f>
        <v>2</v>
      </c>
      <c r="Q339" s="1">
        <f>Table4[[#This Row],[Reference]]</f>
        <v>24.9</v>
      </c>
      <c r="R339" t="str">
        <f>Table4[[#This Row],[StartR]]</f>
        <v>LUK 24:9</v>
      </c>
      <c r="S339" t="str">
        <f>Table4[[#This Row],[EndR]]</f>
        <v>LUK 24:9</v>
      </c>
      <c r="T339">
        <f>Table4[[#This Row],[Merged.Start]]</f>
        <v>48358</v>
      </c>
      <c r="U339">
        <f>Table4[[#This Row],[Merged.End]]</f>
        <v>48371</v>
      </c>
    </row>
    <row r="340" spans="1:21" x14ac:dyDescent="0.25">
      <c r="A340">
        <v>339</v>
      </c>
      <c r="B340">
        <v>10</v>
      </c>
      <c r="C340" t="s">
        <v>2023</v>
      </c>
      <c r="D340" t="s">
        <v>2024</v>
      </c>
      <c r="E340" t="s">
        <v>2025</v>
      </c>
      <c r="F340">
        <v>48372</v>
      </c>
      <c r="G340">
        <v>48816</v>
      </c>
      <c r="H340">
        <v>0</v>
      </c>
      <c r="K340">
        <f>IF(Table4[[#This Row],[NeedsAttention]]=1,Table4[[#This Row],[Start]],Table4[[#This Row],[StartN]])</f>
        <v>48372</v>
      </c>
      <c r="L340">
        <f>IF(Table4[[#This Row],[NeedsAttention]]=1,Table4[[#This Row],[End]],Table4[[#This Row],[EndN]])</f>
        <v>48816</v>
      </c>
      <c r="M340" t="b">
        <f>Table4[[#This Row],[Merged.Start]]=L339+1</f>
        <v>1</v>
      </c>
      <c r="O340">
        <f>Table4[[#This Row],[Section]]</f>
        <v>339</v>
      </c>
      <c r="P340">
        <f>Table4[[#This Row],[Canon]]</f>
        <v>10</v>
      </c>
      <c r="Q340" s="1" t="str">
        <f>Table4[[#This Row],[Reference]]</f>
        <v>24.10-35</v>
      </c>
      <c r="R340" t="str">
        <f>Table4[[#This Row],[StartR]]</f>
        <v>LUK 24:10</v>
      </c>
      <c r="S340" t="str">
        <f>Table4[[#This Row],[EndR]]</f>
        <v>LUK 24:35</v>
      </c>
      <c r="T340">
        <f>Table4[[#This Row],[Merged.Start]]</f>
        <v>48372</v>
      </c>
      <c r="U340">
        <f>Table4[[#This Row],[Merged.End]]</f>
        <v>48816</v>
      </c>
    </row>
    <row r="341" spans="1:21" x14ac:dyDescent="0.25">
      <c r="A341">
        <v>340</v>
      </c>
      <c r="B341">
        <v>9</v>
      </c>
      <c r="C341" t="s">
        <v>2026</v>
      </c>
      <c r="D341" t="s">
        <v>2027</v>
      </c>
      <c r="E341" t="s">
        <v>2028</v>
      </c>
      <c r="F341">
        <v>48817</v>
      </c>
      <c r="G341">
        <v>48885</v>
      </c>
      <c r="H341">
        <v>0</v>
      </c>
      <c r="K341">
        <f>IF(Table4[[#This Row],[NeedsAttention]]=1,Table4[[#This Row],[Start]],Table4[[#This Row],[StartN]])</f>
        <v>48817</v>
      </c>
      <c r="L341">
        <f>IF(Table4[[#This Row],[NeedsAttention]]=1,Table4[[#This Row],[End]],Table4[[#This Row],[EndN]])</f>
        <v>48885</v>
      </c>
      <c r="M341" t="b">
        <f>Table4[[#This Row],[Merged.Start]]=L340+1</f>
        <v>1</v>
      </c>
      <c r="O341">
        <f>Table4[[#This Row],[Section]]</f>
        <v>340</v>
      </c>
      <c r="P341">
        <f>Table4[[#This Row],[Canon]]</f>
        <v>9</v>
      </c>
      <c r="Q341" s="1" t="str">
        <f>Table4[[#This Row],[Reference]]</f>
        <v>24.36-40</v>
      </c>
      <c r="R341" t="str">
        <f>Table4[[#This Row],[StartR]]</f>
        <v>LUK 24:36</v>
      </c>
      <c r="S341" t="str">
        <f>Table4[[#This Row],[EndR]]</f>
        <v>LUK 24:40</v>
      </c>
      <c r="T341">
        <f>Table4[[#This Row],[Merged.Start]]</f>
        <v>48817</v>
      </c>
      <c r="U341">
        <f>Table4[[#This Row],[Merged.End]]</f>
        <v>48885</v>
      </c>
    </row>
    <row r="342" spans="1:21" x14ac:dyDescent="0.25">
      <c r="A342">
        <v>341</v>
      </c>
      <c r="B342">
        <v>9</v>
      </c>
      <c r="C342" t="s">
        <v>2029</v>
      </c>
      <c r="D342" t="s">
        <v>2030</v>
      </c>
      <c r="E342" t="s">
        <v>2031</v>
      </c>
      <c r="F342">
        <v>48886</v>
      </c>
      <c r="G342">
        <v>48912</v>
      </c>
      <c r="H342">
        <v>0</v>
      </c>
      <c r="K342">
        <f>IF(Table4[[#This Row],[NeedsAttention]]=1,Table4[[#This Row],[Start]],Table4[[#This Row],[StartN]])</f>
        <v>48886</v>
      </c>
      <c r="L342">
        <f>IF(Table4[[#This Row],[NeedsAttention]]=1,Table4[[#This Row],[End]],Table4[[#This Row],[EndN]])</f>
        <v>48912</v>
      </c>
      <c r="M342" t="b">
        <f>Table4[[#This Row],[Merged.Start]]=L341+1</f>
        <v>1</v>
      </c>
      <c r="O342">
        <f>Table4[[#This Row],[Section]]</f>
        <v>341</v>
      </c>
      <c r="P342">
        <f>Table4[[#This Row],[Canon]]</f>
        <v>9</v>
      </c>
      <c r="Q342" s="1" t="str">
        <f>Table4[[#This Row],[Reference]]</f>
        <v>24.41-43</v>
      </c>
      <c r="R342" t="str">
        <f>Table4[[#This Row],[StartR]]</f>
        <v>LUK 24:41</v>
      </c>
      <c r="S342" t="str">
        <f>Table4[[#This Row],[EndR]]</f>
        <v>LUK 24:43</v>
      </c>
      <c r="T342">
        <f>Table4[[#This Row],[Merged.Start]]</f>
        <v>48886</v>
      </c>
      <c r="U342">
        <f>Table4[[#This Row],[Merged.End]]</f>
        <v>48912</v>
      </c>
    </row>
    <row r="343" spans="1:21" x14ac:dyDescent="0.25">
      <c r="A343">
        <v>342</v>
      </c>
      <c r="B343">
        <v>10</v>
      </c>
      <c r="C343" t="s">
        <v>2032</v>
      </c>
      <c r="D343" t="s">
        <v>2033</v>
      </c>
      <c r="E343" t="s">
        <v>2034</v>
      </c>
      <c r="F343">
        <v>48913</v>
      </c>
      <c r="G343">
        <v>49061</v>
      </c>
      <c r="H343">
        <v>0</v>
      </c>
      <c r="K343">
        <f>IF(Table4[[#This Row],[NeedsAttention]]=1,Table4[[#This Row],[Start]],Table4[[#This Row],[StartN]])</f>
        <v>48913</v>
      </c>
      <c r="L343">
        <f>IF(Table4[[#This Row],[NeedsAttention]]=1,Table4[[#This Row],[End]],Table4[[#This Row],[EndN]])</f>
        <v>49061</v>
      </c>
      <c r="M343" t="b">
        <f>Table4[[#This Row],[Merged.Start]]=L342+1</f>
        <v>1</v>
      </c>
      <c r="O343">
        <f>Table4[[#This Row],[Section]]</f>
        <v>342</v>
      </c>
      <c r="P343">
        <f>Table4[[#This Row],[Canon]]</f>
        <v>10</v>
      </c>
      <c r="Q343" s="1" t="str">
        <f>Table4[[#This Row],[Reference]]</f>
        <v>24.44-53</v>
      </c>
      <c r="R343" t="str">
        <f>Table4[[#This Row],[StartR]]</f>
        <v>LUK 24:44</v>
      </c>
      <c r="S343" t="str">
        <f>Table4[[#This Row],[EndR]]</f>
        <v>LUK 24:53</v>
      </c>
      <c r="T343">
        <f>Table4[[#This Row],[Merged.Start]]</f>
        <v>48913</v>
      </c>
      <c r="U343">
        <f>Table4[[#This Row],[Merged.End]]</f>
        <v>49061</v>
      </c>
    </row>
  </sheetData>
  <conditionalFormatting sqref="M2:M343">
    <cfRule type="cellIs" dxfId="1" priority="1" operator="equal">
      <formula>FALSE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30A0C-5729-4A38-B854-8902A5277C58}">
  <dimension ref="A1:U233"/>
  <sheetViews>
    <sheetView topLeftCell="A208" workbookViewId="0">
      <selection activeCell="O2" sqref="O2:U233"/>
    </sheetView>
  </sheetViews>
  <sheetFormatPr defaultRowHeight="15" x14ac:dyDescent="0.25"/>
  <cols>
    <col min="1" max="1" width="9.7109375" customWidth="1"/>
    <col min="3" max="3" width="12.28515625" customWidth="1"/>
    <col min="8" max="8" width="17.42578125" customWidth="1"/>
    <col min="18" max="19" width="9.140625" style="4"/>
  </cols>
  <sheetData>
    <row r="1" spans="1:21" x14ac:dyDescent="0.25">
      <c r="A1" t="s">
        <v>0</v>
      </c>
      <c r="B1" t="s">
        <v>1</v>
      </c>
      <c r="C1" t="s">
        <v>799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2498</v>
      </c>
      <c r="J1" t="s">
        <v>2499</v>
      </c>
      <c r="K1" t="s">
        <v>2500</v>
      </c>
      <c r="L1" t="s">
        <v>2501</v>
      </c>
      <c r="M1" t="s">
        <v>2502</v>
      </c>
    </row>
    <row r="2" spans="1:21" x14ac:dyDescent="0.25">
      <c r="A2">
        <v>1</v>
      </c>
      <c r="B2">
        <v>3</v>
      </c>
      <c r="C2" t="s">
        <v>2035</v>
      </c>
      <c r="D2" t="s">
        <v>2036</v>
      </c>
      <c r="E2" t="s">
        <v>2037</v>
      </c>
      <c r="F2">
        <v>49062</v>
      </c>
      <c r="G2">
        <v>49122</v>
      </c>
      <c r="H2">
        <v>0</v>
      </c>
      <c r="K2">
        <f>IF(Table5[[#This Row],[NeedsAttention]]=1,Table5[[#This Row],[Start]],Table5[[#This Row],[StartN]])</f>
        <v>49062</v>
      </c>
      <c r="L2">
        <f>IF(Table5[[#This Row],[NeedsAttention]]=1,Table5[[#This Row],[End]],Table5[[#This Row],[EndN]])</f>
        <v>49122</v>
      </c>
      <c r="O2">
        <f>Table5[[#This Row],[Section]]</f>
        <v>1</v>
      </c>
      <c r="P2">
        <f>Table5[[#This Row],[Canon]]</f>
        <v>3</v>
      </c>
      <c r="Q2" s="1" t="str">
        <f>Table5[[#This Row],[Reference]]</f>
        <v>1.1-5</v>
      </c>
      <c r="R2" s="3" t="str">
        <f>Table5[[#This Row],[StartR]]</f>
        <v>JHN 1:1</v>
      </c>
      <c r="S2" s="3" t="str">
        <f>Table5[[#This Row],[EndR]]</f>
        <v>JHN 1:5</v>
      </c>
      <c r="T2">
        <f>Table5[[#This Row],[Merged.Start]]</f>
        <v>49062</v>
      </c>
      <c r="U2">
        <f>Table5[[#This Row],[Merged.End]]</f>
        <v>49122</v>
      </c>
    </row>
    <row r="3" spans="1:21" x14ac:dyDescent="0.25">
      <c r="A3">
        <v>2</v>
      </c>
      <c r="B3">
        <v>3</v>
      </c>
      <c r="C3" t="s">
        <v>2038</v>
      </c>
      <c r="D3" t="s">
        <v>2039</v>
      </c>
      <c r="E3" t="s">
        <v>2040</v>
      </c>
      <c r="F3">
        <v>49123</v>
      </c>
      <c r="G3">
        <v>49155</v>
      </c>
      <c r="H3">
        <v>0</v>
      </c>
      <c r="K3">
        <f>IF(Table5[[#This Row],[NeedsAttention]]=1,Table5[[#This Row],[Start]],Table5[[#This Row],[StartN]])</f>
        <v>49123</v>
      </c>
      <c r="L3">
        <f>IF(Table5[[#This Row],[NeedsAttention]]=1,Table5[[#This Row],[End]],Table5[[#This Row],[EndN]])</f>
        <v>49155</v>
      </c>
      <c r="M3" t="b">
        <f>Table5[[#This Row],[Merged.Start]]=L2+1</f>
        <v>1</v>
      </c>
      <c r="O3">
        <f>Table5[[#This Row],[Section]]</f>
        <v>2</v>
      </c>
      <c r="P3">
        <f>Table5[[#This Row],[Canon]]</f>
        <v>3</v>
      </c>
      <c r="Q3" s="1" t="str">
        <f>Table5[[#This Row],[Reference]]</f>
        <v>1.6-8</v>
      </c>
      <c r="R3" s="3" t="str">
        <f>Table5[[#This Row],[StartR]]</f>
        <v>JHN 1:6</v>
      </c>
      <c r="S3" s="3" t="str">
        <f>Table5[[#This Row],[EndR]]</f>
        <v>JHN 1:8</v>
      </c>
      <c r="T3">
        <f>Table5[[#This Row],[Merged.Start]]</f>
        <v>49123</v>
      </c>
      <c r="U3">
        <f>Table5[[#This Row],[Merged.End]]</f>
        <v>49155</v>
      </c>
    </row>
    <row r="4" spans="1:21" x14ac:dyDescent="0.25">
      <c r="A4">
        <v>3</v>
      </c>
      <c r="B4">
        <v>3</v>
      </c>
      <c r="C4" t="s">
        <v>2041</v>
      </c>
      <c r="D4" t="s">
        <v>2042</v>
      </c>
      <c r="E4" t="s">
        <v>2043</v>
      </c>
      <c r="F4">
        <v>49156</v>
      </c>
      <c r="G4">
        <v>49184</v>
      </c>
      <c r="H4">
        <v>0</v>
      </c>
      <c r="K4">
        <f>IF(Table5[[#This Row],[NeedsAttention]]=1,Table5[[#This Row],[Start]],Table5[[#This Row],[StartN]])</f>
        <v>49156</v>
      </c>
      <c r="L4">
        <f>IF(Table5[[#This Row],[NeedsAttention]]=1,Table5[[#This Row],[End]],Table5[[#This Row],[EndN]])</f>
        <v>49184</v>
      </c>
      <c r="M4" t="b">
        <f>Table5[[#This Row],[Merged.Start]]=L3+1</f>
        <v>1</v>
      </c>
      <c r="O4">
        <f>Table5[[#This Row],[Section]]</f>
        <v>3</v>
      </c>
      <c r="P4">
        <f>Table5[[#This Row],[Canon]]</f>
        <v>3</v>
      </c>
      <c r="Q4" s="1" t="str">
        <f>Table5[[#This Row],[Reference]]</f>
        <v>1.9-10</v>
      </c>
      <c r="R4" s="3" t="str">
        <f>Table5[[#This Row],[StartR]]</f>
        <v>JHN 1:9</v>
      </c>
      <c r="S4" s="3" t="str">
        <f>Table5[[#This Row],[EndR]]</f>
        <v>JHN 1:10</v>
      </c>
      <c r="T4">
        <f>Table5[[#This Row],[Merged.Start]]</f>
        <v>49156</v>
      </c>
      <c r="U4">
        <f>Table5[[#This Row],[Merged.End]]</f>
        <v>49184</v>
      </c>
    </row>
    <row r="5" spans="1:21" x14ac:dyDescent="0.25">
      <c r="A5">
        <v>4</v>
      </c>
      <c r="B5">
        <v>10</v>
      </c>
      <c r="C5" t="s">
        <v>2044</v>
      </c>
      <c r="D5" t="s">
        <v>2045</v>
      </c>
      <c r="E5" t="s">
        <v>2046</v>
      </c>
      <c r="F5">
        <v>49185</v>
      </c>
      <c r="G5">
        <v>49226</v>
      </c>
      <c r="H5">
        <v>0</v>
      </c>
      <c r="K5">
        <f>IF(Table5[[#This Row],[NeedsAttention]]=1,Table5[[#This Row],[Start]],Table5[[#This Row],[StartN]])</f>
        <v>49185</v>
      </c>
      <c r="L5">
        <f>IF(Table5[[#This Row],[NeedsAttention]]=1,Table5[[#This Row],[End]],Table5[[#This Row],[EndN]])</f>
        <v>49226</v>
      </c>
      <c r="M5" t="b">
        <f>Table5[[#This Row],[Merged.Start]]=L4+1</f>
        <v>1</v>
      </c>
      <c r="O5">
        <f>Table5[[#This Row],[Section]]</f>
        <v>4</v>
      </c>
      <c r="P5">
        <f>Table5[[#This Row],[Canon]]</f>
        <v>10</v>
      </c>
      <c r="Q5" s="1" t="str">
        <f>Table5[[#This Row],[Reference]]</f>
        <v>1.11-13</v>
      </c>
      <c r="R5" s="3" t="str">
        <f>Table5[[#This Row],[StartR]]</f>
        <v>JHN 1:11</v>
      </c>
      <c r="S5" s="3" t="str">
        <f>Table5[[#This Row],[EndR]]</f>
        <v>JHN 1:13</v>
      </c>
      <c r="T5">
        <f>Table5[[#This Row],[Merged.Start]]</f>
        <v>49185</v>
      </c>
      <c r="U5">
        <f>Table5[[#This Row],[Merged.End]]</f>
        <v>49226</v>
      </c>
    </row>
    <row r="6" spans="1:21" x14ac:dyDescent="0.25">
      <c r="A6">
        <v>5</v>
      </c>
      <c r="B6">
        <v>3</v>
      </c>
      <c r="C6">
        <v>1.1399999999999999</v>
      </c>
      <c r="D6" t="s">
        <v>2047</v>
      </c>
      <c r="E6" t="s">
        <v>2047</v>
      </c>
      <c r="F6">
        <v>49227</v>
      </c>
      <c r="G6">
        <v>49249</v>
      </c>
      <c r="H6">
        <v>0</v>
      </c>
      <c r="K6">
        <f>IF(Table5[[#This Row],[NeedsAttention]]=1,Table5[[#This Row],[Start]],Table5[[#This Row],[StartN]])</f>
        <v>49227</v>
      </c>
      <c r="L6">
        <f>IF(Table5[[#This Row],[NeedsAttention]]=1,Table5[[#This Row],[End]],Table5[[#This Row],[EndN]])</f>
        <v>49249</v>
      </c>
      <c r="M6" t="b">
        <f>Table5[[#This Row],[Merged.Start]]=L5+1</f>
        <v>1</v>
      </c>
      <c r="O6">
        <f>Table5[[#This Row],[Section]]</f>
        <v>5</v>
      </c>
      <c r="P6">
        <f>Table5[[#This Row],[Canon]]</f>
        <v>3</v>
      </c>
      <c r="Q6" s="1">
        <f>Table5[[#This Row],[Reference]]</f>
        <v>1.1399999999999999</v>
      </c>
      <c r="R6" s="3" t="str">
        <f>Table5[[#This Row],[StartR]]</f>
        <v>JHN 1:14</v>
      </c>
      <c r="S6" s="3" t="str">
        <f>Table5[[#This Row],[EndR]]</f>
        <v>JHN 1:14</v>
      </c>
      <c r="T6">
        <f>Table5[[#This Row],[Merged.Start]]</f>
        <v>49227</v>
      </c>
      <c r="U6">
        <f>Table5[[#This Row],[Merged.End]]</f>
        <v>49249</v>
      </c>
    </row>
    <row r="7" spans="1:21" x14ac:dyDescent="0.25">
      <c r="A7">
        <v>6</v>
      </c>
      <c r="B7">
        <v>1</v>
      </c>
      <c r="C7">
        <v>1.1499999999999999</v>
      </c>
      <c r="D7" t="s">
        <v>2048</v>
      </c>
      <c r="E7" t="s">
        <v>2048</v>
      </c>
      <c r="F7">
        <v>49250</v>
      </c>
      <c r="G7">
        <v>49271</v>
      </c>
      <c r="H7">
        <v>0</v>
      </c>
      <c r="K7">
        <f>IF(Table5[[#This Row],[NeedsAttention]]=1,Table5[[#This Row],[Start]],Table5[[#This Row],[StartN]])</f>
        <v>49250</v>
      </c>
      <c r="L7">
        <f>IF(Table5[[#This Row],[NeedsAttention]]=1,Table5[[#This Row],[End]],Table5[[#This Row],[EndN]])</f>
        <v>49271</v>
      </c>
      <c r="M7" t="b">
        <f>Table5[[#This Row],[Merged.Start]]=L6+1</f>
        <v>1</v>
      </c>
      <c r="O7">
        <f>Table5[[#This Row],[Section]]</f>
        <v>6</v>
      </c>
      <c r="P7">
        <f>Table5[[#This Row],[Canon]]</f>
        <v>1</v>
      </c>
      <c r="Q7" s="1">
        <f>Table5[[#This Row],[Reference]]</f>
        <v>1.1499999999999999</v>
      </c>
      <c r="R7" s="3" t="str">
        <f>Table5[[#This Row],[StartR]]</f>
        <v>JHN 1:15</v>
      </c>
      <c r="S7" s="3" t="str">
        <f>Table5[[#This Row],[EndR]]</f>
        <v>JHN 1:15</v>
      </c>
      <c r="T7">
        <f>Table5[[#This Row],[Merged.Start]]</f>
        <v>49250</v>
      </c>
      <c r="U7">
        <f>Table5[[#This Row],[Merged.End]]</f>
        <v>49271</v>
      </c>
    </row>
    <row r="8" spans="1:21" x14ac:dyDescent="0.25">
      <c r="A8">
        <v>7</v>
      </c>
      <c r="B8">
        <v>10</v>
      </c>
      <c r="C8" t="s">
        <v>2049</v>
      </c>
      <c r="D8" t="s">
        <v>2050</v>
      </c>
      <c r="E8" t="s">
        <v>2051</v>
      </c>
      <c r="F8">
        <v>49272</v>
      </c>
      <c r="G8">
        <v>49298</v>
      </c>
      <c r="H8">
        <v>0</v>
      </c>
      <c r="K8">
        <f>IF(Table5[[#This Row],[NeedsAttention]]=1,Table5[[#This Row],[Start]],Table5[[#This Row],[StartN]])</f>
        <v>49272</v>
      </c>
      <c r="L8">
        <f>IF(Table5[[#This Row],[NeedsAttention]]=1,Table5[[#This Row],[End]],Table5[[#This Row],[EndN]])</f>
        <v>49298</v>
      </c>
      <c r="M8" t="b">
        <f>Table5[[#This Row],[Merged.Start]]=L7+1</f>
        <v>1</v>
      </c>
      <c r="O8">
        <f>Table5[[#This Row],[Section]]</f>
        <v>7</v>
      </c>
      <c r="P8">
        <f>Table5[[#This Row],[Canon]]</f>
        <v>10</v>
      </c>
      <c r="Q8" s="1" t="str">
        <f>Table5[[#This Row],[Reference]]</f>
        <v>1.16-17</v>
      </c>
      <c r="R8" s="3" t="str">
        <f>Table5[[#This Row],[StartR]]</f>
        <v>JHN 1:16</v>
      </c>
      <c r="S8" s="3" t="str">
        <f>Table5[[#This Row],[EndR]]</f>
        <v>JHN 1:17</v>
      </c>
      <c r="T8">
        <f>Table5[[#This Row],[Merged.Start]]</f>
        <v>49272</v>
      </c>
      <c r="U8">
        <f>Table5[[#This Row],[Merged.End]]</f>
        <v>49298</v>
      </c>
    </row>
    <row r="9" spans="1:21" x14ac:dyDescent="0.25">
      <c r="A9">
        <v>8</v>
      </c>
      <c r="B9">
        <v>3</v>
      </c>
      <c r="C9">
        <v>1.18</v>
      </c>
      <c r="D9" t="s">
        <v>2052</v>
      </c>
      <c r="E9" t="s">
        <v>2052</v>
      </c>
      <c r="F9">
        <v>49299</v>
      </c>
      <c r="G9">
        <v>49313</v>
      </c>
      <c r="H9">
        <v>0</v>
      </c>
      <c r="K9">
        <f>IF(Table5[[#This Row],[NeedsAttention]]=1,Table5[[#This Row],[Start]],Table5[[#This Row],[StartN]])</f>
        <v>49299</v>
      </c>
      <c r="L9">
        <f>IF(Table5[[#This Row],[NeedsAttention]]=1,Table5[[#This Row],[End]],Table5[[#This Row],[EndN]])</f>
        <v>49313</v>
      </c>
      <c r="M9" t="b">
        <f>Table5[[#This Row],[Merged.Start]]=L8+1</f>
        <v>1</v>
      </c>
      <c r="O9">
        <f>Table5[[#This Row],[Section]]</f>
        <v>8</v>
      </c>
      <c r="P9">
        <f>Table5[[#This Row],[Canon]]</f>
        <v>3</v>
      </c>
      <c r="Q9" s="1">
        <f>Table5[[#This Row],[Reference]]</f>
        <v>1.18</v>
      </c>
      <c r="R9" s="3" t="str">
        <f>Table5[[#This Row],[StartR]]</f>
        <v>JHN 1:18</v>
      </c>
      <c r="S9" s="3" t="str">
        <f>Table5[[#This Row],[EndR]]</f>
        <v>JHN 1:18</v>
      </c>
      <c r="T9">
        <f>Table5[[#This Row],[Merged.Start]]</f>
        <v>49299</v>
      </c>
      <c r="U9">
        <f>Table5[[#This Row],[Merged.End]]</f>
        <v>49313</v>
      </c>
    </row>
    <row r="10" spans="1:21" x14ac:dyDescent="0.25">
      <c r="A10">
        <v>9</v>
      </c>
      <c r="B10">
        <v>10</v>
      </c>
      <c r="C10" t="s">
        <v>2053</v>
      </c>
      <c r="D10" t="s">
        <v>2054</v>
      </c>
      <c r="E10" t="s">
        <v>2055</v>
      </c>
      <c r="F10">
        <v>49314</v>
      </c>
      <c r="G10">
        <v>49382</v>
      </c>
      <c r="H10">
        <v>0</v>
      </c>
      <c r="K10">
        <f>IF(Table5[[#This Row],[NeedsAttention]]=1,Table5[[#This Row],[Start]],Table5[[#This Row],[StartN]])</f>
        <v>49314</v>
      </c>
      <c r="L10">
        <f>IF(Table5[[#This Row],[NeedsAttention]]=1,Table5[[#This Row],[End]],Table5[[#This Row],[EndN]])</f>
        <v>49382</v>
      </c>
      <c r="M10" t="b">
        <f>Table5[[#This Row],[Merged.Start]]=L9+1</f>
        <v>1</v>
      </c>
      <c r="O10">
        <f>Table5[[#This Row],[Section]]</f>
        <v>9</v>
      </c>
      <c r="P10">
        <f>Table5[[#This Row],[Canon]]</f>
        <v>10</v>
      </c>
      <c r="Q10" s="1" t="str">
        <f>Table5[[#This Row],[Reference]]</f>
        <v>1.19-22</v>
      </c>
      <c r="R10" s="3" t="str">
        <f>Table5[[#This Row],[StartR]]</f>
        <v>JHN 1:19</v>
      </c>
      <c r="S10" s="3" t="str">
        <f>Table5[[#This Row],[EndR]]</f>
        <v>JHN 1:22</v>
      </c>
      <c r="T10">
        <f>Table5[[#This Row],[Merged.Start]]</f>
        <v>49314</v>
      </c>
      <c r="U10">
        <f>Table5[[#This Row],[Merged.End]]</f>
        <v>49382</v>
      </c>
    </row>
    <row r="11" spans="1:21" x14ac:dyDescent="0.25">
      <c r="A11">
        <v>10</v>
      </c>
      <c r="B11">
        <v>1</v>
      </c>
      <c r="C11">
        <v>1.23</v>
      </c>
      <c r="D11" t="s">
        <v>2056</v>
      </c>
      <c r="E11" t="s">
        <v>2056</v>
      </c>
      <c r="F11">
        <v>49383</v>
      </c>
      <c r="G11">
        <v>49398</v>
      </c>
      <c r="H11">
        <v>0</v>
      </c>
      <c r="K11">
        <f>IF(Table5[[#This Row],[NeedsAttention]]=1,Table5[[#This Row],[Start]],Table5[[#This Row],[StartN]])</f>
        <v>49383</v>
      </c>
      <c r="L11">
        <f>IF(Table5[[#This Row],[NeedsAttention]]=1,Table5[[#This Row],[End]],Table5[[#This Row],[EndN]])</f>
        <v>49398</v>
      </c>
      <c r="M11" t="b">
        <f>Table5[[#This Row],[Merged.Start]]=L10+1</f>
        <v>1</v>
      </c>
      <c r="O11">
        <f>Table5[[#This Row],[Section]]</f>
        <v>10</v>
      </c>
      <c r="P11">
        <f>Table5[[#This Row],[Canon]]</f>
        <v>1</v>
      </c>
      <c r="Q11" s="1">
        <f>Table5[[#This Row],[Reference]]</f>
        <v>1.23</v>
      </c>
      <c r="R11" s="3" t="str">
        <f>Table5[[#This Row],[StartR]]</f>
        <v>JHN 1:23</v>
      </c>
      <c r="S11" s="3" t="str">
        <f>Table5[[#This Row],[EndR]]</f>
        <v>JHN 1:23</v>
      </c>
      <c r="T11">
        <f>Table5[[#This Row],[Merged.Start]]</f>
        <v>49383</v>
      </c>
      <c r="U11">
        <f>Table5[[#This Row],[Merged.End]]</f>
        <v>49398</v>
      </c>
    </row>
    <row r="12" spans="1:21" x14ac:dyDescent="0.25">
      <c r="A12">
        <v>11</v>
      </c>
      <c r="B12">
        <v>1</v>
      </c>
      <c r="C12" t="s">
        <v>2057</v>
      </c>
      <c r="D12" t="s">
        <v>2058</v>
      </c>
      <c r="E12" t="s">
        <v>2059</v>
      </c>
      <c r="F12">
        <v>49399</v>
      </c>
      <c r="G12">
        <v>49424</v>
      </c>
      <c r="H12">
        <v>0</v>
      </c>
      <c r="K12">
        <f>IF(Table5[[#This Row],[NeedsAttention]]=1,Table5[[#This Row],[Start]],Table5[[#This Row],[StartN]])</f>
        <v>49399</v>
      </c>
      <c r="L12">
        <f>IF(Table5[[#This Row],[NeedsAttention]]=1,Table5[[#This Row],[End]],Table5[[#This Row],[EndN]])</f>
        <v>49424</v>
      </c>
      <c r="M12" t="b">
        <f>Table5[[#This Row],[Merged.Start]]=L11+1</f>
        <v>1</v>
      </c>
      <c r="O12">
        <f>Table5[[#This Row],[Section]]</f>
        <v>11</v>
      </c>
      <c r="P12">
        <f>Table5[[#This Row],[Canon]]</f>
        <v>1</v>
      </c>
      <c r="Q12" s="1" t="str">
        <f>Table5[[#This Row],[Reference]]</f>
        <v>1.24-25</v>
      </c>
      <c r="R12" s="3" t="str">
        <f>Table5[[#This Row],[StartR]]</f>
        <v>JHN 1:24</v>
      </c>
      <c r="S12" s="3" t="str">
        <f>Table5[[#This Row],[EndR]]</f>
        <v>JHN 1:25</v>
      </c>
      <c r="T12">
        <f>Table5[[#This Row],[Merged.Start]]</f>
        <v>49399</v>
      </c>
      <c r="U12">
        <f>Table5[[#This Row],[Merged.End]]</f>
        <v>49424</v>
      </c>
    </row>
    <row r="13" spans="1:21" x14ac:dyDescent="0.25">
      <c r="A13">
        <v>12</v>
      </c>
      <c r="B13">
        <v>1</v>
      </c>
      <c r="C13" t="s">
        <v>2060</v>
      </c>
      <c r="D13" t="s">
        <v>2061</v>
      </c>
      <c r="E13" t="s">
        <v>2062</v>
      </c>
      <c r="F13">
        <v>49425</v>
      </c>
      <c r="G13">
        <v>49455</v>
      </c>
      <c r="H13">
        <v>0</v>
      </c>
      <c r="K13">
        <f>IF(Table5[[#This Row],[NeedsAttention]]=1,Table5[[#This Row],[Start]],Table5[[#This Row],[StartN]])</f>
        <v>49425</v>
      </c>
      <c r="L13">
        <f>IF(Table5[[#This Row],[NeedsAttention]]=1,Table5[[#This Row],[End]],Table5[[#This Row],[EndN]])</f>
        <v>49455</v>
      </c>
      <c r="M13" t="b">
        <f>Table5[[#This Row],[Merged.Start]]=L12+1</f>
        <v>1</v>
      </c>
      <c r="O13">
        <f>Table5[[#This Row],[Section]]</f>
        <v>12</v>
      </c>
      <c r="P13">
        <f>Table5[[#This Row],[Canon]]</f>
        <v>1</v>
      </c>
      <c r="Q13" s="1" t="str">
        <f>Table5[[#This Row],[Reference]]</f>
        <v>1.26-27</v>
      </c>
      <c r="R13" s="3" t="str">
        <f>Table5[[#This Row],[StartR]]</f>
        <v>JHN 1:26</v>
      </c>
      <c r="S13" s="3" t="str">
        <f>Table5[[#This Row],[EndR]]</f>
        <v>JHN 1:27</v>
      </c>
      <c r="T13">
        <f>Table5[[#This Row],[Merged.Start]]</f>
        <v>49425</v>
      </c>
      <c r="U13">
        <f>Table5[[#This Row],[Merged.End]]</f>
        <v>49455</v>
      </c>
    </row>
    <row r="14" spans="1:21" x14ac:dyDescent="0.25">
      <c r="A14">
        <v>13</v>
      </c>
      <c r="B14">
        <v>10</v>
      </c>
      <c r="C14" t="s">
        <v>2063</v>
      </c>
      <c r="D14" t="s">
        <v>2064</v>
      </c>
      <c r="E14" t="s">
        <v>2065</v>
      </c>
      <c r="F14">
        <v>49456</v>
      </c>
      <c r="G14">
        <v>49488</v>
      </c>
      <c r="H14">
        <v>0</v>
      </c>
      <c r="K14">
        <f>IF(Table5[[#This Row],[NeedsAttention]]=1,Table5[[#This Row],[Start]],Table5[[#This Row],[StartN]])</f>
        <v>49456</v>
      </c>
      <c r="L14">
        <f>IF(Table5[[#This Row],[NeedsAttention]]=1,Table5[[#This Row],[End]],Table5[[#This Row],[EndN]])</f>
        <v>49488</v>
      </c>
      <c r="M14" t="b">
        <f>Table5[[#This Row],[Merged.Start]]=L13+1</f>
        <v>1</v>
      </c>
      <c r="O14">
        <f>Table5[[#This Row],[Section]]</f>
        <v>13</v>
      </c>
      <c r="P14">
        <f>Table5[[#This Row],[Canon]]</f>
        <v>10</v>
      </c>
      <c r="Q14" s="1" t="str">
        <f>Table5[[#This Row],[Reference]]</f>
        <v>1.28-29</v>
      </c>
      <c r="R14" s="3" t="str">
        <f>Table5[[#This Row],[StartR]]</f>
        <v>JHN 1:28</v>
      </c>
      <c r="S14" s="3" t="str">
        <f>Table5[[#This Row],[EndR]]</f>
        <v>JHN 1:29</v>
      </c>
      <c r="T14">
        <f>Table5[[#This Row],[Merged.Start]]</f>
        <v>49456</v>
      </c>
      <c r="U14">
        <f>Table5[[#This Row],[Merged.End]]</f>
        <v>49488</v>
      </c>
    </row>
    <row r="15" spans="1:21" x14ac:dyDescent="0.25">
      <c r="A15">
        <v>14</v>
      </c>
      <c r="B15">
        <v>1</v>
      </c>
      <c r="C15" t="s">
        <v>2066</v>
      </c>
      <c r="D15" t="s">
        <v>2067</v>
      </c>
      <c r="E15" t="s">
        <v>2068</v>
      </c>
      <c r="F15">
        <v>49489</v>
      </c>
      <c r="G15">
        <v>49522</v>
      </c>
      <c r="H15">
        <v>0</v>
      </c>
      <c r="K15">
        <f>IF(Table5[[#This Row],[NeedsAttention]]=1,Table5[[#This Row],[Start]],Table5[[#This Row],[StartN]])</f>
        <v>49489</v>
      </c>
      <c r="L15">
        <f>IF(Table5[[#This Row],[NeedsAttention]]=1,Table5[[#This Row],[End]],Table5[[#This Row],[EndN]])</f>
        <v>49522</v>
      </c>
      <c r="M15" t="b">
        <f>Table5[[#This Row],[Merged.Start]]=L14+1</f>
        <v>1</v>
      </c>
      <c r="O15">
        <f>Table5[[#This Row],[Section]]</f>
        <v>14</v>
      </c>
      <c r="P15">
        <f>Table5[[#This Row],[Canon]]</f>
        <v>1</v>
      </c>
      <c r="Q15" s="1" t="str">
        <f>Table5[[#This Row],[Reference]]</f>
        <v>1.30-31</v>
      </c>
      <c r="R15" s="3" t="str">
        <f>Table5[[#This Row],[StartR]]</f>
        <v>JHN 1:30</v>
      </c>
      <c r="S15" s="3" t="str">
        <f>Table5[[#This Row],[EndR]]</f>
        <v>JHN 1:31</v>
      </c>
      <c r="T15">
        <f>Table5[[#This Row],[Merged.Start]]</f>
        <v>49489</v>
      </c>
      <c r="U15">
        <f>Table5[[#This Row],[Merged.End]]</f>
        <v>49522</v>
      </c>
    </row>
    <row r="16" spans="1:21" x14ac:dyDescent="0.25">
      <c r="A16">
        <v>15</v>
      </c>
      <c r="B16">
        <v>1</v>
      </c>
      <c r="C16" t="s">
        <v>2069</v>
      </c>
      <c r="D16" t="s">
        <v>2070</v>
      </c>
      <c r="E16" t="s">
        <v>2071</v>
      </c>
      <c r="F16">
        <v>49523</v>
      </c>
      <c r="G16">
        <v>49582</v>
      </c>
      <c r="H16">
        <v>0</v>
      </c>
      <c r="K16">
        <f>IF(Table5[[#This Row],[NeedsAttention]]=1,Table5[[#This Row],[Start]],Table5[[#This Row],[StartN]])</f>
        <v>49523</v>
      </c>
      <c r="L16">
        <f>IF(Table5[[#This Row],[NeedsAttention]]=1,Table5[[#This Row],[End]],Table5[[#This Row],[EndN]])</f>
        <v>49582</v>
      </c>
      <c r="M16" t="b">
        <f>Table5[[#This Row],[Merged.Start]]=L15+1</f>
        <v>1</v>
      </c>
      <c r="O16">
        <f>Table5[[#This Row],[Section]]</f>
        <v>15</v>
      </c>
      <c r="P16">
        <f>Table5[[#This Row],[Canon]]</f>
        <v>1</v>
      </c>
      <c r="Q16" s="1" t="str">
        <f>Table5[[#This Row],[Reference]]</f>
        <v>1.32-34</v>
      </c>
      <c r="R16" s="3" t="str">
        <f>Table5[[#This Row],[StartR]]</f>
        <v>JHN 1:32</v>
      </c>
      <c r="S16" s="3" t="str">
        <f>Table5[[#This Row],[EndR]]</f>
        <v>JHN 1:34</v>
      </c>
      <c r="T16">
        <f>Table5[[#This Row],[Merged.Start]]</f>
        <v>49523</v>
      </c>
      <c r="U16">
        <f>Table5[[#This Row],[Merged.End]]</f>
        <v>49582</v>
      </c>
    </row>
    <row r="17" spans="1:21" x14ac:dyDescent="0.25">
      <c r="A17">
        <v>16</v>
      </c>
      <c r="B17">
        <v>10</v>
      </c>
      <c r="C17" t="s">
        <v>2072</v>
      </c>
      <c r="D17" t="s">
        <v>2073</v>
      </c>
      <c r="E17" t="s">
        <v>2074</v>
      </c>
      <c r="F17">
        <v>49583</v>
      </c>
      <c r="G17">
        <v>49678</v>
      </c>
      <c r="H17">
        <v>0</v>
      </c>
      <c r="K17">
        <f>IF(Table5[[#This Row],[NeedsAttention]]=1,Table5[[#This Row],[Start]],Table5[[#This Row],[StartN]])</f>
        <v>49583</v>
      </c>
      <c r="L17">
        <f>IF(Table5[[#This Row],[NeedsAttention]]=1,Table5[[#This Row],[End]],Table5[[#This Row],[EndN]])</f>
        <v>49678</v>
      </c>
      <c r="M17" t="b">
        <f>Table5[[#This Row],[Merged.Start]]=L16+1</f>
        <v>1</v>
      </c>
      <c r="O17">
        <f>Table5[[#This Row],[Section]]</f>
        <v>16</v>
      </c>
      <c r="P17">
        <f>Table5[[#This Row],[Canon]]</f>
        <v>10</v>
      </c>
      <c r="Q17" s="1" t="str">
        <f>Table5[[#This Row],[Reference]]</f>
        <v>1.35-40</v>
      </c>
      <c r="R17" s="3" t="str">
        <f>Table5[[#This Row],[StartR]]</f>
        <v>JHN 1:35</v>
      </c>
      <c r="S17" s="3" t="str">
        <f>Table5[[#This Row],[EndR]]</f>
        <v>JHN 1:40</v>
      </c>
      <c r="T17">
        <f>Table5[[#This Row],[Merged.Start]]</f>
        <v>49583</v>
      </c>
      <c r="U17">
        <f>Table5[[#This Row],[Merged.End]]</f>
        <v>49678</v>
      </c>
    </row>
    <row r="18" spans="1:21" x14ac:dyDescent="0.25">
      <c r="A18">
        <v>17</v>
      </c>
      <c r="B18">
        <v>1</v>
      </c>
      <c r="C18" t="s">
        <v>2075</v>
      </c>
      <c r="D18" t="s">
        <v>2076</v>
      </c>
      <c r="E18" t="s">
        <v>2077</v>
      </c>
      <c r="F18">
        <v>49679</v>
      </c>
      <c r="G18">
        <v>49718</v>
      </c>
      <c r="H18">
        <v>0</v>
      </c>
      <c r="K18">
        <f>IF(Table5[[#This Row],[NeedsAttention]]=1,Table5[[#This Row],[Start]],Table5[[#This Row],[StartN]])</f>
        <v>49679</v>
      </c>
      <c r="L18">
        <f>IF(Table5[[#This Row],[NeedsAttention]]=1,Table5[[#This Row],[End]],Table5[[#This Row],[EndN]])</f>
        <v>49718</v>
      </c>
      <c r="M18" t="b">
        <f>Table5[[#This Row],[Merged.Start]]=L17+1</f>
        <v>1</v>
      </c>
      <c r="O18">
        <f>Table5[[#This Row],[Section]]</f>
        <v>17</v>
      </c>
      <c r="P18">
        <f>Table5[[#This Row],[Canon]]</f>
        <v>1</v>
      </c>
      <c r="Q18" s="1" t="str">
        <f>Table5[[#This Row],[Reference]]</f>
        <v>1.41-42</v>
      </c>
      <c r="R18" s="3" t="str">
        <f>Table5[[#This Row],[StartR]]</f>
        <v>JHN 1:41</v>
      </c>
      <c r="S18" s="3" t="str">
        <f>Table5[[#This Row],[EndR]]</f>
        <v>JHN 1:42</v>
      </c>
      <c r="T18">
        <f>Table5[[#This Row],[Merged.Start]]</f>
        <v>49679</v>
      </c>
      <c r="U18">
        <f>Table5[[#This Row],[Merged.End]]</f>
        <v>49718</v>
      </c>
    </row>
    <row r="19" spans="1:21" x14ac:dyDescent="0.25">
      <c r="A19">
        <v>18</v>
      </c>
      <c r="B19">
        <v>10</v>
      </c>
      <c r="C19" t="s">
        <v>2078</v>
      </c>
      <c r="D19" t="s">
        <v>2079</v>
      </c>
      <c r="E19" t="s">
        <v>2080</v>
      </c>
      <c r="F19">
        <v>49719</v>
      </c>
      <c r="G19">
        <v>50072</v>
      </c>
      <c r="H19">
        <v>0</v>
      </c>
      <c r="K19">
        <f>IF(Table5[[#This Row],[NeedsAttention]]=1,Table5[[#This Row],[Start]],Table5[[#This Row],[StartN]])</f>
        <v>49719</v>
      </c>
      <c r="L19">
        <f>IF(Table5[[#This Row],[NeedsAttention]]=1,Table5[[#This Row],[End]],Table5[[#This Row],[EndN]])</f>
        <v>50072</v>
      </c>
      <c r="M19" t="b">
        <f>Table5[[#This Row],[Merged.Start]]=L18+1</f>
        <v>1</v>
      </c>
      <c r="O19">
        <f>Table5[[#This Row],[Section]]</f>
        <v>18</v>
      </c>
      <c r="P19">
        <f>Table5[[#This Row],[Canon]]</f>
        <v>10</v>
      </c>
      <c r="Q19" s="1" t="str">
        <f>Table5[[#This Row],[Reference]]</f>
        <v>1.43-2.11</v>
      </c>
      <c r="R19" s="3" t="str">
        <f>Table5[[#This Row],[StartR]]</f>
        <v>JHN 1:43</v>
      </c>
      <c r="S19" s="3" t="str">
        <f>Table5[[#This Row],[EndR]]</f>
        <v>JHN 2:11</v>
      </c>
      <c r="T19">
        <f>Table5[[#This Row],[Merged.Start]]</f>
        <v>49719</v>
      </c>
      <c r="U19">
        <f>Table5[[#This Row],[Merged.End]]</f>
        <v>50072</v>
      </c>
    </row>
    <row r="20" spans="1:21" x14ac:dyDescent="0.25">
      <c r="A20">
        <v>19</v>
      </c>
      <c r="B20">
        <v>7</v>
      </c>
      <c r="C20">
        <v>2.12</v>
      </c>
      <c r="D20" t="s">
        <v>2081</v>
      </c>
      <c r="E20" t="s">
        <v>2081</v>
      </c>
      <c r="F20">
        <v>50073</v>
      </c>
      <c r="G20">
        <v>50095</v>
      </c>
      <c r="H20">
        <v>0</v>
      </c>
      <c r="K20">
        <f>IF(Table5[[#This Row],[NeedsAttention]]=1,Table5[[#This Row],[Start]],Table5[[#This Row],[StartN]])</f>
        <v>50073</v>
      </c>
      <c r="L20">
        <f>IF(Table5[[#This Row],[NeedsAttention]]=1,Table5[[#This Row],[End]],Table5[[#This Row],[EndN]])</f>
        <v>50095</v>
      </c>
      <c r="M20" t="b">
        <f>Table5[[#This Row],[Merged.Start]]=L19+1</f>
        <v>1</v>
      </c>
      <c r="O20">
        <f>Table5[[#This Row],[Section]]</f>
        <v>19</v>
      </c>
      <c r="P20">
        <f>Table5[[#This Row],[Canon]]</f>
        <v>7</v>
      </c>
      <c r="Q20" s="1">
        <f>Table5[[#This Row],[Reference]]</f>
        <v>2.12</v>
      </c>
      <c r="R20" s="3" t="str">
        <f>Table5[[#This Row],[StartR]]</f>
        <v>JHN 2:12</v>
      </c>
      <c r="S20" s="3" t="str">
        <f>Table5[[#This Row],[EndR]]</f>
        <v>JHN 2:12</v>
      </c>
      <c r="T20">
        <f>Table5[[#This Row],[Merged.Start]]</f>
        <v>50073</v>
      </c>
      <c r="U20">
        <f>Table5[[#This Row],[Merged.End]]</f>
        <v>50095</v>
      </c>
    </row>
    <row r="21" spans="1:21" x14ac:dyDescent="0.25">
      <c r="A21">
        <v>20</v>
      </c>
      <c r="B21">
        <v>1</v>
      </c>
      <c r="C21">
        <v>2.13</v>
      </c>
      <c r="D21" t="s">
        <v>2082</v>
      </c>
      <c r="E21" t="s">
        <v>2082</v>
      </c>
      <c r="F21">
        <v>50096</v>
      </c>
      <c r="G21">
        <v>50108</v>
      </c>
      <c r="H21">
        <v>0</v>
      </c>
      <c r="K21">
        <f>IF(Table5[[#This Row],[NeedsAttention]]=1,Table5[[#This Row],[Start]],Table5[[#This Row],[StartN]])</f>
        <v>50096</v>
      </c>
      <c r="L21">
        <f>IF(Table5[[#This Row],[NeedsAttention]]=1,Table5[[#This Row],[End]],Table5[[#This Row],[EndN]])</f>
        <v>50108</v>
      </c>
      <c r="M21" t="b">
        <f>Table5[[#This Row],[Merged.Start]]=L20+1</f>
        <v>1</v>
      </c>
      <c r="O21">
        <f>Table5[[#This Row],[Section]]</f>
        <v>20</v>
      </c>
      <c r="P21">
        <f>Table5[[#This Row],[Canon]]</f>
        <v>1</v>
      </c>
      <c r="Q21" s="1">
        <f>Table5[[#This Row],[Reference]]</f>
        <v>2.13</v>
      </c>
      <c r="R21" s="3" t="str">
        <f>Table5[[#This Row],[StartR]]</f>
        <v>JHN 2:13</v>
      </c>
      <c r="S21" s="3" t="str">
        <f>Table5[[#This Row],[EndR]]</f>
        <v>JHN 2:13</v>
      </c>
      <c r="T21">
        <f>Table5[[#This Row],[Merged.Start]]</f>
        <v>50096</v>
      </c>
      <c r="U21">
        <f>Table5[[#This Row],[Merged.End]]</f>
        <v>50108</v>
      </c>
    </row>
    <row r="22" spans="1:21" x14ac:dyDescent="0.25">
      <c r="A22">
        <v>21</v>
      </c>
      <c r="B22">
        <v>1</v>
      </c>
      <c r="C22" t="s">
        <v>2083</v>
      </c>
      <c r="D22" t="s">
        <v>2084</v>
      </c>
      <c r="E22" t="s">
        <v>2085</v>
      </c>
      <c r="F22">
        <v>50109</v>
      </c>
      <c r="G22">
        <v>50168</v>
      </c>
      <c r="H22">
        <v>0</v>
      </c>
      <c r="K22">
        <f>IF(Table5[[#This Row],[NeedsAttention]]=1,Table5[[#This Row],[Start]],Table5[[#This Row],[StartN]])</f>
        <v>50109</v>
      </c>
      <c r="L22">
        <f>IF(Table5[[#This Row],[NeedsAttention]]=1,Table5[[#This Row],[End]],Table5[[#This Row],[EndN]])</f>
        <v>50168</v>
      </c>
      <c r="M22" t="b">
        <f>Table5[[#This Row],[Merged.Start]]=L21+1</f>
        <v>1</v>
      </c>
      <c r="O22">
        <f>Table5[[#This Row],[Section]]</f>
        <v>21</v>
      </c>
      <c r="P22">
        <f>Table5[[#This Row],[Canon]]</f>
        <v>1</v>
      </c>
      <c r="Q22" s="1" t="str">
        <f>Table5[[#This Row],[Reference]]</f>
        <v>2.14-16</v>
      </c>
      <c r="R22" s="3" t="str">
        <f>Table5[[#This Row],[StartR]]</f>
        <v>JHN 2:14</v>
      </c>
      <c r="S22" s="3" t="str">
        <f>Table5[[#This Row],[EndR]]</f>
        <v>JHN 2:16</v>
      </c>
      <c r="T22">
        <f>Table5[[#This Row],[Merged.Start]]</f>
        <v>50109</v>
      </c>
      <c r="U22">
        <f>Table5[[#This Row],[Merged.End]]</f>
        <v>50168</v>
      </c>
    </row>
    <row r="23" spans="1:21" x14ac:dyDescent="0.25">
      <c r="A23">
        <v>22</v>
      </c>
      <c r="B23">
        <v>10</v>
      </c>
      <c r="C23">
        <v>2.17</v>
      </c>
      <c r="D23" t="s">
        <v>2086</v>
      </c>
      <c r="E23" t="s">
        <v>2086</v>
      </c>
      <c r="F23">
        <v>50169</v>
      </c>
      <c r="G23">
        <v>50182</v>
      </c>
      <c r="H23">
        <v>0</v>
      </c>
      <c r="K23">
        <f>IF(Table5[[#This Row],[NeedsAttention]]=1,Table5[[#This Row],[Start]],Table5[[#This Row],[StartN]])</f>
        <v>50169</v>
      </c>
      <c r="L23">
        <f>IF(Table5[[#This Row],[NeedsAttention]]=1,Table5[[#This Row],[End]],Table5[[#This Row],[EndN]])</f>
        <v>50182</v>
      </c>
      <c r="M23" t="b">
        <f>Table5[[#This Row],[Merged.Start]]=L22+1</f>
        <v>1</v>
      </c>
      <c r="O23">
        <f>Table5[[#This Row],[Section]]</f>
        <v>22</v>
      </c>
      <c r="P23">
        <f>Table5[[#This Row],[Canon]]</f>
        <v>10</v>
      </c>
      <c r="Q23" s="1">
        <f>Table5[[#This Row],[Reference]]</f>
        <v>2.17</v>
      </c>
      <c r="R23" s="3" t="str">
        <f>Table5[[#This Row],[StartR]]</f>
        <v>JHN 2:17</v>
      </c>
      <c r="S23" s="3" t="str">
        <f>Table5[[#This Row],[EndR]]</f>
        <v>JHN 2:17</v>
      </c>
      <c r="T23">
        <f>Table5[[#This Row],[Merged.Start]]</f>
        <v>50169</v>
      </c>
      <c r="U23">
        <f>Table5[[#This Row],[Merged.End]]</f>
        <v>50182</v>
      </c>
    </row>
    <row r="24" spans="1:21" x14ac:dyDescent="0.25">
      <c r="A24">
        <v>23</v>
      </c>
      <c r="B24">
        <v>4</v>
      </c>
      <c r="C24">
        <v>2.1800000000000002</v>
      </c>
      <c r="D24" t="s">
        <v>2087</v>
      </c>
      <c r="E24" t="s">
        <v>2087</v>
      </c>
      <c r="F24">
        <v>50183</v>
      </c>
      <c r="G24">
        <v>50196</v>
      </c>
      <c r="H24">
        <v>0</v>
      </c>
      <c r="K24">
        <f>IF(Table5[[#This Row],[NeedsAttention]]=1,Table5[[#This Row],[Start]],Table5[[#This Row],[StartN]])</f>
        <v>50183</v>
      </c>
      <c r="L24">
        <f>IF(Table5[[#This Row],[NeedsAttention]]=1,Table5[[#This Row],[End]],Table5[[#This Row],[EndN]])</f>
        <v>50196</v>
      </c>
      <c r="M24" t="b">
        <f>Table5[[#This Row],[Merged.Start]]=L23+1</f>
        <v>1</v>
      </c>
      <c r="O24">
        <f>Table5[[#This Row],[Section]]</f>
        <v>23</v>
      </c>
      <c r="P24">
        <f>Table5[[#This Row],[Canon]]</f>
        <v>4</v>
      </c>
      <c r="Q24" s="1">
        <f>Table5[[#This Row],[Reference]]</f>
        <v>2.1800000000000002</v>
      </c>
      <c r="R24" s="3" t="str">
        <f>Table5[[#This Row],[StartR]]</f>
        <v>JHN 2:18</v>
      </c>
      <c r="S24" s="3" t="str">
        <f>Table5[[#This Row],[EndR]]</f>
        <v>JHN 2:18</v>
      </c>
      <c r="T24">
        <f>Table5[[#This Row],[Merged.Start]]</f>
        <v>50183</v>
      </c>
      <c r="U24">
        <f>Table5[[#This Row],[Merged.End]]</f>
        <v>50196</v>
      </c>
    </row>
    <row r="25" spans="1:21" x14ac:dyDescent="0.25">
      <c r="A25">
        <v>24</v>
      </c>
      <c r="B25">
        <v>10</v>
      </c>
      <c r="C25" t="s">
        <v>2088</v>
      </c>
      <c r="D25" t="s">
        <v>2089</v>
      </c>
      <c r="E25" t="s">
        <v>2090</v>
      </c>
      <c r="F25">
        <v>50197</v>
      </c>
      <c r="G25">
        <v>50732</v>
      </c>
      <c r="H25">
        <v>0</v>
      </c>
      <c r="K25">
        <f>IF(Table5[[#This Row],[NeedsAttention]]=1,Table5[[#This Row],[Start]],Table5[[#This Row],[StartN]])</f>
        <v>50197</v>
      </c>
      <c r="L25">
        <f>IF(Table5[[#This Row],[NeedsAttention]]=1,Table5[[#This Row],[End]],Table5[[#This Row],[EndN]])</f>
        <v>50732</v>
      </c>
      <c r="M25" t="b">
        <f>Table5[[#This Row],[Merged.Start]]=L24+1</f>
        <v>1</v>
      </c>
      <c r="O25">
        <f>Table5[[#This Row],[Section]]</f>
        <v>24</v>
      </c>
      <c r="P25">
        <f>Table5[[#This Row],[Canon]]</f>
        <v>10</v>
      </c>
      <c r="Q25" s="1" t="str">
        <f>Table5[[#This Row],[Reference]]</f>
        <v>2.19-3.22</v>
      </c>
      <c r="R25" s="3" t="str">
        <f>Table5[[#This Row],[StartR]]</f>
        <v>JHN 2:19</v>
      </c>
      <c r="S25" s="3" t="str">
        <f>Table5[[#This Row],[EndR]]</f>
        <v>JHN 3:22</v>
      </c>
      <c r="T25">
        <f>Table5[[#This Row],[Merged.Start]]</f>
        <v>50197</v>
      </c>
      <c r="U25">
        <f>Table5[[#This Row],[Merged.End]]</f>
        <v>50732</v>
      </c>
    </row>
    <row r="26" spans="1:21" x14ac:dyDescent="0.25">
      <c r="A26">
        <v>25</v>
      </c>
      <c r="B26">
        <v>3</v>
      </c>
      <c r="C26">
        <v>3.23</v>
      </c>
      <c r="D26" t="s">
        <v>2091</v>
      </c>
      <c r="E26" t="s">
        <v>2091</v>
      </c>
      <c r="F26">
        <v>50733</v>
      </c>
      <c r="G26">
        <v>50752</v>
      </c>
      <c r="H26">
        <v>0</v>
      </c>
      <c r="K26">
        <f>IF(Table5[[#This Row],[NeedsAttention]]=1,Table5[[#This Row],[Start]],Table5[[#This Row],[StartN]])</f>
        <v>50733</v>
      </c>
      <c r="L26">
        <f>IF(Table5[[#This Row],[NeedsAttention]]=1,Table5[[#This Row],[End]],Table5[[#This Row],[EndN]])</f>
        <v>50752</v>
      </c>
      <c r="M26" t="b">
        <f>Table5[[#This Row],[Merged.Start]]=L25+1</f>
        <v>1</v>
      </c>
      <c r="O26">
        <f>Table5[[#This Row],[Section]]</f>
        <v>25</v>
      </c>
      <c r="P26">
        <f>Table5[[#This Row],[Canon]]</f>
        <v>3</v>
      </c>
      <c r="Q26" s="1">
        <f>Table5[[#This Row],[Reference]]</f>
        <v>3.23</v>
      </c>
      <c r="R26" s="3" t="str">
        <f>Table5[[#This Row],[StartR]]</f>
        <v>JHN 3:23</v>
      </c>
      <c r="S26" s="3" t="str">
        <f>Table5[[#This Row],[EndR]]</f>
        <v>JHN 3:23</v>
      </c>
      <c r="T26">
        <f>Table5[[#This Row],[Merged.Start]]</f>
        <v>50733</v>
      </c>
      <c r="U26">
        <f>Table5[[#This Row],[Merged.End]]</f>
        <v>50752</v>
      </c>
    </row>
    <row r="27" spans="1:21" x14ac:dyDescent="0.25">
      <c r="A27">
        <v>26</v>
      </c>
      <c r="B27">
        <v>4</v>
      </c>
      <c r="C27">
        <v>3.24</v>
      </c>
      <c r="D27" t="s">
        <v>2092</v>
      </c>
      <c r="E27" t="s">
        <v>2092</v>
      </c>
      <c r="F27">
        <v>50753</v>
      </c>
      <c r="G27">
        <v>50761</v>
      </c>
      <c r="H27">
        <v>0</v>
      </c>
      <c r="K27">
        <f>IF(Table5[[#This Row],[NeedsAttention]]=1,Table5[[#This Row],[Start]],Table5[[#This Row],[StartN]])</f>
        <v>50753</v>
      </c>
      <c r="L27">
        <f>IF(Table5[[#This Row],[NeedsAttention]]=1,Table5[[#This Row],[End]],Table5[[#This Row],[EndN]])</f>
        <v>50761</v>
      </c>
      <c r="M27" t="b">
        <f>Table5[[#This Row],[Merged.Start]]=L26+1</f>
        <v>1</v>
      </c>
      <c r="O27">
        <f>Table5[[#This Row],[Section]]</f>
        <v>26</v>
      </c>
      <c r="P27">
        <f>Table5[[#This Row],[Canon]]</f>
        <v>4</v>
      </c>
      <c r="Q27" s="1">
        <f>Table5[[#This Row],[Reference]]</f>
        <v>3.24</v>
      </c>
      <c r="R27" s="3" t="str">
        <f>Table5[[#This Row],[StartR]]</f>
        <v>JHN 3:24</v>
      </c>
      <c r="S27" s="3" t="str">
        <f>Table5[[#This Row],[EndR]]</f>
        <v>JHN 3:24</v>
      </c>
      <c r="T27">
        <f>Table5[[#This Row],[Merged.Start]]</f>
        <v>50753</v>
      </c>
      <c r="U27">
        <f>Table5[[#This Row],[Merged.End]]</f>
        <v>50761</v>
      </c>
    </row>
    <row r="28" spans="1:21" x14ac:dyDescent="0.25">
      <c r="A28">
        <v>27</v>
      </c>
      <c r="B28">
        <v>10</v>
      </c>
      <c r="C28" t="s">
        <v>2093</v>
      </c>
      <c r="D28" t="s">
        <v>2094</v>
      </c>
      <c r="E28" t="s">
        <v>2095</v>
      </c>
      <c r="F28">
        <v>50762</v>
      </c>
      <c r="G28">
        <v>50817</v>
      </c>
      <c r="H28">
        <v>0</v>
      </c>
      <c r="K28">
        <f>IF(Table5[[#This Row],[NeedsAttention]]=1,Table5[[#This Row],[Start]],Table5[[#This Row],[StartN]])</f>
        <v>50762</v>
      </c>
      <c r="L28">
        <f>IF(Table5[[#This Row],[NeedsAttention]]=1,Table5[[#This Row],[End]],Table5[[#This Row],[EndN]])</f>
        <v>50817</v>
      </c>
      <c r="M28" t="b">
        <f>Table5[[#This Row],[Merged.Start]]=L27+1</f>
        <v>1</v>
      </c>
      <c r="O28">
        <f>Table5[[#This Row],[Section]]</f>
        <v>27</v>
      </c>
      <c r="P28">
        <f>Table5[[#This Row],[Canon]]</f>
        <v>10</v>
      </c>
      <c r="Q28" s="1" t="str">
        <f>Table5[[#This Row],[Reference]]</f>
        <v>3.25-27</v>
      </c>
      <c r="R28" s="3" t="str">
        <f>Table5[[#This Row],[StartR]]</f>
        <v>JHN 3:25</v>
      </c>
      <c r="S28" s="3" t="str">
        <f>Table5[[#This Row],[EndR]]</f>
        <v>JHN 3:27</v>
      </c>
      <c r="T28">
        <f>Table5[[#This Row],[Merged.Start]]</f>
        <v>50762</v>
      </c>
      <c r="U28">
        <f>Table5[[#This Row],[Merged.End]]</f>
        <v>50817</v>
      </c>
    </row>
    <row r="29" spans="1:21" x14ac:dyDescent="0.25">
      <c r="A29">
        <v>28</v>
      </c>
      <c r="B29">
        <v>1</v>
      </c>
      <c r="C29">
        <v>3.28</v>
      </c>
      <c r="D29" t="s">
        <v>2096</v>
      </c>
      <c r="E29" t="s">
        <v>2096</v>
      </c>
      <c r="F29">
        <v>50818</v>
      </c>
      <c r="G29">
        <v>50834</v>
      </c>
      <c r="H29">
        <v>0</v>
      </c>
      <c r="K29">
        <f>IF(Table5[[#This Row],[NeedsAttention]]=1,Table5[[#This Row],[Start]],Table5[[#This Row],[StartN]])</f>
        <v>50818</v>
      </c>
      <c r="L29">
        <f>IF(Table5[[#This Row],[NeedsAttention]]=1,Table5[[#This Row],[End]],Table5[[#This Row],[EndN]])</f>
        <v>50834</v>
      </c>
      <c r="M29" t="b">
        <f>Table5[[#This Row],[Merged.Start]]=L28+1</f>
        <v>1</v>
      </c>
      <c r="O29">
        <f>Table5[[#This Row],[Section]]</f>
        <v>28</v>
      </c>
      <c r="P29">
        <f>Table5[[#This Row],[Canon]]</f>
        <v>1</v>
      </c>
      <c r="Q29" s="1">
        <f>Table5[[#This Row],[Reference]]</f>
        <v>3.28</v>
      </c>
      <c r="R29" s="3" t="str">
        <f>Table5[[#This Row],[StartR]]</f>
        <v>JHN 3:28</v>
      </c>
      <c r="S29" s="3" t="str">
        <f>Table5[[#This Row],[EndR]]</f>
        <v>JHN 3:28</v>
      </c>
      <c r="T29">
        <f>Table5[[#This Row],[Merged.Start]]</f>
        <v>50818</v>
      </c>
      <c r="U29">
        <f>Table5[[#This Row],[Merged.End]]</f>
        <v>50834</v>
      </c>
    </row>
    <row r="30" spans="1:21" x14ac:dyDescent="0.25">
      <c r="A30">
        <v>29</v>
      </c>
      <c r="B30">
        <v>10</v>
      </c>
      <c r="C30" t="s">
        <v>2097</v>
      </c>
      <c r="D30" t="s">
        <v>2098</v>
      </c>
      <c r="E30" t="s">
        <v>2099</v>
      </c>
      <c r="F30">
        <v>50835</v>
      </c>
      <c r="G30">
        <v>50938</v>
      </c>
      <c r="H30">
        <v>0</v>
      </c>
      <c r="K30">
        <f>IF(Table5[[#This Row],[NeedsAttention]]=1,Table5[[#This Row],[Start]],Table5[[#This Row],[StartN]])</f>
        <v>50835</v>
      </c>
      <c r="L30">
        <f>IF(Table5[[#This Row],[NeedsAttention]]=1,Table5[[#This Row],[End]],Table5[[#This Row],[EndN]])</f>
        <v>50938</v>
      </c>
      <c r="M30" t="b">
        <f>Table5[[#This Row],[Merged.Start]]=L29+1</f>
        <v>1</v>
      </c>
      <c r="O30">
        <f>Table5[[#This Row],[Section]]</f>
        <v>29</v>
      </c>
      <c r="P30">
        <f>Table5[[#This Row],[Canon]]</f>
        <v>10</v>
      </c>
      <c r="Q30" s="1" t="str">
        <f>Table5[[#This Row],[Reference]]</f>
        <v>3.29-34</v>
      </c>
      <c r="R30" s="3" t="str">
        <f>Table5[[#This Row],[StartR]]</f>
        <v>JHN 3:29</v>
      </c>
      <c r="S30" s="3" t="str">
        <f>Table5[[#This Row],[EndR]]</f>
        <v>JHN 3:34</v>
      </c>
      <c r="T30">
        <f>Table5[[#This Row],[Merged.Start]]</f>
        <v>50835</v>
      </c>
      <c r="U30">
        <f>Table5[[#This Row],[Merged.End]]</f>
        <v>50938</v>
      </c>
    </row>
    <row r="31" spans="1:21" x14ac:dyDescent="0.25">
      <c r="A31">
        <v>30</v>
      </c>
      <c r="B31">
        <v>3</v>
      </c>
      <c r="C31">
        <v>3.35</v>
      </c>
      <c r="D31" t="s">
        <v>2100</v>
      </c>
      <c r="E31" t="s">
        <v>2100</v>
      </c>
      <c r="F31">
        <v>50939</v>
      </c>
      <c r="G31">
        <v>50950</v>
      </c>
      <c r="H31">
        <v>0</v>
      </c>
      <c r="K31">
        <f>IF(Table5[[#This Row],[NeedsAttention]]=1,Table5[[#This Row],[Start]],Table5[[#This Row],[StartN]])</f>
        <v>50939</v>
      </c>
      <c r="L31">
        <f>IF(Table5[[#This Row],[NeedsAttention]]=1,Table5[[#This Row],[End]],Table5[[#This Row],[EndN]])</f>
        <v>50950</v>
      </c>
      <c r="M31" t="b">
        <f>Table5[[#This Row],[Merged.Start]]=L30+1</f>
        <v>1</v>
      </c>
      <c r="O31">
        <f>Table5[[#This Row],[Section]]</f>
        <v>30</v>
      </c>
      <c r="P31">
        <f>Table5[[#This Row],[Canon]]</f>
        <v>3</v>
      </c>
      <c r="Q31" s="1">
        <f>Table5[[#This Row],[Reference]]</f>
        <v>3.35</v>
      </c>
      <c r="R31" s="3" t="str">
        <f>Table5[[#This Row],[StartR]]</f>
        <v>JHN 3:35</v>
      </c>
      <c r="S31" s="3" t="str">
        <f>Table5[[#This Row],[EndR]]</f>
        <v>JHN 3:35</v>
      </c>
      <c r="T31">
        <f>Table5[[#This Row],[Merged.Start]]</f>
        <v>50939</v>
      </c>
      <c r="U31">
        <f>Table5[[#This Row],[Merged.End]]</f>
        <v>50950</v>
      </c>
    </row>
    <row r="32" spans="1:21" x14ac:dyDescent="0.25">
      <c r="A32">
        <v>31</v>
      </c>
      <c r="B32">
        <v>10</v>
      </c>
      <c r="C32" t="s">
        <v>2101</v>
      </c>
      <c r="D32" t="s">
        <v>2102</v>
      </c>
      <c r="E32" t="s">
        <v>2103</v>
      </c>
      <c r="F32">
        <v>50951</v>
      </c>
      <c r="G32">
        <v>51001</v>
      </c>
      <c r="H32">
        <v>0</v>
      </c>
      <c r="K32">
        <f>IF(Table5[[#This Row],[NeedsAttention]]=1,Table5[[#This Row],[Start]],Table5[[#This Row],[StartN]])</f>
        <v>50951</v>
      </c>
      <c r="L32">
        <f>IF(Table5[[#This Row],[NeedsAttention]]=1,Table5[[#This Row],[End]],Table5[[#This Row],[EndN]])</f>
        <v>51001</v>
      </c>
      <c r="M32" t="b">
        <f>Table5[[#This Row],[Merged.Start]]=L31+1</f>
        <v>1</v>
      </c>
      <c r="O32">
        <f>Table5[[#This Row],[Section]]</f>
        <v>31</v>
      </c>
      <c r="P32">
        <f>Table5[[#This Row],[Canon]]</f>
        <v>10</v>
      </c>
      <c r="Q32" s="1" t="str">
        <f>Table5[[#This Row],[Reference]]</f>
        <v>3.36-4.2</v>
      </c>
      <c r="R32" s="3" t="str">
        <f>Table5[[#This Row],[StartR]]</f>
        <v>JHN 3:36</v>
      </c>
      <c r="S32" s="3" t="str">
        <f>Table5[[#This Row],[EndR]]</f>
        <v>JHN 4:2</v>
      </c>
      <c r="T32">
        <f>Table5[[#This Row],[Merged.Start]]</f>
        <v>50951</v>
      </c>
      <c r="U32">
        <f>Table5[[#This Row],[Merged.End]]</f>
        <v>51001</v>
      </c>
    </row>
    <row r="33" spans="1:21" x14ac:dyDescent="0.25">
      <c r="A33">
        <v>32</v>
      </c>
      <c r="B33">
        <v>7</v>
      </c>
      <c r="C33">
        <v>4.3</v>
      </c>
      <c r="D33" t="s">
        <v>2104</v>
      </c>
      <c r="E33" t="s">
        <v>2104</v>
      </c>
      <c r="F33">
        <v>51002</v>
      </c>
      <c r="G33">
        <v>51010</v>
      </c>
      <c r="H33">
        <v>0</v>
      </c>
      <c r="K33">
        <f>IF(Table5[[#This Row],[NeedsAttention]]=1,Table5[[#This Row],[Start]],Table5[[#This Row],[StartN]])</f>
        <v>51002</v>
      </c>
      <c r="L33">
        <f>IF(Table5[[#This Row],[NeedsAttention]]=1,Table5[[#This Row],[End]],Table5[[#This Row],[EndN]])</f>
        <v>51010</v>
      </c>
      <c r="M33" t="b">
        <f>Table5[[#This Row],[Merged.Start]]=L32+1</f>
        <v>1</v>
      </c>
      <c r="O33">
        <f>Table5[[#This Row],[Section]]</f>
        <v>32</v>
      </c>
      <c r="P33">
        <f>Table5[[#This Row],[Canon]]</f>
        <v>7</v>
      </c>
      <c r="Q33" s="1">
        <f>Table5[[#This Row],[Reference]]</f>
        <v>4.3</v>
      </c>
      <c r="R33" s="3" t="str">
        <f>Table5[[#This Row],[StartR]]</f>
        <v>JHN 4:3</v>
      </c>
      <c r="S33" s="3" t="str">
        <f>Table5[[#This Row],[EndR]]</f>
        <v>JHN 4:3</v>
      </c>
      <c r="T33">
        <f>Table5[[#This Row],[Merged.Start]]</f>
        <v>51002</v>
      </c>
      <c r="U33">
        <f>Table5[[#This Row],[Merged.End]]</f>
        <v>51010</v>
      </c>
    </row>
    <row r="34" spans="1:21" x14ac:dyDescent="0.25">
      <c r="A34">
        <v>33</v>
      </c>
      <c r="B34">
        <v>10</v>
      </c>
      <c r="C34" t="s">
        <v>2105</v>
      </c>
      <c r="D34" t="s">
        <v>2106</v>
      </c>
      <c r="E34" t="s">
        <v>2107</v>
      </c>
      <c r="F34">
        <v>51011</v>
      </c>
      <c r="G34">
        <v>51687</v>
      </c>
      <c r="H34">
        <v>0</v>
      </c>
      <c r="K34">
        <f>IF(Table5[[#This Row],[NeedsAttention]]=1,Table5[[#This Row],[Start]],Table5[[#This Row],[StartN]])</f>
        <v>51011</v>
      </c>
      <c r="L34">
        <f>IF(Table5[[#This Row],[NeedsAttention]]=1,Table5[[#This Row],[End]],Table5[[#This Row],[EndN]])</f>
        <v>51687</v>
      </c>
      <c r="M34" t="b">
        <f>Table5[[#This Row],[Merged.Start]]=L33+1</f>
        <v>1</v>
      </c>
      <c r="O34">
        <f>Table5[[#This Row],[Section]]</f>
        <v>33</v>
      </c>
      <c r="P34">
        <f>Table5[[#This Row],[Canon]]</f>
        <v>10</v>
      </c>
      <c r="Q34" s="1" t="str">
        <f>Table5[[#This Row],[Reference]]</f>
        <v>4.4-42</v>
      </c>
      <c r="R34" s="3" t="str">
        <f>Table5[[#This Row],[StartR]]</f>
        <v>JHN 4:4</v>
      </c>
      <c r="S34" s="3" t="str">
        <f>Table5[[#This Row],[EndR]]</f>
        <v>JHN 4:42</v>
      </c>
      <c r="T34">
        <f>Table5[[#This Row],[Merged.Start]]</f>
        <v>51011</v>
      </c>
      <c r="U34">
        <f>Table5[[#This Row],[Merged.End]]</f>
        <v>51687</v>
      </c>
    </row>
    <row r="35" spans="1:21" x14ac:dyDescent="0.25">
      <c r="A35">
        <v>34</v>
      </c>
      <c r="B35">
        <v>7</v>
      </c>
      <c r="C35">
        <v>4.43</v>
      </c>
      <c r="D35" t="s">
        <v>2108</v>
      </c>
      <c r="E35" t="s">
        <v>2108</v>
      </c>
      <c r="F35">
        <v>51688</v>
      </c>
      <c r="G35">
        <v>51697</v>
      </c>
      <c r="H35">
        <v>0</v>
      </c>
      <c r="K35">
        <f>IF(Table5[[#This Row],[NeedsAttention]]=1,Table5[[#This Row],[Start]],Table5[[#This Row],[StartN]])</f>
        <v>51688</v>
      </c>
      <c r="L35">
        <f>IF(Table5[[#This Row],[NeedsAttention]]=1,Table5[[#This Row],[End]],Table5[[#This Row],[EndN]])</f>
        <v>51697</v>
      </c>
      <c r="M35" t="b">
        <f>Table5[[#This Row],[Merged.Start]]=L34+1</f>
        <v>1</v>
      </c>
      <c r="O35">
        <f>Table5[[#This Row],[Section]]</f>
        <v>34</v>
      </c>
      <c r="P35">
        <f>Table5[[#This Row],[Canon]]</f>
        <v>7</v>
      </c>
      <c r="Q35" s="1">
        <f>Table5[[#This Row],[Reference]]</f>
        <v>4.43</v>
      </c>
      <c r="R35" s="3" t="str">
        <f>Table5[[#This Row],[StartR]]</f>
        <v>JHN 4:43</v>
      </c>
      <c r="S35" s="3" t="str">
        <f>Table5[[#This Row],[EndR]]</f>
        <v>JHN 4:43</v>
      </c>
      <c r="T35">
        <f>Table5[[#This Row],[Merged.Start]]</f>
        <v>51688</v>
      </c>
      <c r="U35">
        <f>Table5[[#This Row],[Merged.End]]</f>
        <v>51697</v>
      </c>
    </row>
    <row r="36" spans="1:21" x14ac:dyDescent="0.25">
      <c r="A36">
        <v>35</v>
      </c>
      <c r="B36">
        <v>1</v>
      </c>
      <c r="C36">
        <v>4.4400000000000004</v>
      </c>
      <c r="D36" t="s">
        <v>2109</v>
      </c>
      <c r="E36" t="s">
        <v>2109</v>
      </c>
      <c r="F36">
        <v>51698</v>
      </c>
      <c r="G36">
        <v>51710</v>
      </c>
      <c r="H36">
        <v>0</v>
      </c>
      <c r="K36">
        <f>IF(Table5[[#This Row],[NeedsAttention]]=1,Table5[[#This Row],[Start]],Table5[[#This Row],[StartN]])</f>
        <v>51698</v>
      </c>
      <c r="L36">
        <f>IF(Table5[[#This Row],[NeedsAttention]]=1,Table5[[#This Row],[End]],Table5[[#This Row],[EndN]])</f>
        <v>51710</v>
      </c>
      <c r="M36" t="b">
        <f>Table5[[#This Row],[Merged.Start]]=L35+1</f>
        <v>1</v>
      </c>
      <c r="O36">
        <f>Table5[[#This Row],[Section]]</f>
        <v>35</v>
      </c>
      <c r="P36">
        <f>Table5[[#This Row],[Canon]]</f>
        <v>1</v>
      </c>
      <c r="Q36" s="1">
        <f>Table5[[#This Row],[Reference]]</f>
        <v>4.4400000000000004</v>
      </c>
      <c r="R36" s="3" t="str">
        <f>Table5[[#This Row],[StartR]]</f>
        <v>JHN 4:44</v>
      </c>
      <c r="S36" s="3" t="str">
        <f>Table5[[#This Row],[EndR]]</f>
        <v>JHN 4:44</v>
      </c>
      <c r="T36">
        <f>Table5[[#This Row],[Merged.Start]]</f>
        <v>51698</v>
      </c>
      <c r="U36">
        <f>Table5[[#This Row],[Merged.End]]</f>
        <v>51710</v>
      </c>
    </row>
    <row r="37" spans="1:21" x14ac:dyDescent="0.25">
      <c r="A37">
        <v>36</v>
      </c>
      <c r="B37">
        <v>10</v>
      </c>
      <c r="C37" t="s">
        <v>2110</v>
      </c>
      <c r="D37" t="s">
        <v>2111</v>
      </c>
      <c r="E37" t="s">
        <v>2112</v>
      </c>
      <c r="F37">
        <v>51711</v>
      </c>
      <c r="G37">
        <v>51759</v>
      </c>
      <c r="H37">
        <v>1</v>
      </c>
      <c r="I37">
        <v>51711</v>
      </c>
      <c r="J37">
        <v>51749</v>
      </c>
      <c r="K37">
        <f>IF(Table5[[#This Row],[NeedsAttention]]=1,Table5[[#This Row],[Start]],Table5[[#This Row],[StartN]])</f>
        <v>51711</v>
      </c>
      <c r="L37">
        <f>IF(Table5[[#This Row],[NeedsAttention]]=1,Table5[[#This Row],[End]],Table5[[#This Row],[EndN]])</f>
        <v>51749</v>
      </c>
      <c r="M37" t="b">
        <f>Table5[[#This Row],[Merged.Start]]=L36+1</f>
        <v>1</v>
      </c>
      <c r="O37">
        <f>Table5[[#This Row],[Section]]</f>
        <v>36</v>
      </c>
      <c r="P37">
        <f>Table5[[#This Row],[Canon]]</f>
        <v>10</v>
      </c>
      <c r="Q37" s="1" t="str">
        <f>Table5[[#This Row],[Reference]]</f>
        <v>4.45-46A</v>
      </c>
      <c r="R37" s="3" t="str">
        <f>Table5[[#This Row],[StartR]]</f>
        <v>JHN 4:45</v>
      </c>
      <c r="S37" s="3" t="str">
        <f>Table5[[#This Row],[EndR]]</f>
        <v>JHN 4:46</v>
      </c>
      <c r="T37">
        <f>Table5[[#This Row],[Merged.Start]]</f>
        <v>51711</v>
      </c>
      <c r="U37">
        <f>Table5[[#This Row],[Merged.End]]</f>
        <v>51749</v>
      </c>
    </row>
    <row r="38" spans="1:21" x14ac:dyDescent="0.25">
      <c r="A38">
        <v>37</v>
      </c>
      <c r="B38">
        <v>3</v>
      </c>
      <c r="C38" t="s">
        <v>2113</v>
      </c>
      <c r="D38" t="s">
        <v>2112</v>
      </c>
      <c r="E38" t="s">
        <v>2114</v>
      </c>
      <c r="F38">
        <v>51737</v>
      </c>
      <c r="G38">
        <v>51910</v>
      </c>
      <c r="H38">
        <v>1</v>
      </c>
      <c r="I38">
        <v>51750</v>
      </c>
      <c r="J38">
        <v>51910</v>
      </c>
      <c r="K38">
        <f>IF(Table5[[#This Row],[NeedsAttention]]=1,Table5[[#This Row],[Start]],Table5[[#This Row],[StartN]])</f>
        <v>51750</v>
      </c>
      <c r="L38">
        <f>IF(Table5[[#This Row],[NeedsAttention]]=1,Table5[[#This Row],[End]],Table5[[#This Row],[EndN]])</f>
        <v>51910</v>
      </c>
      <c r="M38" t="b">
        <f>Table5[[#This Row],[Merged.Start]]=L37+1</f>
        <v>1</v>
      </c>
      <c r="O38">
        <f>Table5[[#This Row],[Section]]</f>
        <v>37</v>
      </c>
      <c r="P38">
        <f>Table5[[#This Row],[Canon]]</f>
        <v>3</v>
      </c>
      <c r="Q38" s="1" t="str">
        <f>Table5[[#This Row],[Reference]]</f>
        <v>4.46B-54</v>
      </c>
      <c r="R38" s="3" t="str">
        <f>Table5[[#This Row],[StartR]]</f>
        <v>JHN 4:46</v>
      </c>
      <c r="S38" s="3" t="str">
        <f>Table5[[#This Row],[EndR]]</f>
        <v>JHN 4:54</v>
      </c>
      <c r="T38">
        <f>Table5[[#This Row],[Merged.Start]]</f>
        <v>51750</v>
      </c>
      <c r="U38">
        <f>Table5[[#This Row],[Merged.End]]</f>
        <v>51910</v>
      </c>
    </row>
    <row r="39" spans="1:21" x14ac:dyDescent="0.25">
      <c r="A39">
        <v>38</v>
      </c>
      <c r="B39">
        <v>1</v>
      </c>
      <c r="C39" t="s">
        <v>2115</v>
      </c>
      <c r="D39" t="s">
        <v>2116</v>
      </c>
      <c r="E39" t="s">
        <v>2117</v>
      </c>
      <c r="F39">
        <v>51911</v>
      </c>
      <c r="G39">
        <v>52049</v>
      </c>
      <c r="H39">
        <v>0</v>
      </c>
      <c r="K39">
        <f>IF(Table5[[#This Row],[NeedsAttention]]=1,Table5[[#This Row],[Start]],Table5[[#This Row],[StartN]])</f>
        <v>51911</v>
      </c>
      <c r="L39">
        <f>IF(Table5[[#This Row],[NeedsAttention]]=1,Table5[[#This Row],[End]],Table5[[#This Row],[EndN]])</f>
        <v>52049</v>
      </c>
      <c r="M39" t="b">
        <f>Table5[[#This Row],[Merged.Start]]=L38+1</f>
        <v>1</v>
      </c>
      <c r="O39">
        <f>Table5[[#This Row],[Section]]</f>
        <v>38</v>
      </c>
      <c r="P39">
        <f>Table5[[#This Row],[Canon]]</f>
        <v>1</v>
      </c>
      <c r="Q39" s="1" t="str">
        <f>Table5[[#This Row],[Reference]]</f>
        <v>5.1-10</v>
      </c>
      <c r="R39" s="3" t="str">
        <f>Table5[[#This Row],[StartR]]</f>
        <v>JHN 5:1</v>
      </c>
      <c r="S39" s="3" t="str">
        <f>Table5[[#This Row],[EndR]]</f>
        <v>JHN 5:10</v>
      </c>
      <c r="T39">
        <f>Table5[[#This Row],[Merged.Start]]</f>
        <v>51911</v>
      </c>
      <c r="U39">
        <f>Table5[[#This Row],[Merged.End]]</f>
        <v>52049</v>
      </c>
    </row>
    <row r="40" spans="1:21" x14ac:dyDescent="0.25">
      <c r="A40">
        <v>39</v>
      </c>
      <c r="B40">
        <v>10</v>
      </c>
      <c r="C40" t="s">
        <v>2118</v>
      </c>
      <c r="D40" t="s">
        <v>2119</v>
      </c>
      <c r="E40" t="s">
        <v>2120</v>
      </c>
      <c r="F40">
        <v>52050</v>
      </c>
      <c r="G40">
        <v>52293</v>
      </c>
      <c r="H40">
        <v>1</v>
      </c>
      <c r="I40">
        <v>52050</v>
      </c>
      <c r="J40">
        <v>52281</v>
      </c>
      <c r="K40">
        <f>IF(Table5[[#This Row],[NeedsAttention]]=1,Table5[[#This Row],[Start]],Table5[[#This Row],[StartN]])</f>
        <v>52050</v>
      </c>
      <c r="L40">
        <f>IF(Table5[[#This Row],[NeedsAttention]]=1,Table5[[#This Row],[End]],Table5[[#This Row],[EndN]])</f>
        <v>52281</v>
      </c>
      <c r="M40" t="b">
        <f>Table5[[#This Row],[Merged.Start]]=L39+1</f>
        <v>1</v>
      </c>
      <c r="O40">
        <f>Table5[[#This Row],[Section]]</f>
        <v>39</v>
      </c>
      <c r="P40">
        <f>Table5[[#This Row],[Canon]]</f>
        <v>10</v>
      </c>
      <c r="Q40" s="1" t="str">
        <f>Table5[[#This Row],[Reference]]</f>
        <v>5.11-23A</v>
      </c>
      <c r="R40" s="3" t="str">
        <f>Table5[[#This Row],[StartR]]</f>
        <v>JHN 5:11</v>
      </c>
      <c r="S40" s="3" t="str">
        <f>Table5[[#This Row],[EndR]]</f>
        <v>JHN 5:23</v>
      </c>
      <c r="T40">
        <f>Table5[[#This Row],[Merged.Start]]</f>
        <v>52050</v>
      </c>
      <c r="U40">
        <f>Table5[[#This Row],[Merged.End]]</f>
        <v>52281</v>
      </c>
    </row>
    <row r="41" spans="1:21" x14ac:dyDescent="0.25">
      <c r="A41">
        <v>40</v>
      </c>
      <c r="B41">
        <v>1</v>
      </c>
      <c r="C41" t="s">
        <v>2121</v>
      </c>
      <c r="D41" t="s">
        <v>2120</v>
      </c>
      <c r="E41" t="s">
        <v>2120</v>
      </c>
      <c r="F41">
        <v>52273</v>
      </c>
      <c r="G41">
        <v>52293</v>
      </c>
      <c r="H41">
        <v>1</v>
      </c>
      <c r="I41">
        <v>52282</v>
      </c>
      <c r="J41">
        <v>52293</v>
      </c>
      <c r="K41">
        <f>IF(Table5[[#This Row],[NeedsAttention]]=1,Table5[[#This Row],[Start]],Table5[[#This Row],[StartN]])</f>
        <v>52282</v>
      </c>
      <c r="L41">
        <f>IF(Table5[[#This Row],[NeedsAttention]]=1,Table5[[#This Row],[End]],Table5[[#This Row],[EndN]])</f>
        <v>52293</v>
      </c>
      <c r="M41" t="b">
        <f>Table5[[#This Row],[Merged.Start]]=L40+1</f>
        <v>1</v>
      </c>
      <c r="O41">
        <f>Table5[[#This Row],[Section]]</f>
        <v>40</v>
      </c>
      <c r="P41">
        <f>Table5[[#This Row],[Canon]]</f>
        <v>1</v>
      </c>
      <c r="Q41" s="1" t="str">
        <f>Table5[[#This Row],[Reference]]</f>
        <v>5.23B</v>
      </c>
      <c r="R41" s="3" t="str">
        <f>Table5[[#This Row],[StartR]]</f>
        <v>JHN 5:23</v>
      </c>
      <c r="S41" s="3" t="str">
        <f>Table5[[#This Row],[EndR]]</f>
        <v>JHN 5:23</v>
      </c>
      <c r="T41">
        <f>Table5[[#This Row],[Merged.Start]]</f>
        <v>52282</v>
      </c>
      <c r="U41">
        <f>Table5[[#This Row],[Merged.End]]</f>
        <v>52293</v>
      </c>
    </row>
    <row r="42" spans="1:21" x14ac:dyDescent="0.25">
      <c r="A42">
        <v>41</v>
      </c>
      <c r="B42">
        <v>10</v>
      </c>
      <c r="C42" t="s">
        <v>2122</v>
      </c>
      <c r="D42" t="s">
        <v>2123</v>
      </c>
      <c r="E42" t="s">
        <v>2124</v>
      </c>
      <c r="F42">
        <v>52294</v>
      </c>
      <c r="G42">
        <v>52439</v>
      </c>
      <c r="H42">
        <v>1</v>
      </c>
      <c r="I42">
        <v>52294</v>
      </c>
      <c r="J42">
        <v>52426</v>
      </c>
      <c r="K42">
        <f>IF(Table5[[#This Row],[NeedsAttention]]=1,Table5[[#This Row],[Start]],Table5[[#This Row],[StartN]])</f>
        <v>52294</v>
      </c>
      <c r="L42">
        <f>IF(Table5[[#This Row],[NeedsAttention]]=1,Table5[[#This Row],[End]],Table5[[#This Row],[EndN]])</f>
        <v>52426</v>
      </c>
      <c r="M42" t="b">
        <f>Table5[[#This Row],[Merged.Start]]=L41+1</f>
        <v>1</v>
      </c>
      <c r="O42">
        <f>Table5[[#This Row],[Section]]</f>
        <v>41</v>
      </c>
      <c r="P42">
        <f>Table5[[#This Row],[Canon]]</f>
        <v>10</v>
      </c>
      <c r="Q42" s="1" t="str">
        <f>Table5[[#This Row],[Reference]]</f>
        <v>5.24-30A</v>
      </c>
      <c r="R42" s="3" t="str">
        <f>Table5[[#This Row],[StartR]]</f>
        <v>JHN 5:24</v>
      </c>
      <c r="S42" s="3" t="str">
        <f>Table5[[#This Row],[EndR]]</f>
        <v>JHN 5:30</v>
      </c>
      <c r="T42">
        <f>Table5[[#This Row],[Merged.Start]]</f>
        <v>52294</v>
      </c>
      <c r="U42">
        <f>Table5[[#This Row],[Merged.End]]</f>
        <v>52426</v>
      </c>
    </row>
    <row r="43" spans="1:21" x14ac:dyDescent="0.25">
      <c r="A43">
        <v>42</v>
      </c>
      <c r="B43">
        <v>1</v>
      </c>
      <c r="C43" t="s">
        <v>2125</v>
      </c>
      <c r="D43" t="s">
        <v>2124</v>
      </c>
      <c r="E43" t="s">
        <v>2124</v>
      </c>
      <c r="F43">
        <v>52410</v>
      </c>
      <c r="G43">
        <v>52439</v>
      </c>
      <c r="H43">
        <v>1</v>
      </c>
      <c r="I43">
        <v>52427</v>
      </c>
      <c r="J43">
        <v>52439</v>
      </c>
      <c r="K43">
        <f>IF(Table5[[#This Row],[NeedsAttention]]=1,Table5[[#This Row],[Start]],Table5[[#This Row],[StartN]])</f>
        <v>52427</v>
      </c>
      <c r="L43">
        <f>IF(Table5[[#This Row],[NeedsAttention]]=1,Table5[[#This Row],[End]],Table5[[#This Row],[EndN]])</f>
        <v>52439</v>
      </c>
      <c r="M43" t="b">
        <f>Table5[[#This Row],[Merged.Start]]=L42+1</f>
        <v>1</v>
      </c>
      <c r="O43">
        <f>Table5[[#This Row],[Section]]</f>
        <v>42</v>
      </c>
      <c r="P43">
        <f>Table5[[#This Row],[Canon]]</f>
        <v>1</v>
      </c>
      <c r="Q43" s="1" t="str">
        <f>Table5[[#This Row],[Reference]]</f>
        <v>5.30B</v>
      </c>
      <c r="R43" s="3" t="str">
        <f>Table5[[#This Row],[StartR]]</f>
        <v>JHN 5:30</v>
      </c>
      <c r="S43" s="3" t="str">
        <f>Table5[[#This Row],[EndR]]</f>
        <v>JHN 5:30</v>
      </c>
      <c r="T43">
        <f>Table5[[#This Row],[Merged.Start]]</f>
        <v>52427</v>
      </c>
      <c r="U43">
        <f>Table5[[#This Row],[Merged.End]]</f>
        <v>52439</v>
      </c>
    </row>
    <row r="44" spans="1:21" x14ac:dyDescent="0.25">
      <c r="A44">
        <v>43</v>
      </c>
      <c r="B44">
        <v>10</v>
      </c>
      <c r="C44" t="s">
        <v>2126</v>
      </c>
      <c r="D44" t="s">
        <v>2127</v>
      </c>
      <c r="E44" t="s">
        <v>2128</v>
      </c>
      <c r="F44">
        <v>52440</v>
      </c>
      <c r="G44">
        <v>52557</v>
      </c>
      <c r="H44">
        <v>1</v>
      </c>
      <c r="I44">
        <v>52440</v>
      </c>
      <c r="J44">
        <v>52548</v>
      </c>
      <c r="K44">
        <f>IF(Table5[[#This Row],[NeedsAttention]]=1,Table5[[#This Row],[Start]],Table5[[#This Row],[StartN]])</f>
        <v>52440</v>
      </c>
      <c r="L44">
        <f>IF(Table5[[#This Row],[NeedsAttention]]=1,Table5[[#This Row],[End]],Table5[[#This Row],[EndN]])</f>
        <v>52548</v>
      </c>
      <c r="M44" t="b">
        <f>Table5[[#This Row],[Merged.Start]]=L43+1</f>
        <v>1</v>
      </c>
      <c r="O44">
        <f>Table5[[#This Row],[Section]]</f>
        <v>43</v>
      </c>
      <c r="P44">
        <f>Table5[[#This Row],[Canon]]</f>
        <v>10</v>
      </c>
      <c r="Q44" s="1" t="str">
        <f>Table5[[#This Row],[Reference]]</f>
        <v>5.31-37A</v>
      </c>
      <c r="R44" s="3" t="str">
        <f>Table5[[#This Row],[StartR]]</f>
        <v>JHN 5:31</v>
      </c>
      <c r="S44" s="3" t="str">
        <f>Table5[[#This Row],[EndR]]</f>
        <v>JHN 5:37</v>
      </c>
      <c r="T44">
        <f>Table5[[#This Row],[Merged.Start]]</f>
        <v>52440</v>
      </c>
      <c r="U44">
        <f>Table5[[#This Row],[Merged.End]]</f>
        <v>52548</v>
      </c>
    </row>
    <row r="45" spans="1:21" x14ac:dyDescent="0.25">
      <c r="A45">
        <v>44</v>
      </c>
      <c r="B45">
        <v>3</v>
      </c>
      <c r="C45" t="s">
        <v>2129</v>
      </c>
      <c r="D45" t="s">
        <v>2128</v>
      </c>
      <c r="E45" t="s">
        <v>2128</v>
      </c>
      <c r="F45">
        <v>52540</v>
      </c>
      <c r="G45">
        <v>52557</v>
      </c>
      <c r="H45">
        <v>1</v>
      </c>
      <c r="I45">
        <v>52549</v>
      </c>
      <c r="J45">
        <v>52557</v>
      </c>
      <c r="K45">
        <f>IF(Table5[[#This Row],[NeedsAttention]]=1,Table5[[#This Row],[Start]],Table5[[#This Row],[StartN]])</f>
        <v>52549</v>
      </c>
      <c r="L45">
        <f>IF(Table5[[#This Row],[NeedsAttention]]=1,Table5[[#This Row],[End]],Table5[[#This Row],[EndN]])</f>
        <v>52557</v>
      </c>
      <c r="M45" t="b">
        <f>Table5[[#This Row],[Merged.Start]]=L44+1</f>
        <v>1</v>
      </c>
      <c r="O45">
        <f>Table5[[#This Row],[Section]]</f>
        <v>44</v>
      </c>
      <c r="P45">
        <f>Table5[[#This Row],[Canon]]</f>
        <v>3</v>
      </c>
      <c r="Q45" s="1" t="str">
        <f>Table5[[#This Row],[Reference]]</f>
        <v>5.37B</v>
      </c>
      <c r="R45" s="3" t="str">
        <f>Table5[[#This Row],[StartR]]</f>
        <v>JHN 5:37</v>
      </c>
      <c r="S45" s="3" t="str">
        <f>Table5[[#This Row],[EndR]]</f>
        <v>JHN 5:37</v>
      </c>
      <c r="T45">
        <f>Table5[[#This Row],[Merged.Start]]</f>
        <v>52549</v>
      </c>
      <c r="U45">
        <f>Table5[[#This Row],[Merged.End]]</f>
        <v>52557</v>
      </c>
    </row>
    <row r="46" spans="1:21" x14ac:dyDescent="0.25">
      <c r="A46">
        <v>45</v>
      </c>
      <c r="B46">
        <v>10</v>
      </c>
      <c r="C46" t="s">
        <v>2130</v>
      </c>
      <c r="D46" t="s">
        <v>2131</v>
      </c>
      <c r="E46" t="s">
        <v>2132</v>
      </c>
      <c r="F46">
        <v>52558</v>
      </c>
      <c r="G46">
        <v>52700</v>
      </c>
      <c r="H46">
        <v>0</v>
      </c>
      <c r="K46">
        <f>IF(Table5[[#This Row],[NeedsAttention]]=1,Table5[[#This Row],[Start]],Table5[[#This Row],[StartN]])</f>
        <v>52558</v>
      </c>
      <c r="L46">
        <f>IF(Table5[[#This Row],[NeedsAttention]]=1,Table5[[#This Row],[End]],Table5[[#This Row],[EndN]])</f>
        <v>52700</v>
      </c>
      <c r="M46" t="b">
        <f>Table5[[#This Row],[Merged.Start]]=L45+1</f>
        <v>1</v>
      </c>
      <c r="O46">
        <f>Table5[[#This Row],[Section]]</f>
        <v>45</v>
      </c>
      <c r="P46">
        <f>Table5[[#This Row],[Canon]]</f>
        <v>10</v>
      </c>
      <c r="Q46" s="1" t="str">
        <f>Table5[[#This Row],[Reference]]</f>
        <v>5.38-47</v>
      </c>
      <c r="R46" s="3" t="str">
        <f>Table5[[#This Row],[StartR]]</f>
        <v>JHN 5:38</v>
      </c>
      <c r="S46" s="3" t="str">
        <f>Table5[[#This Row],[EndR]]</f>
        <v>JHN 5:47</v>
      </c>
      <c r="T46">
        <f>Table5[[#This Row],[Merged.Start]]</f>
        <v>52558</v>
      </c>
      <c r="U46">
        <f>Table5[[#This Row],[Merged.End]]</f>
        <v>52700</v>
      </c>
    </row>
    <row r="47" spans="1:21" x14ac:dyDescent="0.25">
      <c r="A47">
        <v>46</v>
      </c>
      <c r="B47">
        <v>1</v>
      </c>
      <c r="C47" t="s">
        <v>2133</v>
      </c>
      <c r="D47" t="s">
        <v>2134</v>
      </c>
      <c r="E47" t="s">
        <v>2135</v>
      </c>
      <c r="F47">
        <v>52701</v>
      </c>
      <c r="G47">
        <v>52726</v>
      </c>
      <c r="H47">
        <v>0</v>
      </c>
      <c r="K47">
        <f>IF(Table5[[#This Row],[NeedsAttention]]=1,Table5[[#This Row],[Start]],Table5[[#This Row],[StartN]])</f>
        <v>52701</v>
      </c>
      <c r="L47">
        <f>IF(Table5[[#This Row],[NeedsAttention]]=1,Table5[[#This Row],[End]],Table5[[#This Row],[EndN]])</f>
        <v>52726</v>
      </c>
      <c r="M47" t="b">
        <f>Table5[[#This Row],[Merged.Start]]=L46+1</f>
        <v>1</v>
      </c>
      <c r="O47">
        <f>Table5[[#This Row],[Section]]</f>
        <v>46</v>
      </c>
      <c r="P47">
        <f>Table5[[#This Row],[Canon]]</f>
        <v>1</v>
      </c>
      <c r="Q47" s="1" t="str">
        <f>Table5[[#This Row],[Reference]]</f>
        <v>6.1-2</v>
      </c>
      <c r="R47" s="3" t="str">
        <f>Table5[[#This Row],[StartR]]</f>
        <v>JHN 6:1</v>
      </c>
      <c r="S47" s="3" t="str">
        <f>Table5[[#This Row],[EndR]]</f>
        <v>JHN 6:2</v>
      </c>
      <c r="T47">
        <f>Table5[[#This Row],[Merged.Start]]</f>
        <v>52701</v>
      </c>
      <c r="U47">
        <f>Table5[[#This Row],[Merged.End]]</f>
        <v>52726</v>
      </c>
    </row>
    <row r="48" spans="1:21" x14ac:dyDescent="0.25">
      <c r="A48">
        <v>47</v>
      </c>
      <c r="B48">
        <v>3</v>
      </c>
      <c r="C48">
        <v>6.3</v>
      </c>
      <c r="D48" t="s">
        <v>2136</v>
      </c>
      <c r="E48" t="s">
        <v>2136</v>
      </c>
      <c r="F48">
        <v>52727</v>
      </c>
      <c r="G48">
        <v>52739</v>
      </c>
      <c r="H48">
        <v>0</v>
      </c>
      <c r="K48">
        <f>IF(Table5[[#This Row],[NeedsAttention]]=1,Table5[[#This Row],[Start]],Table5[[#This Row],[StartN]])</f>
        <v>52727</v>
      </c>
      <c r="L48">
        <f>IF(Table5[[#This Row],[NeedsAttention]]=1,Table5[[#This Row],[End]],Table5[[#This Row],[EndN]])</f>
        <v>52739</v>
      </c>
      <c r="M48" t="b">
        <f>Table5[[#This Row],[Merged.Start]]=L47+1</f>
        <v>1</v>
      </c>
      <c r="O48">
        <f>Table5[[#This Row],[Section]]</f>
        <v>47</v>
      </c>
      <c r="P48">
        <f>Table5[[#This Row],[Canon]]</f>
        <v>3</v>
      </c>
      <c r="Q48" s="1">
        <f>Table5[[#This Row],[Reference]]</f>
        <v>6.3</v>
      </c>
      <c r="R48" s="3" t="str">
        <f>Table5[[#This Row],[StartR]]</f>
        <v>JHN 6:3</v>
      </c>
      <c r="S48" s="3" t="str">
        <f>Table5[[#This Row],[EndR]]</f>
        <v>JHN 6:3</v>
      </c>
      <c r="T48">
        <f>Table5[[#This Row],[Merged.Start]]</f>
        <v>52727</v>
      </c>
      <c r="U48">
        <f>Table5[[#This Row],[Merged.End]]</f>
        <v>52739</v>
      </c>
    </row>
    <row r="49" spans="1:21" x14ac:dyDescent="0.25">
      <c r="A49">
        <v>48</v>
      </c>
      <c r="B49">
        <v>1</v>
      </c>
      <c r="C49">
        <v>6.4</v>
      </c>
      <c r="D49" t="s">
        <v>2137</v>
      </c>
      <c r="E49" t="s">
        <v>2137</v>
      </c>
      <c r="F49">
        <v>52740</v>
      </c>
      <c r="G49">
        <v>52748</v>
      </c>
      <c r="H49">
        <v>0</v>
      </c>
      <c r="K49">
        <f>IF(Table5[[#This Row],[NeedsAttention]]=1,Table5[[#This Row],[Start]],Table5[[#This Row],[StartN]])</f>
        <v>52740</v>
      </c>
      <c r="L49">
        <f>IF(Table5[[#This Row],[NeedsAttention]]=1,Table5[[#This Row],[End]],Table5[[#This Row],[EndN]])</f>
        <v>52748</v>
      </c>
      <c r="M49" t="b">
        <f>Table5[[#This Row],[Merged.Start]]=L48+1</f>
        <v>1</v>
      </c>
      <c r="O49">
        <f>Table5[[#This Row],[Section]]</f>
        <v>48</v>
      </c>
      <c r="P49">
        <f>Table5[[#This Row],[Canon]]</f>
        <v>1</v>
      </c>
      <c r="Q49" s="1">
        <f>Table5[[#This Row],[Reference]]</f>
        <v>6.4</v>
      </c>
      <c r="R49" s="3" t="str">
        <f>Table5[[#This Row],[StartR]]</f>
        <v>JHN 6:4</v>
      </c>
      <c r="S49" s="3" t="str">
        <f>Table5[[#This Row],[EndR]]</f>
        <v>JHN 6:4</v>
      </c>
      <c r="T49">
        <f>Table5[[#This Row],[Merged.Start]]</f>
        <v>52740</v>
      </c>
      <c r="U49">
        <f>Table5[[#This Row],[Merged.End]]</f>
        <v>52748</v>
      </c>
    </row>
    <row r="50" spans="1:21" x14ac:dyDescent="0.25">
      <c r="A50">
        <v>49</v>
      </c>
      <c r="B50">
        <v>1</v>
      </c>
      <c r="C50" t="s">
        <v>2138</v>
      </c>
      <c r="D50" t="s">
        <v>2139</v>
      </c>
      <c r="E50" t="s">
        <v>2140</v>
      </c>
      <c r="F50">
        <v>52749</v>
      </c>
      <c r="G50">
        <v>52897</v>
      </c>
      <c r="H50">
        <v>0</v>
      </c>
      <c r="K50">
        <f>IF(Table5[[#This Row],[NeedsAttention]]=1,Table5[[#This Row],[Start]],Table5[[#This Row],[StartN]])</f>
        <v>52749</v>
      </c>
      <c r="L50">
        <f>IF(Table5[[#This Row],[NeedsAttention]]=1,Table5[[#This Row],[End]],Table5[[#This Row],[EndN]])</f>
        <v>52897</v>
      </c>
      <c r="M50" t="b">
        <f>Table5[[#This Row],[Merged.Start]]=L49+1</f>
        <v>1</v>
      </c>
      <c r="O50">
        <f>Table5[[#This Row],[Section]]</f>
        <v>49</v>
      </c>
      <c r="P50">
        <f>Table5[[#This Row],[Canon]]</f>
        <v>1</v>
      </c>
      <c r="Q50" s="1" t="str">
        <f>Table5[[#This Row],[Reference]]</f>
        <v>6.5-13</v>
      </c>
      <c r="R50" s="3" t="str">
        <f>Table5[[#This Row],[StartR]]</f>
        <v>JHN 6:5</v>
      </c>
      <c r="S50" s="3" t="str">
        <f>Table5[[#This Row],[EndR]]</f>
        <v>JHN 6:13</v>
      </c>
      <c r="T50">
        <f>Table5[[#This Row],[Merged.Start]]</f>
        <v>52749</v>
      </c>
      <c r="U50">
        <f>Table5[[#This Row],[Merged.End]]</f>
        <v>52897</v>
      </c>
    </row>
    <row r="51" spans="1:21" x14ac:dyDescent="0.25">
      <c r="A51">
        <v>50</v>
      </c>
      <c r="B51">
        <v>10</v>
      </c>
      <c r="C51" t="s">
        <v>2141</v>
      </c>
      <c r="D51" t="s">
        <v>2142</v>
      </c>
      <c r="E51" t="s">
        <v>2143</v>
      </c>
      <c r="F51">
        <v>52898</v>
      </c>
      <c r="G51">
        <v>52935</v>
      </c>
      <c r="H51">
        <v>1</v>
      </c>
      <c r="I51">
        <v>52898</v>
      </c>
      <c r="J51">
        <v>52928</v>
      </c>
      <c r="K51">
        <f>IF(Table5[[#This Row],[NeedsAttention]]=1,Table5[[#This Row],[Start]],Table5[[#This Row],[StartN]])</f>
        <v>52898</v>
      </c>
      <c r="L51">
        <f>IF(Table5[[#This Row],[NeedsAttention]]=1,Table5[[#This Row],[End]],Table5[[#This Row],[EndN]])</f>
        <v>52928</v>
      </c>
      <c r="M51" t="b">
        <f>Table5[[#This Row],[Merged.Start]]=L50+1</f>
        <v>1</v>
      </c>
      <c r="O51">
        <f>Table5[[#This Row],[Section]]</f>
        <v>50</v>
      </c>
      <c r="P51">
        <f>Table5[[#This Row],[Canon]]</f>
        <v>10</v>
      </c>
      <c r="Q51" s="1" t="str">
        <f>Table5[[#This Row],[Reference]]</f>
        <v>6.14-15A</v>
      </c>
      <c r="R51" s="3" t="str">
        <f>Table5[[#This Row],[StartR]]</f>
        <v>JHN 6:14</v>
      </c>
      <c r="S51" s="3" t="str">
        <f>Table5[[#This Row],[EndR]]</f>
        <v>JHN 6:15</v>
      </c>
      <c r="T51">
        <f>Table5[[#This Row],[Merged.Start]]</f>
        <v>52898</v>
      </c>
      <c r="U51">
        <f>Table5[[#This Row],[Merged.End]]</f>
        <v>52928</v>
      </c>
    </row>
    <row r="52" spans="1:21" x14ac:dyDescent="0.25">
      <c r="A52">
        <v>51</v>
      </c>
      <c r="B52">
        <v>4</v>
      </c>
      <c r="C52" t="s">
        <v>2144</v>
      </c>
      <c r="D52" t="s">
        <v>2143</v>
      </c>
      <c r="E52" t="s">
        <v>2145</v>
      </c>
      <c r="F52">
        <v>52917</v>
      </c>
      <c r="G52">
        <v>53022</v>
      </c>
      <c r="H52">
        <v>1</v>
      </c>
      <c r="I52">
        <v>52929</v>
      </c>
      <c r="J52">
        <v>53022</v>
      </c>
      <c r="K52">
        <f>IF(Table5[[#This Row],[NeedsAttention]]=1,Table5[[#This Row],[Start]],Table5[[#This Row],[StartN]])</f>
        <v>52929</v>
      </c>
      <c r="L52">
        <f>IF(Table5[[#This Row],[NeedsAttention]]=1,Table5[[#This Row],[End]],Table5[[#This Row],[EndN]])</f>
        <v>53022</v>
      </c>
      <c r="M52" t="b">
        <f>Table5[[#This Row],[Merged.Start]]=L51+1</f>
        <v>1</v>
      </c>
      <c r="O52">
        <f>Table5[[#This Row],[Section]]</f>
        <v>51</v>
      </c>
      <c r="P52">
        <f>Table5[[#This Row],[Canon]]</f>
        <v>4</v>
      </c>
      <c r="Q52" s="1" t="str">
        <f>Table5[[#This Row],[Reference]]</f>
        <v>6.15B-21</v>
      </c>
      <c r="R52" s="3" t="str">
        <f>Table5[[#This Row],[StartR]]</f>
        <v>JHN 6:15</v>
      </c>
      <c r="S52" s="3" t="str">
        <f>Table5[[#This Row],[EndR]]</f>
        <v>JHN 6:21</v>
      </c>
      <c r="T52">
        <f>Table5[[#This Row],[Merged.Start]]</f>
        <v>52929</v>
      </c>
      <c r="U52">
        <f>Table5[[#This Row],[Merged.End]]</f>
        <v>53022</v>
      </c>
    </row>
    <row r="53" spans="1:21" x14ac:dyDescent="0.25">
      <c r="A53">
        <v>52</v>
      </c>
      <c r="B53">
        <v>10</v>
      </c>
      <c r="C53" t="s">
        <v>2146</v>
      </c>
      <c r="D53" t="s">
        <v>2147</v>
      </c>
      <c r="E53" t="s">
        <v>2148</v>
      </c>
      <c r="F53">
        <v>53023</v>
      </c>
      <c r="G53">
        <v>53194</v>
      </c>
      <c r="H53">
        <v>0</v>
      </c>
      <c r="K53">
        <f>IF(Table5[[#This Row],[NeedsAttention]]=1,Table5[[#This Row],[Start]],Table5[[#This Row],[StartN]])</f>
        <v>53023</v>
      </c>
      <c r="L53">
        <f>IF(Table5[[#This Row],[NeedsAttention]]=1,Table5[[#This Row],[End]],Table5[[#This Row],[EndN]])</f>
        <v>53194</v>
      </c>
      <c r="M53" t="b">
        <f>Table5[[#This Row],[Merged.Start]]=L52+1</f>
        <v>1</v>
      </c>
      <c r="O53">
        <f>Table5[[#This Row],[Section]]</f>
        <v>52</v>
      </c>
      <c r="P53">
        <f>Table5[[#This Row],[Canon]]</f>
        <v>10</v>
      </c>
      <c r="Q53" s="1" t="str">
        <f>Table5[[#This Row],[Reference]]</f>
        <v>6.22-29</v>
      </c>
      <c r="R53" s="3" t="str">
        <f>Table5[[#This Row],[StartR]]</f>
        <v>JHN 6:22</v>
      </c>
      <c r="S53" s="3" t="str">
        <f>Table5[[#This Row],[EndR]]</f>
        <v>JHN 6:29</v>
      </c>
      <c r="T53">
        <f>Table5[[#This Row],[Merged.Start]]</f>
        <v>53023</v>
      </c>
      <c r="U53">
        <f>Table5[[#This Row],[Merged.End]]</f>
        <v>53194</v>
      </c>
    </row>
    <row r="54" spans="1:21" x14ac:dyDescent="0.25">
      <c r="A54">
        <v>53</v>
      </c>
      <c r="B54">
        <v>4</v>
      </c>
      <c r="C54">
        <v>6.3</v>
      </c>
      <c r="D54" t="s">
        <v>2544</v>
      </c>
      <c r="E54" t="s">
        <v>2544</v>
      </c>
      <c r="F54">
        <v>53195</v>
      </c>
      <c r="G54">
        <v>53209</v>
      </c>
      <c r="H54">
        <v>0</v>
      </c>
      <c r="K54">
        <f>IF(Table5[[#This Row],[NeedsAttention]]=1,Table5[[#This Row],[Start]],Table5[[#This Row],[StartN]])</f>
        <v>53195</v>
      </c>
      <c r="L54">
        <f>IF(Table5[[#This Row],[NeedsAttention]]=1,Table5[[#This Row],[End]],Table5[[#This Row],[EndN]])</f>
        <v>53209</v>
      </c>
      <c r="M54" t="b">
        <f>Table5[[#This Row],[Merged.Start]]=L53+1</f>
        <v>1</v>
      </c>
      <c r="O54">
        <f>Table5[[#This Row],[Section]]</f>
        <v>53</v>
      </c>
      <c r="P54">
        <f>Table5[[#This Row],[Canon]]</f>
        <v>4</v>
      </c>
      <c r="Q54" s="1">
        <f>Table5[[#This Row],[Reference]]</f>
        <v>6.3</v>
      </c>
      <c r="R54" s="3" t="str">
        <f>Table5[[#This Row],[StartR]]</f>
        <v>JHN 6:30</v>
      </c>
      <c r="S54" s="3" t="str">
        <f>Table5[[#This Row],[EndR]]</f>
        <v>JHN 6:30</v>
      </c>
      <c r="T54">
        <f>Table5[[#This Row],[Merged.Start]]</f>
        <v>53195</v>
      </c>
      <c r="U54">
        <f>Table5[[#This Row],[Merged.End]]</f>
        <v>53209</v>
      </c>
    </row>
    <row r="55" spans="1:21" x14ac:dyDescent="0.25">
      <c r="A55">
        <v>54</v>
      </c>
      <c r="B55">
        <v>10</v>
      </c>
      <c r="C55" t="s">
        <v>2149</v>
      </c>
      <c r="D55" t="s">
        <v>2150</v>
      </c>
      <c r="E55" t="s">
        <v>2151</v>
      </c>
      <c r="F55">
        <v>53210</v>
      </c>
      <c r="G55">
        <v>53286</v>
      </c>
      <c r="H55">
        <v>0</v>
      </c>
      <c r="K55">
        <f>IF(Table5[[#This Row],[NeedsAttention]]=1,Table5[[#This Row],[Start]],Table5[[#This Row],[StartN]])</f>
        <v>53210</v>
      </c>
      <c r="L55">
        <f>IF(Table5[[#This Row],[NeedsAttention]]=1,Table5[[#This Row],[End]],Table5[[#This Row],[EndN]])</f>
        <v>53286</v>
      </c>
      <c r="M55" t="b">
        <f>Table5[[#This Row],[Merged.Start]]=L54+1</f>
        <v>1</v>
      </c>
      <c r="O55">
        <f>Table5[[#This Row],[Section]]</f>
        <v>54</v>
      </c>
      <c r="P55">
        <f>Table5[[#This Row],[Canon]]</f>
        <v>10</v>
      </c>
      <c r="Q55" s="1" t="str">
        <f>Table5[[#This Row],[Reference]]</f>
        <v>6.31-34</v>
      </c>
      <c r="R55" s="3" t="str">
        <f>Table5[[#This Row],[StartR]]</f>
        <v>JHN 6:31</v>
      </c>
      <c r="S55" s="3" t="str">
        <f>Table5[[#This Row],[EndR]]</f>
        <v>JHN 6:34</v>
      </c>
      <c r="T55">
        <f>Table5[[#This Row],[Merged.Start]]</f>
        <v>53210</v>
      </c>
      <c r="U55">
        <f>Table5[[#This Row],[Merged.End]]</f>
        <v>53286</v>
      </c>
    </row>
    <row r="56" spans="1:21" x14ac:dyDescent="0.25">
      <c r="A56">
        <v>55</v>
      </c>
      <c r="B56">
        <v>1</v>
      </c>
      <c r="C56" t="s">
        <v>2152</v>
      </c>
      <c r="D56" t="s">
        <v>2153</v>
      </c>
      <c r="E56" t="s">
        <v>2153</v>
      </c>
      <c r="F56">
        <v>53287</v>
      </c>
      <c r="G56">
        <v>53312</v>
      </c>
      <c r="H56">
        <v>1</v>
      </c>
      <c r="I56">
        <v>53287</v>
      </c>
      <c r="J56">
        <v>53296</v>
      </c>
      <c r="K56">
        <f>IF(Table5[[#This Row],[NeedsAttention]]=1,Table5[[#This Row],[Start]],Table5[[#This Row],[StartN]])</f>
        <v>53287</v>
      </c>
      <c r="L56">
        <f>IF(Table5[[#This Row],[NeedsAttention]]=1,Table5[[#This Row],[End]],Table5[[#This Row],[EndN]])</f>
        <v>53296</v>
      </c>
      <c r="M56" t="b">
        <f>Table5[[#This Row],[Merged.Start]]=L55+1</f>
        <v>1</v>
      </c>
      <c r="O56">
        <f>Table5[[#This Row],[Section]]</f>
        <v>55</v>
      </c>
      <c r="P56">
        <f>Table5[[#This Row],[Canon]]</f>
        <v>1</v>
      </c>
      <c r="Q56" s="1" t="str">
        <f>Table5[[#This Row],[Reference]]</f>
        <v>6.35A</v>
      </c>
      <c r="R56" s="3" t="str">
        <f>Table5[[#This Row],[StartR]]</f>
        <v>JHN 6:35</v>
      </c>
      <c r="S56" s="3" t="str">
        <f>Table5[[#This Row],[EndR]]</f>
        <v>JHN 6:35</v>
      </c>
      <c r="T56">
        <f>Table5[[#This Row],[Merged.Start]]</f>
        <v>53287</v>
      </c>
      <c r="U56">
        <f>Table5[[#This Row],[Merged.End]]</f>
        <v>53296</v>
      </c>
    </row>
    <row r="57" spans="1:21" x14ac:dyDescent="0.25">
      <c r="A57">
        <v>56</v>
      </c>
      <c r="B57">
        <v>10</v>
      </c>
      <c r="C57" t="s">
        <v>2154</v>
      </c>
      <c r="D57" t="s">
        <v>2153</v>
      </c>
      <c r="E57" t="s">
        <v>2155</v>
      </c>
      <c r="F57">
        <v>53287</v>
      </c>
      <c r="G57">
        <v>53340</v>
      </c>
      <c r="H57">
        <v>1</v>
      </c>
      <c r="I57">
        <v>53297</v>
      </c>
      <c r="J57">
        <v>53340</v>
      </c>
      <c r="K57">
        <f>IF(Table5[[#This Row],[NeedsAttention]]=1,Table5[[#This Row],[Start]],Table5[[#This Row],[StartN]])</f>
        <v>53297</v>
      </c>
      <c r="L57">
        <f>IF(Table5[[#This Row],[NeedsAttention]]=1,Table5[[#This Row],[End]],Table5[[#This Row],[EndN]])</f>
        <v>53340</v>
      </c>
      <c r="M57" t="b">
        <f>Table5[[#This Row],[Merged.Start]]=L56+1</f>
        <v>1</v>
      </c>
      <c r="O57">
        <f>Table5[[#This Row],[Section]]</f>
        <v>56</v>
      </c>
      <c r="P57">
        <f>Table5[[#This Row],[Canon]]</f>
        <v>10</v>
      </c>
      <c r="Q57" s="1" t="str">
        <f>Table5[[#This Row],[Reference]]</f>
        <v>6.35B-37</v>
      </c>
      <c r="R57" s="3" t="str">
        <f>Table5[[#This Row],[StartR]]</f>
        <v>JHN 6:35</v>
      </c>
      <c r="S57" s="3" t="str">
        <f>Table5[[#This Row],[EndR]]</f>
        <v>JHN 6:37</v>
      </c>
      <c r="T57">
        <f>Table5[[#This Row],[Merged.Start]]</f>
        <v>53297</v>
      </c>
      <c r="U57">
        <f>Table5[[#This Row],[Merged.End]]</f>
        <v>53340</v>
      </c>
    </row>
    <row r="58" spans="1:21" x14ac:dyDescent="0.25">
      <c r="A58">
        <v>57</v>
      </c>
      <c r="B58">
        <v>1</v>
      </c>
      <c r="C58">
        <v>6.38</v>
      </c>
      <c r="D58" t="s">
        <v>2156</v>
      </c>
      <c r="E58" t="s">
        <v>2156</v>
      </c>
      <c r="F58">
        <v>53341</v>
      </c>
      <c r="G58">
        <v>53358</v>
      </c>
      <c r="H58">
        <v>0</v>
      </c>
      <c r="K58">
        <f>IF(Table5[[#This Row],[NeedsAttention]]=1,Table5[[#This Row],[Start]],Table5[[#This Row],[StartN]])</f>
        <v>53341</v>
      </c>
      <c r="L58">
        <f>IF(Table5[[#This Row],[NeedsAttention]]=1,Table5[[#This Row],[End]],Table5[[#This Row],[EndN]])</f>
        <v>53358</v>
      </c>
      <c r="M58" t="b">
        <f>Table5[[#This Row],[Merged.Start]]=L57+1</f>
        <v>1</v>
      </c>
      <c r="O58">
        <f>Table5[[#This Row],[Section]]</f>
        <v>57</v>
      </c>
      <c r="P58">
        <f>Table5[[#This Row],[Canon]]</f>
        <v>1</v>
      </c>
      <c r="Q58" s="1">
        <f>Table5[[#This Row],[Reference]]</f>
        <v>6.38</v>
      </c>
      <c r="R58" s="3" t="str">
        <f>Table5[[#This Row],[StartR]]</f>
        <v>JHN 6:38</v>
      </c>
      <c r="S58" s="3" t="str">
        <f>Table5[[#This Row],[EndR]]</f>
        <v>JHN 6:38</v>
      </c>
      <c r="T58">
        <f>Table5[[#This Row],[Merged.Start]]</f>
        <v>53341</v>
      </c>
      <c r="U58">
        <f>Table5[[#This Row],[Merged.End]]</f>
        <v>53358</v>
      </c>
    </row>
    <row r="59" spans="1:21" x14ac:dyDescent="0.25">
      <c r="A59">
        <v>58</v>
      </c>
      <c r="B59">
        <v>10</v>
      </c>
      <c r="C59" t="s">
        <v>2157</v>
      </c>
      <c r="D59" t="s">
        <v>2158</v>
      </c>
      <c r="E59" t="s">
        <v>2159</v>
      </c>
      <c r="F59">
        <v>53359</v>
      </c>
      <c r="G59">
        <v>53409</v>
      </c>
      <c r="H59">
        <v>0</v>
      </c>
      <c r="K59">
        <f>IF(Table5[[#This Row],[NeedsAttention]]=1,Table5[[#This Row],[Start]],Table5[[#This Row],[StartN]])</f>
        <v>53359</v>
      </c>
      <c r="L59">
        <f>IF(Table5[[#This Row],[NeedsAttention]]=1,Table5[[#This Row],[End]],Table5[[#This Row],[EndN]])</f>
        <v>53409</v>
      </c>
      <c r="M59" t="b">
        <f>Table5[[#This Row],[Merged.Start]]=L58+1</f>
        <v>1</v>
      </c>
      <c r="O59">
        <f>Table5[[#This Row],[Section]]</f>
        <v>58</v>
      </c>
      <c r="P59">
        <f>Table5[[#This Row],[Canon]]</f>
        <v>10</v>
      </c>
      <c r="Q59" s="1" t="str">
        <f>Table5[[#This Row],[Reference]]</f>
        <v>6.39-40</v>
      </c>
      <c r="R59" s="3" t="str">
        <f>Table5[[#This Row],[StartR]]</f>
        <v>JHN 6:39</v>
      </c>
      <c r="S59" s="3" t="str">
        <f>Table5[[#This Row],[EndR]]</f>
        <v>JHN 6:40</v>
      </c>
      <c r="T59">
        <f>Table5[[#This Row],[Merged.Start]]</f>
        <v>53359</v>
      </c>
      <c r="U59">
        <f>Table5[[#This Row],[Merged.End]]</f>
        <v>53409</v>
      </c>
    </row>
    <row r="60" spans="1:21" x14ac:dyDescent="0.25">
      <c r="A60">
        <v>59</v>
      </c>
      <c r="B60">
        <v>1</v>
      </c>
      <c r="C60" t="s">
        <v>1435</v>
      </c>
      <c r="D60" t="s">
        <v>2160</v>
      </c>
      <c r="E60" t="s">
        <v>2161</v>
      </c>
      <c r="F60">
        <v>53410</v>
      </c>
      <c r="G60">
        <v>53451</v>
      </c>
      <c r="H60">
        <v>0</v>
      </c>
      <c r="K60">
        <f>IF(Table5[[#This Row],[NeedsAttention]]=1,Table5[[#This Row],[Start]],Table5[[#This Row],[StartN]])</f>
        <v>53410</v>
      </c>
      <c r="L60">
        <f>IF(Table5[[#This Row],[NeedsAttention]]=1,Table5[[#This Row],[End]],Table5[[#This Row],[EndN]])</f>
        <v>53451</v>
      </c>
      <c r="M60" t="b">
        <f>Table5[[#This Row],[Merged.Start]]=L59+1</f>
        <v>1</v>
      </c>
      <c r="O60">
        <f>Table5[[#This Row],[Section]]</f>
        <v>59</v>
      </c>
      <c r="P60">
        <f>Table5[[#This Row],[Canon]]</f>
        <v>1</v>
      </c>
      <c r="Q60" s="1" t="str">
        <f>Table5[[#This Row],[Reference]]</f>
        <v>6.41-42</v>
      </c>
      <c r="R60" s="3" t="str">
        <f>Table5[[#This Row],[StartR]]</f>
        <v>JHN 6:41</v>
      </c>
      <c r="S60" s="3" t="str">
        <f>Table5[[#This Row],[EndR]]</f>
        <v>JHN 6:42</v>
      </c>
      <c r="T60">
        <f>Table5[[#This Row],[Merged.Start]]</f>
        <v>53410</v>
      </c>
      <c r="U60">
        <f>Table5[[#This Row],[Merged.End]]</f>
        <v>53451</v>
      </c>
    </row>
    <row r="61" spans="1:21" x14ac:dyDescent="0.25">
      <c r="A61">
        <v>60</v>
      </c>
      <c r="B61">
        <v>10</v>
      </c>
      <c r="C61" t="s">
        <v>2162</v>
      </c>
      <c r="D61" t="s">
        <v>2163</v>
      </c>
      <c r="E61" t="s">
        <v>2164</v>
      </c>
      <c r="F61">
        <v>53452</v>
      </c>
      <c r="G61">
        <v>53502</v>
      </c>
      <c r="H61">
        <v>0</v>
      </c>
      <c r="K61">
        <f>IF(Table5[[#This Row],[NeedsAttention]]=1,Table5[[#This Row],[Start]],Table5[[#This Row],[StartN]])</f>
        <v>53452</v>
      </c>
      <c r="L61">
        <f>IF(Table5[[#This Row],[NeedsAttention]]=1,Table5[[#This Row],[End]],Table5[[#This Row],[EndN]])</f>
        <v>53502</v>
      </c>
      <c r="M61" t="b">
        <f>Table5[[#This Row],[Merged.Start]]=L60+1</f>
        <v>1</v>
      </c>
      <c r="O61">
        <f>Table5[[#This Row],[Section]]</f>
        <v>60</v>
      </c>
      <c r="P61">
        <f>Table5[[#This Row],[Canon]]</f>
        <v>10</v>
      </c>
      <c r="Q61" s="1" t="str">
        <f>Table5[[#This Row],[Reference]]</f>
        <v>6.43-45</v>
      </c>
      <c r="R61" s="3" t="str">
        <f>Table5[[#This Row],[StartR]]</f>
        <v>JHN 6:43</v>
      </c>
      <c r="S61" s="3" t="str">
        <f>Table5[[#This Row],[EndR]]</f>
        <v>JHN 6:45</v>
      </c>
      <c r="T61">
        <f>Table5[[#This Row],[Merged.Start]]</f>
        <v>53452</v>
      </c>
      <c r="U61">
        <f>Table5[[#This Row],[Merged.End]]</f>
        <v>53502</v>
      </c>
    </row>
    <row r="62" spans="1:21" x14ac:dyDescent="0.25">
      <c r="A62">
        <v>61</v>
      </c>
      <c r="B62">
        <v>3</v>
      </c>
      <c r="C62">
        <v>6.46</v>
      </c>
      <c r="D62" t="s">
        <v>2165</v>
      </c>
      <c r="E62" t="s">
        <v>2165</v>
      </c>
      <c r="F62">
        <v>53503</v>
      </c>
      <c r="G62">
        <v>53519</v>
      </c>
      <c r="H62">
        <v>0</v>
      </c>
      <c r="K62">
        <f>IF(Table5[[#This Row],[NeedsAttention]]=1,Table5[[#This Row],[Start]],Table5[[#This Row],[StartN]])</f>
        <v>53503</v>
      </c>
      <c r="L62">
        <f>IF(Table5[[#This Row],[NeedsAttention]]=1,Table5[[#This Row],[End]],Table5[[#This Row],[EndN]])</f>
        <v>53519</v>
      </c>
      <c r="M62" t="b">
        <f>Table5[[#This Row],[Merged.Start]]=L61+1</f>
        <v>1</v>
      </c>
      <c r="O62">
        <f>Table5[[#This Row],[Section]]</f>
        <v>61</v>
      </c>
      <c r="P62">
        <f>Table5[[#This Row],[Canon]]</f>
        <v>3</v>
      </c>
      <c r="Q62" s="1">
        <f>Table5[[#This Row],[Reference]]</f>
        <v>6.46</v>
      </c>
      <c r="R62" s="3" t="str">
        <f>Table5[[#This Row],[StartR]]</f>
        <v>JHN 6:46</v>
      </c>
      <c r="S62" s="3" t="str">
        <f>Table5[[#This Row],[EndR]]</f>
        <v>JHN 6:46</v>
      </c>
      <c r="T62">
        <f>Table5[[#This Row],[Merged.Start]]</f>
        <v>53503</v>
      </c>
      <c r="U62">
        <f>Table5[[#This Row],[Merged.End]]</f>
        <v>53519</v>
      </c>
    </row>
    <row r="63" spans="1:21" x14ac:dyDescent="0.25">
      <c r="A63">
        <v>62</v>
      </c>
      <c r="B63">
        <v>10</v>
      </c>
      <c r="C63">
        <v>6.47</v>
      </c>
      <c r="D63" t="s">
        <v>2166</v>
      </c>
      <c r="E63" t="s">
        <v>2166</v>
      </c>
      <c r="F63">
        <v>53520</v>
      </c>
      <c r="G63">
        <v>53528</v>
      </c>
      <c r="H63">
        <v>0</v>
      </c>
      <c r="K63">
        <f>IF(Table5[[#This Row],[NeedsAttention]]=1,Table5[[#This Row],[Start]],Table5[[#This Row],[StartN]])</f>
        <v>53520</v>
      </c>
      <c r="L63">
        <f>IF(Table5[[#This Row],[NeedsAttention]]=1,Table5[[#This Row],[End]],Table5[[#This Row],[EndN]])</f>
        <v>53528</v>
      </c>
      <c r="M63" t="b">
        <f>Table5[[#This Row],[Merged.Start]]=L62+1</f>
        <v>1</v>
      </c>
      <c r="O63">
        <f>Table5[[#This Row],[Section]]</f>
        <v>62</v>
      </c>
      <c r="P63">
        <f>Table5[[#This Row],[Canon]]</f>
        <v>10</v>
      </c>
      <c r="Q63" s="1">
        <f>Table5[[#This Row],[Reference]]</f>
        <v>6.47</v>
      </c>
      <c r="R63" s="3" t="str">
        <f>Table5[[#This Row],[StartR]]</f>
        <v>JHN 6:47</v>
      </c>
      <c r="S63" s="3" t="str">
        <f>Table5[[#This Row],[EndR]]</f>
        <v>JHN 6:47</v>
      </c>
      <c r="T63">
        <f>Table5[[#This Row],[Merged.Start]]</f>
        <v>53520</v>
      </c>
      <c r="U63">
        <f>Table5[[#This Row],[Merged.End]]</f>
        <v>53528</v>
      </c>
    </row>
    <row r="64" spans="1:21" x14ac:dyDescent="0.25">
      <c r="A64">
        <v>63</v>
      </c>
      <c r="B64">
        <v>1</v>
      </c>
      <c r="C64">
        <v>6.48</v>
      </c>
      <c r="D64" t="s">
        <v>2167</v>
      </c>
      <c r="E64" t="s">
        <v>2167</v>
      </c>
      <c r="F64">
        <v>53529</v>
      </c>
      <c r="G64">
        <v>53534</v>
      </c>
      <c r="H64">
        <v>0</v>
      </c>
      <c r="K64">
        <f>IF(Table5[[#This Row],[NeedsAttention]]=1,Table5[[#This Row],[Start]],Table5[[#This Row],[StartN]])</f>
        <v>53529</v>
      </c>
      <c r="L64">
        <f>IF(Table5[[#This Row],[NeedsAttention]]=1,Table5[[#This Row],[End]],Table5[[#This Row],[EndN]])</f>
        <v>53534</v>
      </c>
      <c r="M64" t="b">
        <f>Table5[[#This Row],[Merged.Start]]=L63+1</f>
        <v>1</v>
      </c>
      <c r="O64">
        <f>Table5[[#This Row],[Section]]</f>
        <v>63</v>
      </c>
      <c r="P64">
        <f>Table5[[#This Row],[Canon]]</f>
        <v>1</v>
      </c>
      <c r="Q64" s="1">
        <f>Table5[[#This Row],[Reference]]</f>
        <v>6.48</v>
      </c>
      <c r="R64" s="3" t="str">
        <f>Table5[[#This Row],[StartR]]</f>
        <v>JHN 6:48</v>
      </c>
      <c r="S64" s="3" t="str">
        <f>Table5[[#This Row],[EndR]]</f>
        <v>JHN 6:48</v>
      </c>
      <c r="T64">
        <f>Table5[[#This Row],[Merged.Start]]</f>
        <v>53529</v>
      </c>
      <c r="U64">
        <f>Table5[[#This Row],[Merged.End]]</f>
        <v>53534</v>
      </c>
    </row>
    <row r="65" spans="1:21" x14ac:dyDescent="0.25">
      <c r="A65">
        <v>64</v>
      </c>
      <c r="B65">
        <v>10</v>
      </c>
      <c r="C65" t="s">
        <v>2168</v>
      </c>
      <c r="D65" t="s">
        <v>2169</v>
      </c>
      <c r="E65" t="s">
        <v>2170</v>
      </c>
      <c r="F65">
        <v>53535</v>
      </c>
      <c r="G65">
        <v>53562</v>
      </c>
      <c r="H65">
        <v>0</v>
      </c>
      <c r="K65">
        <f>IF(Table5[[#This Row],[NeedsAttention]]=1,Table5[[#This Row],[Start]],Table5[[#This Row],[StartN]])</f>
        <v>53535</v>
      </c>
      <c r="L65">
        <f>IF(Table5[[#This Row],[NeedsAttention]]=1,Table5[[#This Row],[End]],Table5[[#This Row],[EndN]])</f>
        <v>53562</v>
      </c>
      <c r="M65" t="b">
        <f>Table5[[#This Row],[Merged.Start]]=L64+1</f>
        <v>1</v>
      </c>
      <c r="O65">
        <f>Table5[[#This Row],[Section]]</f>
        <v>64</v>
      </c>
      <c r="P65">
        <f>Table5[[#This Row],[Canon]]</f>
        <v>10</v>
      </c>
      <c r="Q65" s="1" t="str">
        <f>Table5[[#This Row],[Reference]]</f>
        <v>6.49-50</v>
      </c>
      <c r="R65" s="3" t="str">
        <f>Table5[[#This Row],[StartR]]</f>
        <v>JHN 6:49</v>
      </c>
      <c r="S65" s="3" t="str">
        <f>Table5[[#This Row],[EndR]]</f>
        <v>JHN 6:50</v>
      </c>
      <c r="T65">
        <f>Table5[[#This Row],[Merged.Start]]</f>
        <v>53535</v>
      </c>
      <c r="U65">
        <f>Table5[[#This Row],[Merged.End]]</f>
        <v>53562</v>
      </c>
    </row>
    <row r="66" spans="1:21" x14ac:dyDescent="0.25">
      <c r="A66">
        <v>65</v>
      </c>
      <c r="B66">
        <v>1</v>
      </c>
      <c r="C66">
        <v>6.51</v>
      </c>
      <c r="D66" t="s">
        <v>2171</v>
      </c>
      <c r="E66" t="s">
        <v>2171</v>
      </c>
      <c r="F66">
        <v>53563</v>
      </c>
      <c r="G66">
        <v>53600</v>
      </c>
      <c r="H66">
        <v>0</v>
      </c>
      <c r="K66">
        <f>IF(Table5[[#This Row],[NeedsAttention]]=1,Table5[[#This Row],[Start]],Table5[[#This Row],[StartN]])</f>
        <v>53563</v>
      </c>
      <c r="L66">
        <f>IF(Table5[[#This Row],[NeedsAttention]]=1,Table5[[#This Row],[End]],Table5[[#This Row],[EndN]])</f>
        <v>53600</v>
      </c>
      <c r="M66" t="b">
        <f>Table5[[#This Row],[Merged.Start]]=L65+1</f>
        <v>1</v>
      </c>
      <c r="O66">
        <f>Table5[[#This Row],[Section]]</f>
        <v>65</v>
      </c>
      <c r="P66">
        <f>Table5[[#This Row],[Canon]]</f>
        <v>1</v>
      </c>
      <c r="Q66" s="1">
        <f>Table5[[#This Row],[Reference]]</f>
        <v>6.51</v>
      </c>
      <c r="R66" s="3" t="str">
        <f>Table5[[#This Row],[StartR]]</f>
        <v>JHN 6:51</v>
      </c>
      <c r="S66" s="3" t="str">
        <f>Table5[[#This Row],[EndR]]</f>
        <v>JHN 6:51</v>
      </c>
      <c r="T66">
        <f>Table5[[#This Row],[Merged.Start]]</f>
        <v>53563</v>
      </c>
      <c r="U66">
        <f>Table5[[#This Row],[Merged.End]]</f>
        <v>53600</v>
      </c>
    </row>
    <row r="67" spans="1:21" x14ac:dyDescent="0.25">
      <c r="A67">
        <v>66</v>
      </c>
      <c r="B67">
        <v>10</v>
      </c>
      <c r="C67" t="s">
        <v>2172</v>
      </c>
      <c r="D67" t="s">
        <v>2173</v>
      </c>
      <c r="E67" t="s">
        <v>2174</v>
      </c>
      <c r="F67">
        <v>53601</v>
      </c>
      <c r="G67">
        <v>53663</v>
      </c>
      <c r="H67">
        <v>0</v>
      </c>
      <c r="K67">
        <f>IF(Table5[[#This Row],[NeedsAttention]]=1,Table5[[#This Row],[Start]],Table5[[#This Row],[StartN]])</f>
        <v>53601</v>
      </c>
      <c r="L67">
        <f>IF(Table5[[#This Row],[NeedsAttention]]=1,Table5[[#This Row],[End]],Table5[[#This Row],[EndN]])</f>
        <v>53663</v>
      </c>
      <c r="M67" t="b">
        <f>Table5[[#This Row],[Merged.Start]]=L66+1</f>
        <v>1</v>
      </c>
      <c r="O67">
        <f>Table5[[#This Row],[Section]]</f>
        <v>66</v>
      </c>
      <c r="P67">
        <f>Table5[[#This Row],[Canon]]</f>
        <v>10</v>
      </c>
      <c r="Q67" s="1" t="str">
        <f>Table5[[#This Row],[Reference]]</f>
        <v>6.52-54</v>
      </c>
      <c r="R67" s="3" t="str">
        <f>Table5[[#This Row],[StartR]]</f>
        <v>JHN 6:52</v>
      </c>
      <c r="S67" s="3" t="str">
        <f>Table5[[#This Row],[EndR]]</f>
        <v>JHN 6:54</v>
      </c>
      <c r="T67">
        <f>Table5[[#This Row],[Merged.Start]]</f>
        <v>53601</v>
      </c>
      <c r="U67">
        <f>Table5[[#This Row],[Merged.End]]</f>
        <v>53663</v>
      </c>
    </row>
    <row r="68" spans="1:21" x14ac:dyDescent="0.25">
      <c r="A68">
        <v>67</v>
      </c>
      <c r="B68">
        <v>1</v>
      </c>
      <c r="C68">
        <v>6.55</v>
      </c>
      <c r="D68" t="s">
        <v>2175</v>
      </c>
      <c r="E68" t="s">
        <v>2175</v>
      </c>
      <c r="F68">
        <v>53664</v>
      </c>
      <c r="G68">
        <v>53677</v>
      </c>
      <c r="H68">
        <v>0</v>
      </c>
      <c r="K68">
        <f>IF(Table5[[#This Row],[NeedsAttention]]=1,Table5[[#This Row],[Start]],Table5[[#This Row],[StartN]])</f>
        <v>53664</v>
      </c>
      <c r="L68">
        <f>IF(Table5[[#This Row],[NeedsAttention]]=1,Table5[[#This Row],[End]],Table5[[#This Row],[EndN]])</f>
        <v>53677</v>
      </c>
      <c r="M68" t="b">
        <f>Table5[[#This Row],[Merged.Start]]=L67+1</f>
        <v>1</v>
      </c>
      <c r="O68">
        <f>Table5[[#This Row],[Section]]</f>
        <v>67</v>
      </c>
      <c r="P68">
        <f>Table5[[#This Row],[Canon]]</f>
        <v>1</v>
      </c>
      <c r="Q68" s="1">
        <f>Table5[[#This Row],[Reference]]</f>
        <v>6.55</v>
      </c>
      <c r="R68" s="3" t="str">
        <f>Table5[[#This Row],[StartR]]</f>
        <v>JHN 6:55</v>
      </c>
      <c r="S68" s="3" t="str">
        <f>Table5[[#This Row],[EndR]]</f>
        <v>JHN 6:55</v>
      </c>
      <c r="T68">
        <f>Table5[[#This Row],[Merged.Start]]</f>
        <v>53664</v>
      </c>
      <c r="U68">
        <f>Table5[[#This Row],[Merged.End]]</f>
        <v>53677</v>
      </c>
    </row>
    <row r="69" spans="1:21" x14ac:dyDescent="0.25">
      <c r="A69">
        <v>68</v>
      </c>
      <c r="B69">
        <v>10</v>
      </c>
      <c r="C69" t="s">
        <v>2176</v>
      </c>
      <c r="D69" t="s">
        <v>2177</v>
      </c>
      <c r="E69" t="s">
        <v>2178</v>
      </c>
      <c r="F69">
        <v>53678</v>
      </c>
      <c r="G69">
        <v>53778</v>
      </c>
      <c r="H69">
        <v>0</v>
      </c>
      <c r="K69">
        <f>IF(Table5[[#This Row],[NeedsAttention]]=1,Table5[[#This Row],[Start]],Table5[[#This Row],[StartN]])</f>
        <v>53678</v>
      </c>
      <c r="L69">
        <f>IF(Table5[[#This Row],[NeedsAttention]]=1,Table5[[#This Row],[End]],Table5[[#This Row],[EndN]])</f>
        <v>53778</v>
      </c>
      <c r="M69" t="b">
        <f>Table5[[#This Row],[Merged.Start]]=L68+1</f>
        <v>1</v>
      </c>
      <c r="O69">
        <f>Table5[[#This Row],[Section]]</f>
        <v>68</v>
      </c>
      <c r="P69">
        <f>Table5[[#This Row],[Canon]]</f>
        <v>10</v>
      </c>
      <c r="Q69" s="1" t="str">
        <f>Table5[[#This Row],[Reference]]</f>
        <v>6.56-61</v>
      </c>
      <c r="R69" s="3" t="str">
        <f>Table5[[#This Row],[StartR]]</f>
        <v>JHN 6:56</v>
      </c>
      <c r="S69" s="3" t="str">
        <f>Table5[[#This Row],[EndR]]</f>
        <v>JHN 6:61</v>
      </c>
      <c r="T69">
        <f>Table5[[#This Row],[Merged.Start]]</f>
        <v>53678</v>
      </c>
      <c r="U69">
        <f>Table5[[#This Row],[Merged.End]]</f>
        <v>53778</v>
      </c>
    </row>
    <row r="70" spans="1:21" x14ac:dyDescent="0.25">
      <c r="A70">
        <v>69</v>
      </c>
      <c r="B70">
        <v>1</v>
      </c>
      <c r="C70">
        <v>6.62</v>
      </c>
      <c r="D70" t="s">
        <v>2179</v>
      </c>
      <c r="E70" t="s">
        <v>2179</v>
      </c>
      <c r="F70">
        <v>53779</v>
      </c>
      <c r="G70">
        <v>53790</v>
      </c>
      <c r="H70">
        <v>0</v>
      </c>
      <c r="K70">
        <f>IF(Table5[[#This Row],[NeedsAttention]]=1,Table5[[#This Row],[Start]],Table5[[#This Row],[StartN]])</f>
        <v>53779</v>
      </c>
      <c r="L70">
        <f>IF(Table5[[#This Row],[NeedsAttention]]=1,Table5[[#This Row],[End]],Table5[[#This Row],[EndN]])</f>
        <v>53790</v>
      </c>
      <c r="M70" t="b">
        <f>Table5[[#This Row],[Merged.Start]]=L69+1</f>
        <v>1</v>
      </c>
      <c r="O70">
        <f>Table5[[#This Row],[Section]]</f>
        <v>69</v>
      </c>
      <c r="P70">
        <f>Table5[[#This Row],[Canon]]</f>
        <v>1</v>
      </c>
      <c r="Q70" s="1">
        <f>Table5[[#This Row],[Reference]]</f>
        <v>6.62</v>
      </c>
      <c r="R70" s="3" t="str">
        <f>Table5[[#This Row],[StartR]]</f>
        <v>JHN 6:62</v>
      </c>
      <c r="S70" s="3" t="str">
        <f>Table5[[#This Row],[EndR]]</f>
        <v>JHN 6:62</v>
      </c>
      <c r="T70">
        <f>Table5[[#This Row],[Merged.Start]]</f>
        <v>53779</v>
      </c>
      <c r="U70">
        <f>Table5[[#This Row],[Merged.End]]</f>
        <v>53790</v>
      </c>
    </row>
    <row r="71" spans="1:21" x14ac:dyDescent="0.25">
      <c r="A71">
        <v>70</v>
      </c>
      <c r="B71">
        <v>4</v>
      </c>
      <c r="C71" t="s">
        <v>2180</v>
      </c>
      <c r="D71" t="s">
        <v>2181</v>
      </c>
      <c r="E71" t="s">
        <v>2181</v>
      </c>
      <c r="F71">
        <v>53791</v>
      </c>
      <c r="G71">
        <v>53811</v>
      </c>
      <c r="H71">
        <v>1</v>
      </c>
      <c r="I71">
        <v>53791</v>
      </c>
      <c r="J71">
        <v>53800</v>
      </c>
      <c r="K71">
        <f>IF(Table5[[#This Row],[NeedsAttention]]=1,Table5[[#This Row],[Start]],Table5[[#This Row],[StartN]])</f>
        <v>53791</v>
      </c>
      <c r="L71">
        <f>IF(Table5[[#This Row],[NeedsAttention]]=1,Table5[[#This Row],[End]],Table5[[#This Row],[EndN]])</f>
        <v>53800</v>
      </c>
      <c r="M71" t="b">
        <f>Table5[[#This Row],[Merged.Start]]=L70+1</f>
        <v>1</v>
      </c>
      <c r="O71">
        <f>Table5[[#This Row],[Section]]</f>
        <v>70</v>
      </c>
      <c r="P71">
        <f>Table5[[#This Row],[Canon]]</f>
        <v>4</v>
      </c>
      <c r="Q71" s="1" t="str">
        <f>Table5[[#This Row],[Reference]]</f>
        <v>6.63A</v>
      </c>
      <c r="R71" s="3" t="str">
        <f>Table5[[#This Row],[StartR]]</f>
        <v>JHN 6:63</v>
      </c>
      <c r="S71" s="3" t="str">
        <f>Table5[[#This Row],[EndR]]</f>
        <v>JHN 6:63</v>
      </c>
      <c r="T71">
        <f>Table5[[#This Row],[Merged.Start]]</f>
        <v>53791</v>
      </c>
      <c r="U71">
        <f>Table5[[#This Row],[Merged.End]]</f>
        <v>53800</v>
      </c>
    </row>
    <row r="72" spans="1:21" x14ac:dyDescent="0.25">
      <c r="A72">
        <v>71</v>
      </c>
      <c r="B72">
        <v>10</v>
      </c>
      <c r="C72" t="s">
        <v>2182</v>
      </c>
      <c r="D72" t="s">
        <v>2181</v>
      </c>
      <c r="E72" t="s">
        <v>2183</v>
      </c>
      <c r="F72">
        <v>53791</v>
      </c>
      <c r="G72">
        <v>53836</v>
      </c>
      <c r="H72">
        <v>1</v>
      </c>
      <c r="I72">
        <v>53801</v>
      </c>
      <c r="J72">
        <v>53819</v>
      </c>
      <c r="K72">
        <f>IF(Table5[[#This Row],[NeedsAttention]]=1,Table5[[#This Row],[Start]],Table5[[#This Row],[StartN]])</f>
        <v>53801</v>
      </c>
      <c r="L72">
        <f>IF(Table5[[#This Row],[NeedsAttention]]=1,Table5[[#This Row],[End]],Table5[[#This Row],[EndN]])</f>
        <v>53819</v>
      </c>
      <c r="M72" t="b">
        <f>Table5[[#This Row],[Merged.Start]]=L71+1</f>
        <v>1</v>
      </c>
      <c r="O72">
        <f>Table5[[#This Row],[Section]]</f>
        <v>71</v>
      </c>
      <c r="P72">
        <f>Table5[[#This Row],[Canon]]</f>
        <v>10</v>
      </c>
      <c r="Q72" s="1" t="str">
        <f>Table5[[#This Row],[Reference]]</f>
        <v>6.63B-64A</v>
      </c>
      <c r="R72" s="3" t="str">
        <f>Table5[[#This Row],[StartR]]</f>
        <v>JHN 6:63</v>
      </c>
      <c r="S72" s="3" t="str">
        <f>Table5[[#This Row],[EndR]]</f>
        <v>JHN 6:64</v>
      </c>
      <c r="T72">
        <f>Table5[[#This Row],[Merged.Start]]</f>
        <v>53801</v>
      </c>
      <c r="U72">
        <f>Table5[[#This Row],[Merged.End]]</f>
        <v>53819</v>
      </c>
    </row>
    <row r="73" spans="1:21" x14ac:dyDescent="0.25">
      <c r="A73">
        <v>72</v>
      </c>
      <c r="B73">
        <v>4</v>
      </c>
      <c r="C73" t="s">
        <v>2184</v>
      </c>
      <c r="D73" t="s">
        <v>2183</v>
      </c>
      <c r="E73" t="s">
        <v>2183</v>
      </c>
      <c r="F73">
        <v>53812</v>
      </c>
      <c r="G73">
        <v>53836</v>
      </c>
      <c r="H73">
        <v>1</v>
      </c>
      <c r="I73">
        <v>53820</v>
      </c>
      <c r="J73">
        <v>53836</v>
      </c>
      <c r="K73">
        <f>IF(Table5[[#This Row],[NeedsAttention]]=1,Table5[[#This Row],[Start]],Table5[[#This Row],[StartN]])</f>
        <v>53820</v>
      </c>
      <c r="L73">
        <f>IF(Table5[[#This Row],[NeedsAttention]]=1,Table5[[#This Row],[End]],Table5[[#This Row],[EndN]])</f>
        <v>53836</v>
      </c>
      <c r="M73" t="b">
        <f>Table5[[#This Row],[Merged.Start]]=L72+1</f>
        <v>1</v>
      </c>
      <c r="O73">
        <f>Table5[[#This Row],[Section]]</f>
        <v>72</v>
      </c>
      <c r="P73">
        <f>Table5[[#This Row],[Canon]]</f>
        <v>4</v>
      </c>
      <c r="Q73" s="1" t="str">
        <f>Table5[[#This Row],[Reference]]</f>
        <v>6.64B</v>
      </c>
      <c r="R73" s="3" t="str">
        <f>Table5[[#This Row],[StartR]]</f>
        <v>JHN 6:64</v>
      </c>
      <c r="S73" s="3" t="str">
        <f>Table5[[#This Row],[EndR]]</f>
        <v>JHN 6:64</v>
      </c>
      <c r="T73">
        <f>Table5[[#This Row],[Merged.Start]]</f>
        <v>53820</v>
      </c>
      <c r="U73">
        <f>Table5[[#This Row],[Merged.End]]</f>
        <v>53836</v>
      </c>
    </row>
    <row r="74" spans="1:21" x14ac:dyDescent="0.25">
      <c r="A74">
        <v>73</v>
      </c>
      <c r="B74">
        <v>10</v>
      </c>
      <c r="C74" t="s">
        <v>2185</v>
      </c>
      <c r="D74" t="s">
        <v>2186</v>
      </c>
      <c r="E74" t="s">
        <v>2187</v>
      </c>
      <c r="F74">
        <v>53837</v>
      </c>
      <c r="G74">
        <v>53883</v>
      </c>
      <c r="H74">
        <v>0</v>
      </c>
      <c r="K74">
        <f>IF(Table5[[#This Row],[NeedsAttention]]=1,Table5[[#This Row],[Start]],Table5[[#This Row],[StartN]])</f>
        <v>53837</v>
      </c>
      <c r="L74">
        <f>IF(Table5[[#This Row],[NeedsAttention]]=1,Table5[[#This Row],[End]],Table5[[#This Row],[EndN]])</f>
        <v>53883</v>
      </c>
      <c r="M74" t="b">
        <f>Table5[[#This Row],[Merged.Start]]=L73+1</f>
        <v>1</v>
      </c>
      <c r="O74">
        <f>Table5[[#This Row],[Section]]</f>
        <v>73</v>
      </c>
      <c r="P74">
        <f>Table5[[#This Row],[Canon]]</f>
        <v>10</v>
      </c>
      <c r="Q74" s="1" t="str">
        <f>Table5[[#This Row],[Reference]]</f>
        <v>6.65-67</v>
      </c>
      <c r="R74" s="3" t="str">
        <f>Table5[[#This Row],[StartR]]</f>
        <v>JHN 6:65</v>
      </c>
      <c r="S74" s="3" t="str">
        <f>Table5[[#This Row],[EndR]]</f>
        <v>JHN 6:67</v>
      </c>
      <c r="T74">
        <f>Table5[[#This Row],[Merged.Start]]</f>
        <v>53837</v>
      </c>
      <c r="U74">
        <f>Table5[[#This Row],[Merged.End]]</f>
        <v>53883</v>
      </c>
    </row>
    <row r="75" spans="1:21" x14ac:dyDescent="0.25">
      <c r="A75">
        <v>74</v>
      </c>
      <c r="B75">
        <v>1</v>
      </c>
      <c r="C75" t="s">
        <v>2188</v>
      </c>
      <c r="D75" t="s">
        <v>2189</v>
      </c>
      <c r="E75" t="s">
        <v>2190</v>
      </c>
      <c r="F75">
        <v>53884</v>
      </c>
      <c r="G75">
        <v>53907</v>
      </c>
      <c r="H75">
        <v>0</v>
      </c>
      <c r="K75">
        <f>IF(Table5[[#This Row],[NeedsAttention]]=1,Table5[[#This Row],[Start]],Table5[[#This Row],[StartN]])</f>
        <v>53884</v>
      </c>
      <c r="L75">
        <f>IF(Table5[[#This Row],[NeedsAttention]]=1,Table5[[#This Row],[End]],Table5[[#This Row],[EndN]])</f>
        <v>53907</v>
      </c>
      <c r="M75" t="b">
        <f>Table5[[#This Row],[Merged.Start]]=L74+1</f>
        <v>1</v>
      </c>
      <c r="O75">
        <f>Table5[[#This Row],[Section]]</f>
        <v>74</v>
      </c>
      <c r="P75">
        <f>Table5[[#This Row],[Canon]]</f>
        <v>1</v>
      </c>
      <c r="Q75" s="1" t="str">
        <f>Table5[[#This Row],[Reference]]</f>
        <v>6.68-69</v>
      </c>
      <c r="R75" s="3" t="str">
        <f>Table5[[#This Row],[StartR]]</f>
        <v>JHN 6:68</v>
      </c>
      <c r="S75" s="3" t="str">
        <f>Table5[[#This Row],[EndR]]</f>
        <v>JHN 6:69</v>
      </c>
      <c r="T75">
        <f>Table5[[#This Row],[Merged.Start]]</f>
        <v>53884</v>
      </c>
      <c r="U75">
        <f>Table5[[#This Row],[Merged.End]]</f>
        <v>53907</v>
      </c>
    </row>
    <row r="76" spans="1:21" x14ac:dyDescent="0.25">
      <c r="A76">
        <v>75</v>
      </c>
      <c r="B76">
        <v>10</v>
      </c>
      <c r="C76" t="s">
        <v>2191</v>
      </c>
      <c r="D76" t="s">
        <v>2192</v>
      </c>
      <c r="E76" t="s">
        <v>2193</v>
      </c>
      <c r="F76">
        <v>53908</v>
      </c>
      <c r="G76">
        <v>54372</v>
      </c>
      <c r="H76">
        <v>0</v>
      </c>
      <c r="K76">
        <f>IF(Table5[[#This Row],[NeedsAttention]]=1,Table5[[#This Row],[Start]],Table5[[#This Row],[StartN]])</f>
        <v>53908</v>
      </c>
      <c r="L76">
        <f>IF(Table5[[#This Row],[NeedsAttention]]=1,Table5[[#This Row],[End]],Table5[[#This Row],[EndN]])</f>
        <v>54372</v>
      </c>
      <c r="M76" t="b">
        <f>Table5[[#This Row],[Merged.Start]]=L75+1</f>
        <v>1</v>
      </c>
      <c r="O76">
        <f>Table5[[#This Row],[Section]]</f>
        <v>75</v>
      </c>
      <c r="P76">
        <f>Table5[[#This Row],[Canon]]</f>
        <v>10</v>
      </c>
      <c r="Q76" s="1" t="str">
        <f>Table5[[#This Row],[Reference]]</f>
        <v>6.70-7.27</v>
      </c>
      <c r="R76" s="3" t="str">
        <f>Table5[[#This Row],[StartR]]</f>
        <v>JHN 6:70</v>
      </c>
      <c r="S76" s="3" t="str">
        <f>Table5[[#This Row],[EndR]]</f>
        <v>JHN 7:27</v>
      </c>
      <c r="T76">
        <f>Table5[[#This Row],[Merged.Start]]</f>
        <v>53908</v>
      </c>
      <c r="U76">
        <f>Table5[[#This Row],[Merged.End]]</f>
        <v>54372</v>
      </c>
    </row>
    <row r="77" spans="1:21" x14ac:dyDescent="0.25">
      <c r="A77">
        <v>76</v>
      </c>
      <c r="B77">
        <v>3</v>
      </c>
      <c r="C77" t="s">
        <v>147</v>
      </c>
      <c r="D77" t="s">
        <v>2194</v>
      </c>
      <c r="E77" t="s">
        <v>2195</v>
      </c>
      <c r="F77">
        <v>54373</v>
      </c>
      <c r="G77">
        <v>54413</v>
      </c>
      <c r="H77">
        <v>0</v>
      </c>
      <c r="K77">
        <f>IF(Table5[[#This Row],[NeedsAttention]]=1,Table5[[#This Row],[Start]],Table5[[#This Row],[StartN]])</f>
        <v>54373</v>
      </c>
      <c r="L77">
        <f>IF(Table5[[#This Row],[NeedsAttention]]=1,Table5[[#This Row],[End]],Table5[[#This Row],[EndN]])</f>
        <v>54413</v>
      </c>
      <c r="M77" t="b">
        <f>Table5[[#This Row],[Merged.Start]]=L76+1</f>
        <v>1</v>
      </c>
      <c r="O77">
        <f>Table5[[#This Row],[Section]]</f>
        <v>76</v>
      </c>
      <c r="P77">
        <f>Table5[[#This Row],[Canon]]</f>
        <v>3</v>
      </c>
      <c r="Q77" s="1" t="str">
        <f>Table5[[#This Row],[Reference]]</f>
        <v>7.28-29</v>
      </c>
      <c r="R77" s="3" t="str">
        <f>Table5[[#This Row],[StartR]]</f>
        <v>JHN 7:28</v>
      </c>
      <c r="S77" s="3" t="str">
        <f>Table5[[#This Row],[EndR]]</f>
        <v>JHN 7:29</v>
      </c>
      <c r="T77">
        <f>Table5[[#This Row],[Merged.Start]]</f>
        <v>54373</v>
      </c>
      <c r="U77">
        <f>Table5[[#This Row],[Merged.End]]</f>
        <v>54413</v>
      </c>
    </row>
    <row r="78" spans="1:21" x14ac:dyDescent="0.25">
      <c r="A78">
        <v>77</v>
      </c>
      <c r="B78">
        <v>1</v>
      </c>
      <c r="C78">
        <v>7.3</v>
      </c>
      <c r="D78" t="s">
        <v>2545</v>
      </c>
      <c r="E78" t="s">
        <v>2545</v>
      </c>
      <c r="F78">
        <v>54414</v>
      </c>
      <c r="G78">
        <v>54430</v>
      </c>
      <c r="H78">
        <v>0</v>
      </c>
      <c r="K78">
        <f>IF(Table5[[#This Row],[NeedsAttention]]=1,Table5[[#This Row],[Start]],Table5[[#This Row],[StartN]])</f>
        <v>54414</v>
      </c>
      <c r="L78">
        <f>IF(Table5[[#This Row],[NeedsAttention]]=1,Table5[[#This Row],[End]],Table5[[#This Row],[EndN]])</f>
        <v>54430</v>
      </c>
      <c r="M78" t="b">
        <f>Table5[[#This Row],[Merged.Start]]=L77+1</f>
        <v>1</v>
      </c>
      <c r="O78">
        <f>Table5[[#This Row],[Section]]</f>
        <v>77</v>
      </c>
      <c r="P78">
        <f>Table5[[#This Row],[Canon]]</f>
        <v>1</v>
      </c>
      <c r="Q78" s="1">
        <f>Table5[[#This Row],[Reference]]</f>
        <v>7.3</v>
      </c>
      <c r="R78" s="3" t="str">
        <f>Table5[[#This Row],[StartR]]</f>
        <v>JHN 7:30</v>
      </c>
      <c r="S78" s="3" t="str">
        <f>Table5[[#This Row],[EndR]]</f>
        <v>JHN 7:30</v>
      </c>
      <c r="T78">
        <f>Table5[[#This Row],[Merged.Start]]</f>
        <v>54414</v>
      </c>
      <c r="U78">
        <f>Table5[[#This Row],[Merged.End]]</f>
        <v>54430</v>
      </c>
    </row>
    <row r="79" spans="1:21" x14ac:dyDescent="0.25">
      <c r="A79">
        <v>78</v>
      </c>
      <c r="B79">
        <v>10</v>
      </c>
      <c r="C79" t="s">
        <v>2196</v>
      </c>
      <c r="D79" t="s">
        <v>2197</v>
      </c>
      <c r="E79" t="s">
        <v>2198</v>
      </c>
      <c r="F79">
        <v>54431</v>
      </c>
      <c r="G79">
        <v>54471</v>
      </c>
      <c r="H79">
        <v>1</v>
      </c>
      <c r="I79">
        <v>54431</v>
      </c>
      <c r="J79">
        <v>54460</v>
      </c>
      <c r="K79">
        <f>IF(Table5[[#This Row],[NeedsAttention]]=1,Table5[[#This Row],[Start]],Table5[[#This Row],[StartN]])</f>
        <v>54431</v>
      </c>
      <c r="L79">
        <f>IF(Table5[[#This Row],[NeedsAttention]]=1,Table5[[#This Row],[End]],Table5[[#This Row],[EndN]])</f>
        <v>54460</v>
      </c>
      <c r="M79" t="b">
        <f>Table5[[#This Row],[Merged.Start]]=L78+1</f>
        <v>1</v>
      </c>
      <c r="O79">
        <f>Table5[[#This Row],[Section]]</f>
        <v>78</v>
      </c>
      <c r="P79">
        <f>Table5[[#This Row],[Canon]]</f>
        <v>10</v>
      </c>
      <c r="Q79" s="1" t="str">
        <f>Table5[[#This Row],[Reference]]</f>
        <v>7.31-32A</v>
      </c>
      <c r="R79" s="3" t="str">
        <f>Table5[[#This Row],[StartR]]</f>
        <v>JHN 7:31</v>
      </c>
      <c r="S79" s="3" t="str">
        <f>Table5[[#This Row],[EndR]]</f>
        <v>JHN 7:32</v>
      </c>
      <c r="T79">
        <f>Table5[[#This Row],[Merged.Start]]</f>
        <v>54431</v>
      </c>
      <c r="U79">
        <f>Table5[[#This Row],[Merged.End]]</f>
        <v>54460</v>
      </c>
    </row>
    <row r="80" spans="1:21" x14ac:dyDescent="0.25">
      <c r="A80">
        <v>79</v>
      </c>
      <c r="B80">
        <v>1</v>
      </c>
      <c r="C80" t="s">
        <v>2199</v>
      </c>
      <c r="D80" t="s">
        <v>2198</v>
      </c>
      <c r="E80" t="s">
        <v>2198</v>
      </c>
      <c r="F80">
        <v>54452</v>
      </c>
      <c r="G80">
        <v>54471</v>
      </c>
      <c r="H80">
        <v>1</v>
      </c>
      <c r="I80">
        <v>54461</v>
      </c>
      <c r="J80">
        <v>54471</v>
      </c>
      <c r="K80">
        <f>IF(Table5[[#This Row],[NeedsAttention]]=1,Table5[[#This Row],[Start]],Table5[[#This Row],[StartN]])</f>
        <v>54461</v>
      </c>
      <c r="L80">
        <f>IF(Table5[[#This Row],[NeedsAttention]]=1,Table5[[#This Row],[End]],Table5[[#This Row],[EndN]])</f>
        <v>54471</v>
      </c>
      <c r="M80" t="b">
        <f>Table5[[#This Row],[Merged.Start]]=L79+1</f>
        <v>1</v>
      </c>
      <c r="O80">
        <f>Table5[[#This Row],[Section]]</f>
        <v>79</v>
      </c>
      <c r="P80">
        <f>Table5[[#This Row],[Canon]]</f>
        <v>1</v>
      </c>
      <c r="Q80" s="1" t="str">
        <f>Table5[[#This Row],[Reference]]</f>
        <v>7.32B</v>
      </c>
      <c r="R80" s="3" t="str">
        <f>Table5[[#This Row],[StartR]]</f>
        <v>JHN 7:32</v>
      </c>
      <c r="S80" s="3" t="str">
        <f>Table5[[#This Row],[EndR]]</f>
        <v>JHN 7:32</v>
      </c>
      <c r="T80">
        <f>Table5[[#This Row],[Merged.Start]]</f>
        <v>54461</v>
      </c>
      <c r="U80">
        <f>Table5[[#This Row],[Merged.End]]</f>
        <v>54471</v>
      </c>
    </row>
    <row r="81" spans="1:21" x14ac:dyDescent="0.25">
      <c r="A81">
        <v>80</v>
      </c>
      <c r="B81">
        <v>10</v>
      </c>
      <c r="C81">
        <v>7.33</v>
      </c>
      <c r="D81" t="s">
        <v>2200</v>
      </c>
      <c r="E81" t="s">
        <v>2200</v>
      </c>
      <c r="F81">
        <v>54472</v>
      </c>
      <c r="G81">
        <v>54487</v>
      </c>
      <c r="H81">
        <v>0</v>
      </c>
      <c r="K81">
        <f>IF(Table5[[#This Row],[NeedsAttention]]=1,Table5[[#This Row],[Start]],Table5[[#This Row],[StartN]])</f>
        <v>54472</v>
      </c>
      <c r="L81">
        <f>IF(Table5[[#This Row],[NeedsAttention]]=1,Table5[[#This Row],[End]],Table5[[#This Row],[EndN]])</f>
        <v>54487</v>
      </c>
      <c r="M81" t="b">
        <f>Table5[[#This Row],[Merged.Start]]=L80+1</f>
        <v>1</v>
      </c>
      <c r="O81">
        <f>Table5[[#This Row],[Section]]</f>
        <v>80</v>
      </c>
      <c r="P81">
        <f>Table5[[#This Row],[Canon]]</f>
        <v>10</v>
      </c>
      <c r="Q81" s="1">
        <f>Table5[[#This Row],[Reference]]</f>
        <v>7.33</v>
      </c>
      <c r="R81" s="3" t="str">
        <f>Table5[[#This Row],[StartR]]</f>
        <v>JHN 7:33</v>
      </c>
      <c r="S81" s="3" t="str">
        <f>Table5[[#This Row],[EndR]]</f>
        <v>JHN 7:33</v>
      </c>
      <c r="T81">
        <f>Table5[[#This Row],[Merged.Start]]</f>
        <v>54472</v>
      </c>
      <c r="U81">
        <f>Table5[[#This Row],[Merged.End]]</f>
        <v>54487</v>
      </c>
    </row>
    <row r="82" spans="1:21" x14ac:dyDescent="0.25">
      <c r="A82">
        <v>81</v>
      </c>
      <c r="B82">
        <v>10</v>
      </c>
      <c r="C82" t="s">
        <v>2201</v>
      </c>
      <c r="D82" t="s">
        <v>2202</v>
      </c>
      <c r="E82" t="s">
        <v>2203</v>
      </c>
      <c r="F82">
        <v>54488</v>
      </c>
      <c r="G82">
        <v>54607</v>
      </c>
      <c r="H82">
        <v>0</v>
      </c>
      <c r="K82">
        <f>IF(Table5[[#This Row],[NeedsAttention]]=1,Table5[[#This Row],[Start]],Table5[[#This Row],[StartN]])</f>
        <v>54488</v>
      </c>
      <c r="L82">
        <f>IF(Table5[[#This Row],[NeedsAttention]]=1,Table5[[#This Row],[End]],Table5[[#This Row],[EndN]])</f>
        <v>54607</v>
      </c>
      <c r="M82" t="b">
        <f>Table5[[#This Row],[Merged.Start]]=L81+1</f>
        <v>1</v>
      </c>
      <c r="O82">
        <f>Table5[[#This Row],[Section]]</f>
        <v>81</v>
      </c>
      <c r="P82">
        <f>Table5[[#This Row],[Canon]]</f>
        <v>10</v>
      </c>
      <c r="Q82" s="1" t="str">
        <f>Table5[[#This Row],[Reference]]</f>
        <v>7.34-39</v>
      </c>
      <c r="R82" s="3" t="str">
        <f>Table5[[#This Row],[StartR]]</f>
        <v>JHN 7:34</v>
      </c>
      <c r="S82" s="3" t="str">
        <f>Table5[[#This Row],[EndR]]</f>
        <v>JHN 7:39</v>
      </c>
      <c r="T82">
        <f>Table5[[#This Row],[Merged.Start]]</f>
        <v>54488</v>
      </c>
      <c r="U82">
        <f>Table5[[#This Row],[Merged.End]]</f>
        <v>54607</v>
      </c>
    </row>
    <row r="83" spans="1:21" x14ac:dyDescent="0.25">
      <c r="A83">
        <v>82</v>
      </c>
      <c r="B83">
        <v>7</v>
      </c>
      <c r="C83" t="s">
        <v>2204</v>
      </c>
      <c r="D83" t="s">
        <v>2205</v>
      </c>
      <c r="E83" t="s">
        <v>2206</v>
      </c>
      <c r="F83">
        <v>54608</v>
      </c>
      <c r="G83">
        <v>54638</v>
      </c>
      <c r="H83">
        <v>1</v>
      </c>
      <c r="I83">
        <v>54608</v>
      </c>
      <c r="J83">
        <v>54627</v>
      </c>
      <c r="K83">
        <f>IF(Table5[[#This Row],[NeedsAttention]]=1,Table5[[#This Row],[Start]],Table5[[#This Row],[StartN]])</f>
        <v>54608</v>
      </c>
      <c r="L83">
        <f>IF(Table5[[#This Row],[NeedsAttention]]=1,Table5[[#This Row],[End]],Table5[[#This Row],[EndN]])</f>
        <v>54627</v>
      </c>
      <c r="M83" t="b">
        <f>Table5[[#This Row],[Merged.Start]]=L82+1</f>
        <v>1</v>
      </c>
      <c r="O83">
        <f>Table5[[#This Row],[Section]]</f>
        <v>82</v>
      </c>
      <c r="P83">
        <f>Table5[[#This Row],[Canon]]</f>
        <v>7</v>
      </c>
      <c r="Q83" s="1" t="str">
        <f>Table5[[#This Row],[Reference]]</f>
        <v>7.40-41A</v>
      </c>
      <c r="R83" s="3" t="str">
        <f>Table5[[#This Row],[StartR]]</f>
        <v>JHN 7:40</v>
      </c>
      <c r="S83" s="3" t="str">
        <f>Table5[[#This Row],[EndR]]</f>
        <v>JHN 7:41</v>
      </c>
      <c r="T83">
        <f>Table5[[#This Row],[Merged.Start]]</f>
        <v>54608</v>
      </c>
      <c r="U83">
        <f>Table5[[#This Row],[Merged.End]]</f>
        <v>54627</v>
      </c>
    </row>
    <row r="84" spans="1:21" x14ac:dyDescent="0.25">
      <c r="A84">
        <v>83</v>
      </c>
      <c r="B84">
        <v>7</v>
      </c>
      <c r="C84" t="s">
        <v>2207</v>
      </c>
      <c r="D84" t="s">
        <v>2206</v>
      </c>
      <c r="E84" t="s">
        <v>2208</v>
      </c>
      <c r="F84">
        <v>54622</v>
      </c>
      <c r="G84">
        <v>54658</v>
      </c>
      <c r="H84">
        <v>1</v>
      </c>
      <c r="I84">
        <v>54628</v>
      </c>
      <c r="J84">
        <v>54658</v>
      </c>
      <c r="K84">
        <f>IF(Table5[[#This Row],[NeedsAttention]]=1,Table5[[#This Row],[Start]],Table5[[#This Row],[StartN]])</f>
        <v>54628</v>
      </c>
      <c r="L84">
        <f>IF(Table5[[#This Row],[NeedsAttention]]=1,Table5[[#This Row],[End]],Table5[[#This Row],[EndN]])</f>
        <v>54658</v>
      </c>
      <c r="M84" t="b">
        <f>Table5[[#This Row],[Merged.Start]]=L83+1</f>
        <v>1</v>
      </c>
      <c r="O84">
        <f>Table5[[#This Row],[Section]]</f>
        <v>83</v>
      </c>
      <c r="P84">
        <f>Table5[[#This Row],[Canon]]</f>
        <v>7</v>
      </c>
      <c r="Q84" s="1" t="str">
        <f>Table5[[#This Row],[Reference]]</f>
        <v>7.41B-42</v>
      </c>
      <c r="R84" s="3" t="str">
        <f>Table5[[#This Row],[StartR]]</f>
        <v>JHN 7:41</v>
      </c>
      <c r="S84" s="3" t="str">
        <f>Table5[[#This Row],[EndR]]</f>
        <v>JHN 7:42</v>
      </c>
      <c r="T84">
        <f>Table5[[#This Row],[Merged.Start]]</f>
        <v>54628</v>
      </c>
      <c r="U84">
        <f>Table5[[#This Row],[Merged.End]]</f>
        <v>54658</v>
      </c>
    </row>
    <row r="85" spans="1:21" x14ac:dyDescent="0.25">
      <c r="A85">
        <v>84</v>
      </c>
      <c r="B85">
        <v>10</v>
      </c>
      <c r="C85">
        <v>7.43</v>
      </c>
      <c r="D85" t="s">
        <v>2209</v>
      </c>
      <c r="E85" t="s">
        <v>2209</v>
      </c>
      <c r="F85">
        <v>54659</v>
      </c>
      <c r="G85">
        <v>54666</v>
      </c>
      <c r="H85">
        <v>0</v>
      </c>
      <c r="K85">
        <f>IF(Table5[[#This Row],[NeedsAttention]]=1,Table5[[#This Row],[Start]],Table5[[#This Row],[StartN]])</f>
        <v>54659</v>
      </c>
      <c r="L85">
        <f>IF(Table5[[#This Row],[NeedsAttention]]=1,Table5[[#This Row],[End]],Table5[[#This Row],[EndN]])</f>
        <v>54666</v>
      </c>
      <c r="M85" t="b">
        <f>Table5[[#This Row],[Merged.Start]]=L84+1</f>
        <v>1</v>
      </c>
      <c r="O85">
        <f>Table5[[#This Row],[Section]]</f>
        <v>84</v>
      </c>
      <c r="P85">
        <f>Table5[[#This Row],[Canon]]</f>
        <v>10</v>
      </c>
      <c r="Q85" s="1">
        <f>Table5[[#This Row],[Reference]]</f>
        <v>7.43</v>
      </c>
      <c r="R85" s="3" t="str">
        <f>Table5[[#This Row],[StartR]]</f>
        <v>JHN 7:43</v>
      </c>
      <c r="S85" s="3" t="str">
        <f>Table5[[#This Row],[EndR]]</f>
        <v>JHN 7:43</v>
      </c>
      <c r="T85">
        <f>Table5[[#This Row],[Merged.Start]]</f>
        <v>54659</v>
      </c>
      <c r="U85">
        <f>Table5[[#This Row],[Merged.End]]</f>
        <v>54666</v>
      </c>
    </row>
    <row r="86" spans="1:21" x14ac:dyDescent="0.25">
      <c r="A86">
        <v>85</v>
      </c>
      <c r="B86">
        <v>1</v>
      </c>
      <c r="C86">
        <v>7.44</v>
      </c>
      <c r="D86" t="s">
        <v>2210</v>
      </c>
      <c r="E86" t="s">
        <v>2210</v>
      </c>
      <c r="F86">
        <v>54667</v>
      </c>
      <c r="G86">
        <v>54680</v>
      </c>
      <c r="H86">
        <v>0</v>
      </c>
      <c r="K86">
        <f>IF(Table5[[#This Row],[NeedsAttention]]=1,Table5[[#This Row],[Start]],Table5[[#This Row],[StartN]])</f>
        <v>54667</v>
      </c>
      <c r="L86">
        <f>IF(Table5[[#This Row],[NeedsAttention]]=1,Table5[[#This Row],[End]],Table5[[#This Row],[EndN]])</f>
        <v>54680</v>
      </c>
      <c r="M86" t="b">
        <f>Table5[[#This Row],[Merged.Start]]=L85+1</f>
        <v>1</v>
      </c>
      <c r="O86">
        <f>Table5[[#This Row],[Section]]</f>
        <v>85</v>
      </c>
      <c r="P86">
        <f>Table5[[#This Row],[Canon]]</f>
        <v>1</v>
      </c>
      <c r="Q86" s="1">
        <f>Table5[[#This Row],[Reference]]</f>
        <v>7.44</v>
      </c>
      <c r="R86" s="3" t="str">
        <f>Table5[[#This Row],[StartR]]</f>
        <v>JHN 7:44</v>
      </c>
      <c r="S86" s="3" t="str">
        <f>Table5[[#This Row],[EndR]]</f>
        <v>JHN 7:44</v>
      </c>
      <c r="T86">
        <f>Table5[[#This Row],[Merged.Start]]</f>
        <v>54667</v>
      </c>
      <c r="U86">
        <f>Table5[[#This Row],[Merged.End]]</f>
        <v>54680</v>
      </c>
    </row>
    <row r="87" spans="1:21" x14ac:dyDescent="0.25">
      <c r="A87">
        <v>86</v>
      </c>
      <c r="B87">
        <v>10</v>
      </c>
      <c r="C87" t="s">
        <v>2211</v>
      </c>
      <c r="D87" t="s">
        <v>2212</v>
      </c>
      <c r="E87" t="s">
        <v>2213</v>
      </c>
      <c r="F87">
        <v>54681</v>
      </c>
      <c r="G87">
        <v>54948</v>
      </c>
      <c r="H87">
        <v>1</v>
      </c>
      <c r="I87">
        <v>54681</v>
      </c>
      <c r="J87">
        <v>54930</v>
      </c>
      <c r="K87">
        <f>IF(Table5[[#This Row],[NeedsAttention]]=1,Table5[[#This Row],[Start]],Table5[[#This Row],[StartN]])</f>
        <v>54681</v>
      </c>
      <c r="L87">
        <f>IF(Table5[[#This Row],[NeedsAttention]]=1,Table5[[#This Row],[End]],Table5[[#This Row],[EndN]])</f>
        <v>54930</v>
      </c>
      <c r="M87" t="b">
        <f>Table5[[#This Row],[Merged.Start]]=L86+1</f>
        <v>1</v>
      </c>
      <c r="O87">
        <f>Table5[[#This Row],[Section]]</f>
        <v>86</v>
      </c>
      <c r="P87">
        <f>Table5[[#This Row],[Canon]]</f>
        <v>10</v>
      </c>
      <c r="Q87" s="1" t="str">
        <f>Table5[[#This Row],[Reference]]</f>
        <v>7.45-8.19A</v>
      </c>
      <c r="R87" s="3" t="str">
        <f>Table5[[#This Row],[StartR]]</f>
        <v>JHN 7:45</v>
      </c>
      <c r="S87" s="3" t="str">
        <f>Table5[[#This Row],[EndR]]</f>
        <v>JHN 8:19</v>
      </c>
      <c r="T87">
        <f>Table5[[#This Row],[Merged.Start]]</f>
        <v>54681</v>
      </c>
      <c r="U87">
        <f>Table5[[#This Row],[Merged.End]]</f>
        <v>54930</v>
      </c>
    </row>
    <row r="88" spans="1:21" x14ac:dyDescent="0.25">
      <c r="A88">
        <v>87</v>
      </c>
      <c r="B88">
        <v>3</v>
      </c>
      <c r="C88" t="s">
        <v>2214</v>
      </c>
      <c r="D88" t="s">
        <v>2213</v>
      </c>
      <c r="E88" t="s">
        <v>2213</v>
      </c>
      <c r="F88">
        <v>54923</v>
      </c>
      <c r="G88">
        <v>54948</v>
      </c>
      <c r="H88">
        <v>1</v>
      </c>
      <c r="I88">
        <v>54931</v>
      </c>
      <c r="J88">
        <v>54948</v>
      </c>
      <c r="K88">
        <f>IF(Table5[[#This Row],[NeedsAttention]]=1,Table5[[#This Row],[Start]],Table5[[#This Row],[StartN]])</f>
        <v>54931</v>
      </c>
      <c r="L88">
        <f>IF(Table5[[#This Row],[NeedsAttention]]=1,Table5[[#This Row],[End]],Table5[[#This Row],[EndN]])</f>
        <v>54948</v>
      </c>
      <c r="M88" t="b">
        <f>Table5[[#This Row],[Merged.Start]]=L87+1</f>
        <v>1</v>
      </c>
      <c r="O88">
        <f>Table5[[#This Row],[Section]]</f>
        <v>87</v>
      </c>
      <c r="P88">
        <f>Table5[[#This Row],[Canon]]</f>
        <v>3</v>
      </c>
      <c r="Q88" s="1" t="str">
        <f>Table5[[#This Row],[Reference]]</f>
        <v>8.19B</v>
      </c>
      <c r="R88" s="3" t="str">
        <f>Table5[[#This Row],[StartR]]</f>
        <v>JHN 8:19</v>
      </c>
      <c r="S88" s="3" t="str">
        <f>Table5[[#This Row],[EndR]]</f>
        <v>JHN 8:19</v>
      </c>
      <c r="T88">
        <f>Table5[[#This Row],[Merged.Start]]</f>
        <v>54931</v>
      </c>
      <c r="U88">
        <f>Table5[[#This Row],[Merged.End]]</f>
        <v>54948</v>
      </c>
    </row>
    <row r="89" spans="1:21" x14ac:dyDescent="0.25">
      <c r="A89">
        <v>88</v>
      </c>
      <c r="B89">
        <v>1</v>
      </c>
      <c r="C89">
        <v>8.1999999999999993</v>
      </c>
      <c r="D89" t="s">
        <v>2215</v>
      </c>
      <c r="E89" t="s">
        <v>2215</v>
      </c>
      <c r="F89">
        <v>0</v>
      </c>
      <c r="G89">
        <v>0</v>
      </c>
      <c r="H89">
        <v>0</v>
      </c>
      <c r="K89">
        <f>IF(Table5[[#This Row],[NeedsAttention]]=1,Table5[[#This Row],[Start]],Table5[[#This Row],[StartN]])</f>
        <v>0</v>
      </c>
      <c r="L89">
        <f>IF(Table5[[#This Row],[NeedsAttention]]=1,Table5[[#This Row],[End]],Table5[[#This Row],[EndN]])</f>
        <v>0</v>
      </c>
      <c r="M89" t="b">
        <f>Table5[[#This Row],[Merged.Start]]=L88+1</f>
        <v>0</v>
      </c>
      <c r="O89">
        <f>Table5[[#This Row],[Section]]</f>
        <v>88</v>
      </c>
      <c r="P89">
        <f>Table5[[#This Row],[Canon]]</f>
        <v>1</v>
      </c>
      <c r="Q89" s="1">
        <f>Table5[[#This Row],[Reference]]</f>
        <v>8.1999999999999993</v>
      </c>
      <c r="R89" s="3" t="str">
        <f>Table5[[#This Row],[StartR]]</f>
        <v>JHN 8:2</v>
      </c>
      <c r="S89" s="3" t="str">
        <f>Table5[[#This Row],[EndR]]</f>
        <v>JHN 8:2</v>
      </c>
      <c r="T89">
        <f>Table5[[#This Row],[Merged.Start]]</f>
        <v>0</v>
      </c>
      <c r="U89">
        <f>Table5[[#This Row],[Merged.End]]</f>
        <v>0</v>
      </c>
    </row>
    <row r="90" spans="1:21" x14ac:dyDescent="0.25">
      <c r="A90">
        <v>89</v>
      </c>
      <c r="B90">
        <v>10</v>
      </c>
      <c r="C90" t="s">
        <v>2216</v>
      </c>
      <c r="D90" t="s">
        <v>2217</v>
      </c>
      <c r="E90" t="s">
        <v>2218</v>
      </c>
      <c r="F90">
        <v>54970</v>
      </c>
      <c r="G90">
        <v>56626</v>
      </c>
      <c r="H90">
        <v>0</v>
      </c>
      <c r="K90">
        <f>IF(Table5[[#This Row],[NeedsAttention]]=1,Table5[[#This Row],[Start]],Table5[[#This Row],[StartN]])</f>
        <v>54970</v>
      </c>
      <c r="L90">
        <f>IF(Table5[[#This Row],[NeedsAttention]]=1,Table5[[#This Row],[End]],Table5[[#This Row],[EndN]])</f>
        <v>56626</v>
      </c>
      <c r="M90" t="b">
        <f>Table5[[#This Row],[Merged.Start]]=L89+1</f>
        <v>0</v>
      </c>
      <c r="O90">
        <f>Table5[[#This Row],[Section]]</f>
        <v>89</v>
      </c>
      <c r="P90">
        <f>Table5[[#This Row],[Canon]]</f>
        <v>10</v>
      </c>
      <c r="Q90" s="1" t="str">
        <f>Table5[[#This Row],[Reference]]</f>
        <v>8.21-10.14</v>
      </c>
      <c r="R90" s="3" t="str">
        <f>Table5[[#This Row],[StartR]]</f>
        <v>JHN 8:21</v>
      </c>
      <c r="S90" s="3" t="str">
        <f>Table5[[#This Row],[EndR]]</f>
        <v>JHN 10:14</v>
      </c>
      <c r="T90">
        <f>Table5[[#This Row],[Merged.Start]]</f>
        <v>54970</v>
      </c>
      <c r="U90">
        <f>Table5[[#This Row],[Merged.End]]</f>
        <v>56626</v>
      </c>
    </row>
    <row r="91" spans="1:21" x14ac:dyDescent="0.25">
      <c r="A91">
        <v>90</v>
      </c>
      <c r="B91">
        <v>3</v>
      </c>
      <c r="C91" t="s">
        <v>2219</v>
      </c>
      <c r="D91" t="s">
        <v>2220</v>
      </c>
      <c r="E91" t="s">
        <v>2220</v>
      </c>
      <c r="F91">
        <v>56627</v>
      </c>
      <c r="G91">
        <v>56643</v>
      </c>
      <c r="H91">
        <v>1</v>
      </c>
      <c r="I91">
        <v>56627</v>
      </c>
      <c r="J91">
        <v>56635</v>
      </c>
      <c r="K91">
        <f>IF(Table5[[#This Row],[NeedsAttention]]=1,Table5[[#This Row],[Start]],Table5[[#This Row],[StartN]])</f>
        <v>56627</v>
      </c>
      <c r="L91">
        <f>IF(Table5[[#This Row],[NeedsAttention]]=1,Table5[[#This Row],[End]],Table5[[#This Row],[EndN]])</f>
        <v>56635</v>
      </c>
      <c r="M91" t="b">
        <f>Table5[[#This Row],[Merged.Start]]=L90+1</f>
        <v>1</v>
      </c>
      <c r="O91">
        <f>Table5[[#This Row],[Section]]</f>
        <v>90</v>
      </c>
      <c r="P91">
        <f>Table5[[#This Row],[Canon]]</f>
        <v>3</v>
      </c>
      <c r="Q91" s="1" t="str">
        <f>Table5[[#This Row],[Reference]]</f>
        <v>10.15A</v>
      </c>
      <c r="R91" s="3" t="str">
        <f>Table5[[#This Row],[StartR]]</f>
        <v>JHN 10:15</v>
      </c>
      <c r="S91" s="3" t="str">
        <f>Table5[[#This Row],[EndR]]</f>
        <v>JHN 10:15</v>
      </c>
      <c r="T91">
        <f>Table5[[#This Row],[Merged.Start]]</f>
        <v>56627</v>
      </c>
      <c r="U91">
        <f>Table5[[#This Row],[Merged.End]]</f>
        <v>56635</v>
      </c>
    </row>
    <row r="92" spans="1:21" x14ac:dyDescent="0.25">
      <c r="A92">
        <v>91</v>
      </c>
      <c r="B92">
        <v>4</v>
      </c>
      <c r="C92" t="s">
        <v>2221</v>
      </c>
      <c r="D92" t="s">
        <v>2220</v>
      </c>
      <c r="E92" t="s">
        <v>2220</v>
      </c>
      <c r="F92">
        <v>56627</v>
      </c>
      <c r="G92">
        <v>56643</v>
      </c>
      <c r="H92">
        <v>1</v>
      </c>
      <c r="I92">
        <v>56636</v>
      </c>
      <c r="J92">
        <v>56643</v>
      </c>
      <c r="K92">
        <f>IF(Table5[[#This Row],[NeedsAttention]]=1,Table5[[#This Row],[Start]],Table5[[#This Row],[StartN]])</f>
        <v>56636</v>
      </c>
      <c r="L92">
        <f>IF(Table5[[#This Row],[NeedsAttention]]=1,Table5[[#This Row],[End]],Table5[[#This Row],[EndN]])</f>
        <v>56643</v>
      </c>
      <c r="M92" t="b">
        <f>Table5[[#This Row],[Merged.Start]]=L91+1</f>
        <v>1</v>
      </c>
      <c r="O92">
        <f>Table5[[#This Row],[Section]]</f>
        <v>91</v>
      </c>
      <c r="P92">
        <f>Table5[[#This Row],[Canon]]</f>
        <v>4</v>
      </c>
      <c r="Q92" s="1" t="str">
        <f>Table5[[#This Row],[Reference]]</f>
        <v>10.15B</v>
      </c>
      <c r="R92" s="3" t="str">
        <f>Table5[[#This Row],[StartR]]</f>
        <v>JHN 10:15</v>
      </c>
      <c r="S92" s="3" t="str">
        <f>Table5[[#This Row],[EndR]]</f>
        <v>JHN 10:15</v>
      </c>
      <c r="T92">
        <f>Table5[[#This Row],[Merged.Start]]</f>
        <v>56636</v>
      </c>
      <c r="U92">
        <f>Table5[[#This Row],[Merged.End]]</f>
        <v>56643</v>
      </c>
    </row>
    <row r="93" spans="1:21" x14ac:dyDescent="0.25">
      <c r="A93">
        <v>92</v>
      </c>
      <c r="B93">
        <v>10</v>
      </c>
      <c r="C93" t="s">
        <v>2222</v>
      </c>
      <c r="D93" t="s">
        <v>2223</v>
      </c>
      <c r="E93" t="s">
        <v>2224</v>
      </c>
      <c r="F93">
        <v>56644</v>
      </c>
      <c r="G93">
        <v>57022</v>
      </c>
      <c r="H93">
        <v>0</v>
      </c>
      <c r="K93">
        <f>IF(Table5[[#This Row],[NeedsAttention]]=1,Table5[[#This Row],[Start]],Table5[[#This Row],[StartN]])</f>
        <v>56644</v>
      </c>
      <c r="L93">
        <f>IF(Table5[[#This Row],[NeedsAttention]]=1,Table5[[#This Row],[End]],Table5[[#This Row],[EndN]])</f>
        <v>57022</v>
      </c>
      <c r="M93" t="b">
        <f>Table5[[#This Row],[Merged.Start]]=L92+1</f>
        <v>1</v>
      </c>
      <c r="O93">
        <f>Table5[[#This Row],[Section]]</f>
        <v>92</v>
      </c>
      <c r="P93">
        <f>Table5[[#This Row],[Canon]]</f>
        <v>10</v>
      </c>
      <c r="Q93" s="1" t="str">
        <f>Table5[[#This Row],[Reference]]</f>
        <v>10.16-38</v>
      </c>
      <c r="R93" s="3" t="str">
        <f>Table5[[#This Row],[StartR]]</f>
        <v>JHN 10:16</v>
      </c>
      <c r="S93" s="3" t="str">
        <f>Table5[[#This Row],[EndR]]</f>
        <v>JHN 10:38</v>
      </c>
      <c r="T93">
        <f>Table5[[#This Row],[Merged.Start]]</f>
        <v>56644</v>
      </c>
      <c r="U93">
        <f>Table5[[#This Row],[Merged.End]]</f>
        <v>57022</v>
      </c>
    </row>
    <row r="94" spans="1:21" x14ac:dyDescent="0.25">
      <c r="A94">
        <v>93</v>
      </c>
      <c r="B94">
        <v>4</v>
      </c>
      <c r="C94" t="s">
        <v>2225</v>
      </c>
      <c r="D94" t="s">
        <v>2226</v>
      </c>
      <c r="E94" t="s">
        <v>2227</v>
      </c>
      <c r="F94">
        <v>57023</v>
      </c>
      <c r="G94">
        <v>57051</v>
      </c>
      <c r="H94">
        <v>0</v>
      </c>
      <c r="K94">
        <f>IF(Table5[[#This Row],[NeedsAttention]]=1,Table5[[#This Row],[Start]],Table5[[#This Row],[StartN]])</f>
        <v>57023</v>
      </c>
      <c r="L94">
        <f>IF(Table5[[#This Row],[NeedsAttention]]=1,Table5[[#This Row],[End]],Table5[[#This Row],[EndN]])</f>
        <v>57051</v>
      </c>
      <c r="M94" t="b">
        <f>Table5[[#This Row],[Merged.Start]]=L93+1</f>
        <v>1</v>
      </c>
      <c r="O94">
        <f>Table5[[#This Row],[Section]]</f>
        <v>93</v>
      </c>
      <c r="P94">
        <f>Table5[[#This Row],[Canon]]</f>
        <v>4</v>
      </c>
      <c r="Q94" s="1" t="str">
        <f>Table5[[#This Row],[Reference]]</f>
        <v>10.39-40</v>
      </c>
      <c r="R94" s="3" t="str">
        <f>Table5[[#This Row],[StartR]]</f>
        <v>JHN 10:39</v>
      </c>
      <c r="S94" s="3" t="str">
        <f>Table5[[#This Row],[EndR]]</f>
        <v>JHN 10:40</v>
      </c>
      <c r="T94">
        <f>Table5[[#This Row],[Merged.Start]]</f>
        <v>57023</v>
      </c>
      <c r="U94">
        <f>Table5[[#This Row],[Merged.End]]</f>
        <v>57051</v>
      </c>
    </row>
    <row r="95" spans="1:21" x14ac:dyDescent="0.25">
      <c r="A95">
        <v>94</v>
      </c>
      <c r="B95">
        <v>10</v>
      </c>
      <c r="C95" t="s">
        <v>2228</v>
      </c>
      <c r="D95" t="s">
        <v>2229</v>
      </c>
      <c r="E95" t="s">
        <v>2230</v>
      </c>
      <c r="F95">
        <v>57052</v>
      </c>
      <c r="G95">
        <v>57926</v>
      </c>
      <c r="H95">
        <v>0</v>
      </c>
      <c r="K95">
        <f>IF(Table5[[#This Row],[NeedsAttention]]=1,Table5[[#This Row],[Start]],Table5[[#This Row],[StartN]])</f>
        <v>57052</v>
      </c>
      <c r="L95">
        <f>IF(Table5[[#This Row],[NeedsAttention]]=1,Table5[[#This Row],[End]],Table5[[#This Row],[EndN]])</f>
        <v>57926</v>
      </c>
      <c r="M95" t="b">
        <f>Table5[[#This Row],[Merged.Start]]=L94+1</f>
        <v>1</v>
      </c>
      <c r="O95">
        <f>Table5[[#This Row],[Section]]</f>
        <v>94</v>
      </c>
      <c r="P95">
        <f>Table5[[#This Row],[Canon]]</f>
        <v>10</v>
      </c>
      <c r="Q95" s="1" t="str">
        <f>Table5[[#This Row],[Reference]]</f>
        <v>10.41-11.52</v>
      </c>
      <c r="R95" s="3" t="str">
        <f>Table5[[#This Row],[StartR]]</f>
        <v>JHN 10:41</v>
      </c>
      <c r="S95" s="3" t="str">
        <f>Table5[[#This Row],[EndR]]</f>
        <v>JHN 11:52</v>
      </c>
      <c r="T95">
        <f>Table5[[#This Row],[Merged.Start]]</f>
        <v>57052</v>
      </c>
      <c r="U95">
        <f>Table5[[#This Row],[Merged.End]]</f>
        <v>57926</v>
      </c>
    </row>
    <row r="96" spans="1:21" x14ac:dyDescent="0.25">
      <c r="A96">
        <v>95</v>
      </c>
      <c r="B96">
        <v>4</v>
      </c>
      <c r="C96" t="s">
        <v>2231</v>
      </c>
      <c r="D96" t="s">
        <v>2232</v>
      </c>
      <c r="E96" t="s">
        <v>2233</v>
      </c>
      <c r="F96">
        <v>57927</v>
      </c>
      <c r="G96">
        <v>57962</v>
      </c>
      <c r="H96">
        <v>0</v>
      </c>
      <c r="K96">
        <f>IF(Table5[[#This Row],[NeedsAttention]]=1,Table5[[#This Row],[Start]],Table5[[#This Row],[StartN]])</f>
        <v>57927</v>
      </c>
      <c r="L96">
        <f>IF(Table5[[#This Row],[NeedsAttention]]=1,Table5[[#This Row],[End]],Table5[[#This Row],[EndN]])</f>
        <v>57962</v>
      </c>
      <c r="M96" t="b">
        <f>Table5[[#This Row],[Merged.Start]]=L95+1</f>
        <v>1</v>
      </c>
      <c r="O96">
        <f>Table5[[#This Row],[Section]]</f>
        <v>95</v>
      </c>
      <c r="P96">
        <f>Table5[[#This Row],[Canon]]</f>
        <v>4</v>
      </c>
      <c r="Q96" s="1" t="str">
        <f>Table5[[#This Row],[Reference]]</f>
        <v>11.53-54</v>
      </c>
      <c r="R96" s="3" t="str">
        <f>Table5[[#This Row],[StartR]]</f>
        <v>JHN 11:53</v>
      </c>
      <c r="S96" s="3" t="str">
        <f>Table5[[#This Row],[EndR]]</f>
        <v>JHN 11:54</v>
      </c>
      <c r="T96">
        <f>Table5[[#This Row],[Merged.Start]]</f>
        <v>57927</v>
      </c>
      <c r="U96">
        <f>Table5[[#This Row],[Merged.End]]</f>
        <v>57962</v>
      </c>
    </row>
    <row r="97" spans="1:21" x14ac:dyDescent="0.25">
      <c r="A97">
        <v>96</v>
      </c>
      <c r="B97">
        <v>1</v>
      </c>
      <c r="C97" t="s">
        <v>2234</v>
      </c>
      <c r="D97" t="s">
        <v>2235</v>
      </c>
      <c r="E97" t="s">
        <v>2235</v>
      </c>
      <c r="F97">
        <v>57963</v>
      </c>
      <c r="G97">
        <v>57983</v>
      </c>
      <c r="H97">
        <v>1</v>
      </c>
      <c r="I97">
        <v>57963</v>
      </c>
      <c r="J97">
        <v>57969</v>
      </c>
      <c r="K97">
        <f>IF(Table5[[#This Row],[NeedsAttention]]=1,Table5[[#This Row],[Start]],Table5[[#This Row],[StartN]])</f>
        <v>57963</v>
      </c>
      <c r="L97">
        <f>IF(Table5[[#This Row],[NeedsAttention]]=1,Table5[[#This Row],[End]],Table5[[#This Row],[EndN]])</f>
        <v>57969</v>
      </c>
      <c r="M97" t="b">
        <f>Table5[[#This Row],[Merged.Start]]=L96+1</f>
        <v>1</v>
      </c>
      <c r="O97">
        <f>Table5[[#This Row],[Section]]</f>
        <v>96</v>
      </c>
      <c r="P97">
        <f>Table5[[#This Row],[Canon]]</f>
        <v>1</v>
      </c>
      <c r="Q97" s="1" t="str">
        <f>Table5[[#This Row],[Reference]]</f>
        <v>11.55A</v>
      </c>
      <c r="R97" s="3" t="str">
        <f>Table5[[#This Row],[StartR]]</f>
        <v>JHN 11:55</v>
      </c>
      <c r="S97" s="3" t="str">
        <f>Table5[[#This Row],[EndR]]</f>
        <v>JHN 11:55</v>
      </c>
      <c r="T97">
        <f>Table5[[#This Row],[Merged.Start]]</f>
        <v>57963</v>
      </c>
      <c r="U97">
        <f>Table5[[#This Row],[Merged.End]]</f>
        <v>57969</v>
      </c>
    </row>
    <row r="98" spans="1:21" x14ac:dyDescent="0.25">
      <c r="A98">
        <v>97</v>
      </c>
      <c r="B98">
        <v>10</v>
      </c>
      <c r="C98" t="s">
        <v>2236</v>
      </c>
      <c r="D98" t="s">
        <v>2235</v>
      </c>
      <c r="E98" t="s">
        <v>2237</v>
      </c>
      <c r="F98">
        <v>57963</v>
      </c>
      <c r="G98">
        <v>58042</v>
      </c>
      <c r="H98">
        <v>1</v>
      </c>
      <c r="I98">
        <v>57970</v>
      </c>
      <c r="J98">
        <v>58042</v>
      </c>
      <c r="K98">
        <f>IF(Table5[[#This Row],[NeedsAttention]]=1,Table5[[#This Row],[Start]],Table5[[#This Row],[StartN]])</f>
        <v>57970</v>
      </c>
      <c r="L98">
        <f>IF(Table5[[#This Row],[NeedsAttention]]=1,Table5[[#This Row],[End]],Table5[[#This Row],[EndN]])</f>
        <v>58042</v>
      </c>
      <c r="M98" t="b">
        <f>Table5[[#This Row],[Merged.Start]]=L97+1</f>
        <v>1</v>
      </c>
      <c r="O98">
        <f>Table5[[#This Row],[Section]]</f>
        <v>97</v>
      </c>
      <c r="P98">
        <f>Table5[[#This Row],[Canon]]</f>
        <v>10</v>
      </c>
      <c r="Q98" s="1" t="str">
        <f>Table5[[#This Row],[Reference]]</f>
        <v>11.55B-12.1</v>
      </c>
      <c r="R98" s="3" t="str">
        <f>Table5[[#This Row],[StartR]]</f>
        <v>JHN 11:55</v>
      </c>
      <c r="S98" s="3" t="str">
        <f>Table5[[#This Row],[EndR]]</f>
        <v>JHN 12:1</v>
      </c>
      <c r="T98">
        <f>Table5[[#This Row],[Merged.Start]]</f>
        <v>57970</v>
      </c>
      <c r="U98">
        <f>Table5[[#This Row],[Merged.End]]</f>
        <v>58042</v>
      </c>
    </row>
    <row r="99" spans="1:21" x14ac:dyDescent="0.25">
      <c r="A99">
        <v>98</v>
      </c>
      <c r="B99">
        <v>0</v>
      </c>
      <c r="C99" t="s">
        <v>1623</v>
      </c>
      <c r="D99" t="s">
        <v>2238</v>
      </c>
      <c r="E99" t="s">
        <v>2239</v>
      </c>
      <c r="F99">
        <v>58043</v>
      </c>
      <c r="G99">
        <v>58165</v>
      </c>
      <c r="H99">
        <v>0</v>
      </c>
      <c r="K99">
        <f>IF(Table5[[#This Row],[NeedsAttention]]=1,Table5[[#This Row],[Start]],Table5[[#This Row],[StartN]])</f>
        <v>58043</v>
      </c>
      <c r="L99">
        <f>IF(Table5[[#This Row],[NeedsAttention]]=1,Table5[[#This Row],[End]],Table5[[#This Row],[EndN]])</f>
        <v>58165</v>
      </c>
      <c r="M99" t="b">
        <f>Table5[[#This Row],[Merged.Start]]=L98+1</f>
        <v>1</v>
      </c>
      <c r="O99">
        <f>Table5[[#This Row],[Section]]</f>
        <v>98</v>
      </c>
      <c r="P99">
        <f>Table5[[#This Row],[Canon]]</f>
        <v>0</v>
      </c>
      <c r="Q99" s="1" t="str">
        <f>Table5[[#This Row],[Reference]]</f>
        <v>12.2-8</v>
      </c>
      <c r="R99" s="3" t="str">
        <f>Table5[[#This Row],[StartR]]</f>
        <v>JHN 12:2</v>
      </c>
      <c r="S99" s="3" t="str">
        <f>Table5[[#This Row],[EndR]]</f>
        <v>JHN 12:8</v>
      </c>
      <c r="T99">
        <f>Table5[[#This Row],[Merged.Start]]</f>
        <v>58043</v>
      </c>
      <c r="U99">
        <f>Table5[[#This Row],[Merged.End]]</f>
        <v>58165</v>
      </c>
    </row>
    <row r="100" spans="1:21" x14ac:dyDescent="0.25">
      <c r="A100">
        <v>99</v>
      </c>
      <c r="B100">
        <v>10</v>
      </c>
      <c r="C100" t="s">
        <v>2240</v>
      </c>
      <c r="D100" t="s">
        <v>2241</v>
      </c>
      <c r="E100" t="s">
        <v>2242</v>
      </c>
      <c r="F100">
        <v>58166</v>
      </c>
      <c r="G100">
        <v>58213</v>
      </c>
      <c r="H100">
        <v>0</v>
      </c>
      <c r="K100">
        <f>IF(Table5[[#This Row],[NeedsAttention]]=1,Table5[[#This Row],[Start]],Table5[[#This Row],[StartN]])</f>
        <v>58166</v>
      </c>
      <c r="L100">
        <f>IF(Table5[[#This Row],[NeedsAttention]]=1,Table5[[#This Row],[End]],Table5[[#This Row],[EndN]])</f>
        <v>58213</v>
      </c>
      <c r="M100" t="b">
        <f>Table5[[#This Row],[Merged.Start]]=L99+1</f>
        <v>1</v>
      </c>
      <c r="O100">
        <f>Table5[[#This Row],[Section]]</f>
        <v>99</v>
      </c>
      <c r="P100">
        <f>Table5[[#This Row],[Canon]]</f>
        <v>10</v>
      </c>
      <c r="Q100" s="1" t="str">
        <f>Table5[[#This Row],[Reference]]</f>
        <v>12.9-11</v>
      </c>
      <c r="R100" s="3" t="str">
        <f>Table5[[#This Row],[StartR]]</f>
        <v>JHN 12:9</v>
      </c>
      <c r="S100" s="3" t="str">
        <f>Table5[[#This Row],[EndR]]</f>
        <v>JHN 12:11</v>
      </c>
      <c r="T100">
        <f>Table5[[#This Row],[Merged.Start]]</f>
        <v>58166</v>
      </c>
      <c r="U100">
        <f>Table5[[#This Row],[Merged.End]]</f>
        <v>58213</v>
      </c>
    </row>
    <row r="101" spans="1:21" x14ac:dyDescent="0.25">
      <c r="A101">
        <v>100</v>
      </c>
      <c r="B101">
        <v>1</v>
      </c>
      <c r="C101" t="s">
        <v>2243</v>
      </c>
      <c r="D101" t="s">
        <v>2244</v>
      </c>
      <c r="E101" t="s">
        <v>2245</v>
      </c>
      <c r="F101">
        <v>58214</v>
      </c>
      <c r="G101">
        <v>58254</v>
      </c>
      <c r="H101">
        <v>0</v>
      </c>
      <c r="K101">
        <f>IF(Table5[[#This Row],[NeedsAttention]]=1,Table5[[#This Row],[Start]],Table5[[#This Row],[StartN]])</f>
        <v>58214</v>
      </c>
      <c r="L101">
        <f>IF(Table5[[#This Row],[NeedsAttention]]=1,Table5[[#This Row],[End]],Table5[[#This Row],[EndN]])</f>
        <v>58254</v>
      </c>
      <c r="M101" t="b">
        <f>Table5[[#This Row],[Merged.Start]]=L100+1</f>
        <v>1</v>
      </c>
      <c r="O101">
        <f>Table5[[#This Row],[Section]]</f>
        <v>100</v>
      </c>
      <c r="P101">
        <f>Table5[[#This Row],[Canon]]</f>
        <v>1</v>
      </c>
      <c r="Q101" s="1" t="str">
        <f>Table5[[#This Row],[Reference]]</f>
        <v>12.12-13</v>
      </c>
      <c r="R101" s="3" t="str">
        <f>Table5[[#This Row],[StartR]]</f>
        <v>JHN 12:12</v>
      </c>
      <c r="S101" s="3" t="str">
        <f>Table5[[#This Row],[EndR]]</f>
        <v>JHN 12:13</v>
      </c>
      <c r="T101">
        <f>Table5[[#This Row],[Merged.Start]]</f>
        <v>58214</v>
      </c>
      <c r="U101">
        <f>Table5[[#This Row],[Merged.End]]</f>
        <v>58254</v>
      </c>
    </row>
    <row r="102" spans="1:21" x14ac:dyDescent="0.25">
      <c r="A102">
        <v>101</v>
      </c>
      <c r="B102">
        <v>7</v>
      </c>
      <c r="C102" t="s">
        <v>2246</v>
      </c>
      <c r="D102" t="s">
        <v>2247</v>
      </c>
      <c r="E102" t="s">
        <v>2248</v>
      </c>
      <c r="F102">
        <v>58255</v>
      </c>
      <c r="G102">
        <v>58278</v>
      </c>
      <c r="H102">
        <v>0</v>
      </c>
      <c r="K102">
        <f>IF(Table5[[#This Row],[NeedsAttention]]=1,Table5[[#This Row],[Start]],Table5[[#This Row],[StartN]])</f>
        <v>58255</v>
      </c>
      <c r="L102">
        <f>IF(Table5[[#This Row],[NeedsAttention]]=1,Table5[[#This Row],[End]],Table5[[#This Row],[EndN]])</f>
        <v>58278</v>
      </c>
      <c r="M102" t="b">
        <f>Table5[[#This Row],[Merged.Start]]=L101+1</f>
        <v>1</v>
      </c>
      <c r="O102">
        <f>Table5[[#This Row],[Section]]</f>
        <v>101</v>
      </c>
      <c r="P102">
        <f>Table5[[#This Row],[Canon]]</f>
        <v>7</v>
      </c>
      <c r="Q102" s="1" t="str">
        <f>Table5[[#This Row],[Reference]]</f>
        <v>12.14-15</v>
      </c>
      <c r="R102" s="3" t="str">
        <f>Table5[[#This Row],[StartR]]</f>
        <v>JHN 12:14</v>
      </c>
      <c r="S102" s="3" t="str">
        <f>Table5[[#This Row],[EndR]]</f>
        <v>JHN 12:15</v>
      </c>
      <c r="T102">
        <f>Table5[[#This Row],[Merged.Start]]</f>
        <v>58255</v>
      </c>
      <c r="U102">
        <f>Table5[[#This Row],[Merged.End]]</f>
        <v>58278</v>
      </c>
    </row>
    <row r="103" spans="1:21" x14ac:dyDescent="0.25">
      <c r="A103">
        <v>102</v>
      </c>
      <c r="B103">
        <v>10</v>
      </c>
      <c r="C103" t="s">
        <v>2249</v>
      </c>
      <c r="D103" t="s">
        <v>2250</v>
      </c>
      <c r="E103" t="s">
        <v>2251</v>
      </c>
      <c r="F103">
        <v>58279</v>
      </c>
      <c r="G103">
        <v>58398</v>
      </c>
      <c r="H103">
        <v>0</v>
      </c>
      <c r="K103">
        <f>IF(Table5[[#This Row],[NeedsAttention]]=1,Table5[[#This Row],[Start]],Table5[[#This Row],[StartN]])</f>
        <v>58279</v>
      </c>
      <c r="L103">
        <f>IF(Table5[[#This Row],[NeedsAttention]]=1,Table5[[#This Row],[End]],Table5[[#This Row],[EndN]])</f>
        <v>58398</v>
      </c>
      <c r="M103" t="b">
        <f>Table5[[#This Row],[Merged.Start]]=L102+1</f>
        <v>1</v>
      </c>
      <c r="O103">
        <f>Table5[[#This Row],[Section]]</f>
        <v>102</v>
      </c>
      <c r="P103">
        <f>Table5[[#This Row],[Canon]]</f>
        <v>10</v>
      </c>
      <c r="Q103" s="1" t="str">
        <f>Table5[[#This Row],[Reference]]</f>
        <v>12.16-22</v>
      </c>
      <c r="R103" s="3" t="str">
        <f>Table5[[#This Row],[StartR]]</f>
        <v>JHN 12:16</v>
      </c>
      <c r="S103" s="3" t="str">
        <f>Table5[[#This Row],[EndR]]</f>
        <v>JHN 12:22</v>
      </c>
      <c r="T103">
        <f>Table5[[#This Row],[Merged.Start]]</f>
        <v>58279</v>
      </c>
      <c r="U103">
        <f>Table5[[#This Row],[Merged.End]]</f>
        <v>58398</v>
      </c>
    </row>
    <row r="104" spans="1:21" x14ac:dyDescent="0.25">
      <c r="A104">
        <v>103</v>
      </c>
      <c r="B104">
        <v>4</v>
      </c>
      <c r="C104">
        <v>12.23</v>
      </c>
      <c r="D104" t="s">
        <v>2252</v>
      </c>
      <c r="E104" t="s">
        <v>2252</v>
      </c>
      <c r="F104">
        <v>58399</v>
      </c>
      <c r="G104">
        <v>58413</v>
      </c>
      <c r="H104">
        <v>0</v>
      </c>
      <c r="K104">
        <f>IF(Table5[[#This Row],[NeedsAttention]]=1,Table5[[#This Row],[Start]],Table5[[#This Row],[StartN]])</f>
        <v>58399</v>
      </c>
      <c r="L104">
        <f>IF(Table5[[#This Row],[NeedsAttention]]=1,Table5[[#This Row],[End]],Table5[[#This Row],[EndN]])</f>
        <v>58413</v>
      </c>
      <c r="M104" t="b">
        <f>Table5[[#This Row],[Merged.Start]]=L103+1</f>
        <v>1</v>
      </c>
      <c r="O104">
        <f>Table5[[#This Row],[Section]]</f>
        <v>103</v>
      </c>
      <c r="P104">
        <f>Table5[[#This Row],[Canon]]</f>
        <v>4</v>
      </c>
      <c r="Q104" s="1">
        <f>Table5[[#This Row],[Reference]]</f>
        <v>12.23</v>
      </c>
      <c r="R104" s="3" t="str">
        <f>Table5[[#This Row],[StartR]]</f>
        <v>JHN 12:23</v>
      </c>
      <c r="S104" s="3" t="str">
        <f>Table5[[#This Row],[EndR]]</f>
        <v>JHN 12:23</v>
      </c>
      <c r="T104">
        <f>Table5[[#This Row],[Merged.Start]]</f>
        <v>58399</v>
      </c>
      <c r="U104">
        <f>Table5[[#This Row],[Merged.End]]</f>
        <v>58413</v>
      </c>
    </row>
    <row r="105" spans="1:21" x14ac:dyDescent="0.25">
      <c r="A105">
        <v>104</v>
      </c>
      <c r="B105">
        <v>10</v>
      </c>
      <c r="C105">
        <v>12.24</v>
      </c>
      <c r="D105" t="s">
        <v>2253</v>
      </c>
      <c r="E105" t="s">
        <v>2253</v>
      </c>
      <c r="F105">
        <v>58414</v>
      </c>
      <c r="G105">
        <v>58437</v>
      </c>
      <c r="H105">
        <v>0</v>
      </c>
      <c r="K105">
        <f>IF(Table5[[#This Row],[NeedsAttention]]=1,Table5[[#This Row],[Start]],Table5[[#This Row],[StartN]])</f>
        <v>58414</v>
      </c>
      <c r="L105">
        <f>IF(Table5[[#This Row],[NeedsAttention]]=1,Table5[[#This Row],[End]],Table5[[#This Row],[EndN]])</f>
        <v>58437</v>
      </c>
      <c r="M105" t="b">
        <f>Table5[[#This Row],[Merged.Start]]=L104+1</f>
        <v>1</v>
      </c>
      <c r="O105">
        <f>Table5[[#This Row],[Section]]</f>
        <v>104</v>
      </c>
      <c r="P105">
        <f>Table5[[#This Row],[Canon]]</f>
        <v>10</v>
      </c>
      <c r="Q105" s="1">
        <f>Table5[[#This Row],[Reference]]</f>
        <v>12.24</v>
      </c>
      <c r="R105" s="3" t="str">
        <f>Table5[[#This Row],[StartR]]</f>
        <v>JHN 12:24</v>
      </c>
      <c r="S105" s="3" t="str">
        <f>Table5[[#This Row],[EndR]]</f>
        <v>JHN 12:24</v>
      </c>
      <c r="T105">
        <f>Table5[[#This Row],[Merged.Start]]</f>
        <v>58414</v>
      </c>
      <c r="U105">
        <f>Table5[[#This Row],[Merged.End]]</f>
        <v>58437</v>
      </c>
    </row>
    <row r="106" spans="1:21" x14ac:dyDescent="0.25">
      <c r="A106">
        <v>105</v>
      </c>
      <c r="B106">
        <v>3</v>
      </c>
      <c r="C106">
        <v>12.25</v>
      </c>
      <c r="D106" t="s">
        <v>2254</v>
      </c>
      <c r="E106" t="s">
        <v>2254</v>
      </c>
      <c r="F106">
        <v>58438</v>
      </c>
      <c r="G106">
        <v>58459</v>
      </c>
      <c r="H106">
        <v>0</v>
      </c>
      <c r="K106">
        <f>IF(Table5[[#This Row],[NeedsAttention]]=1,Table5[[#This Row],[Start]],Table5[[#This Row],[StartN]])</f>
        <v>58438</v>
      </c>
      <c r="L106">
        <f>IF(Table5[[#This Row],[NeedsAttention]]=1,Table5[[#This Row],[End]],Table5[[#This Row],[EndN]])</f>
        <v>58459</v>
      </c>
      <c r="M106" t="b">
        <f>Table5[[#This Row],[Merged.Start]]=L105+1</f>
        <v>1</v>
      </c>
      <c r="O106">
        <f>Table5[[#This Row],[Section]]</f>
        <v>105</v>
      </c>
      <c r="P106">
        <f>Table5[[#This Row],[Canon]]</f>
        <v>3</v>
      </c>
      <c r="Q106" s="1">
        <f>Table5[[#This Row],[Reference]]</f>
        <v>12.25</v>
      </c>
      <c r="R106" s="3" t="str">
        <f>Table5[[#This Row],[StartR]]</f>
        <v>JHN 12:25</v>
      </c>
      <c r="S106" s="3" t="str">
        <f>Table5[[#This Row],[EndR]]</f>
        <v>JHN 12:25</v>
      </c>
      <c r="T106">
        <f>Table5[[#This Row],[Merged.Start]]</f>
        <v>58438</v>
      </c>
      <c r="U106">
        <f>Table5[[#This Row],[Merged.End]]</f>
        <v>58459</v>
      </c>
    </row>
    <row r="107" spans="1:21" x14ac:dyDescent="0.25">
      <c r="A107">
        <v>106</v>
      </c>
      <c r="B107">
        <v>10</v>
      </c>
      <c r="C107" t="s">
        <v>2255</v>
      </c>
      <c r="D107" t="s">
        <v>2256</v>
      </c>
      <c r="E107" t="s">
        <v>2256</v>
      </c>
      <c r="F107">
        <v>58460</v>
      </c>
      <c r="G107">
        <v>58484</v>
      </c>
      <c r="H107">
        <v>1</v>
      </c>
      <c r="I107">
        <v>58460</v>
      </c>
      <c r="J107">
        <v>58476</v>
      </c>
      <c r="K107">
        <f>IF(Table5[[#This Row],[NeedsAttention]]=1,Table5[[#This Row],[Start]],Table5[[#This Row],[StartN]])</f>
        <v>58460</v>
      </c>
      <c r="L107">
        <f>IF(Table5[[#This Row],[NeedsAttention]]=1,Table5[[#This Row],[End]],Table5[[#This Row],[EndN]])</f>
        <v>58476</v>
      </c>
      <c r="M107" t="b">
        <f>Table5[[#This Row],[Merged.Start]]=L106+1</f>
        <v>1</v>
      </c>
      <c r="O107">
        <f>Table5[[#This Row],[Section]]</f>
        <v>106</v>
      </c>
      <c r="P107">
        <f>Table5[[#This Row],[Canon]]</f>
        <v>10</v>
      </c>
      <c r="Q107" s="1" t="str">
        <f>Table5[[#This Row],[Reference]]</f>
        <v>12.26A</v>
      </c>
      <c r="R107" s="3" t="str">
        <f>Table5[[#This Row],[StartR]]</f>
        <v>JHN 12:26</v>
      </c>
      <c r="S107" s="3" t="str">
        <f>Table5[[#This Row],[EndR]]</f>
        <v>JHN 12:26</v>
      </c>
      <c r="T107">
        <f>Table5[[#This Row],[Merged.Start]]</f>
        <v>58460</v>
      </c>
      <c r="U107">
        <f>Table5[[#This Row],[Merged.End]]</f>
        <v>58476</v>
      </c>
    </row>
    <row r="108" spans="1:21" x14ac:dyDescent="0.25">
      <c r="A108">
        <v>107</v>
      </c>
      <c r="B108">
        <v>4</v>
      </c>
      <c r="C108" t="s">
        <v>2257</v>
      </c>
      <c r="D108" t="s">
        <v>2256</v>
      </c>
      <c r="E108" t="s">
        <v>2258</v>
      </c>
      <c r="F108">
        <v>58460</v>
      </c>
      <c r="G108">
        <v>58507</v>
      </c>
      <c r="H108">
        <v>1</v>
      </c>
      <c r="I108">
        <v>58477</v>
      </c>
      <c r="J108">
        <v>58499</v>
      </c>
      <c r="K108">
        <f>IF(Table5[[#This Row],[NeedsAttention]]=1,Table5[[#This Row],[Start]],Table5[[#This Row],[StartN]])</f>
        <v>58477</v>
      </c>
      <c r="L108">
        <f>IF(Table5[[#This Row],[NeedsAttention]]=1,Table5[[#This Row],[End]],Table5[[#This Row],[EndN]])</f>
        <v>58499</v>
      </c>
      <c r="M108" t="b">
        <f>Table5[[#This Row],[Merged.Start]]=L107+1</f>
        <v>1</v>
      </c>
      <c r="O108">
        <f>Table5[[#This Row],[Section]]</f>
        <v>107</v>
      </c>
      <c r="P108">
        <f>Table5[[#This Row],[Canon]]</f>
        <v>4</v>
      </c>
      <c r="Q108" s="1" t="str">
        <f>Table5[[#This Row],[Reference]]</f>
        <v>12.26B-27A</v>
      </c>
      <c r="R108" s="3" t="str">
        <f>Table5[[#This Row],[StartR]]</f>
        <v>JHN 12:26</v>
      </c>
      <c r="S108" s="3" t="str">
        <f>Table5[[#This Row],[EndR]]</f>
        <v>JHN 12:27</v>
      </c>
      <c r="T108">
        <f>Table5[[#This Row],[Merged.Start]]</f>
        <v>58477</v>
      </c>
      <c r="U108">
        <f>Table5[[#This Row],[Merged.End]]</f>
        <v>58499</v>
      </c>
    </row>
    <row r="109" spans="1:21" x14ac:dyDescent="0.25">
      <c r="A109">
        <v>108</v>
      </c>
      <c r="B109">
        <v>10</v>
      </c>
      <c r="C109" t="s">
        <v>2259</v>
      </c>
      <c r="D109" t="s">
        <v>2258</v>
      </c>
      <c r="E109" t="s">
        <v>2260</v>
      </c>
      <c r="F109">
        <v>58485</v>
      </c>
      <c r="G109">
        <v>58704</v>
      </c>
      <c r="H109">
        <v>1</v>
      </c>
      <c r="I109">
        <v>58500</v>
      </c>
      <c r="J109">
        <v>58704</v>
      </c>
      <c r="K109">
        <f>IF(Table5[[#This Row],[NeedsAttention]]=1,Table5[[#This Row],[Start]],Table5[[#This Row],[StartN]])</f>
        <v>58500</v>
      </c>
      <c r="L109">
        <f>IF(Table5[[#This Row],[NeedsAttention]]=1,Table5[[#This Row],[End]],Table5[[#This Row],[EndN]])</f>
        <v>58704</v>
      </c>
      <c r="M109" t="b">
        <f>Table5[[#This Row],[Merged.Start]]=L108+1</f>
        <v>1</v>
      </c>
      <c r="O109">
        <f>Table5[[#This Row],[Section]]</f>
        <v>108</v>
      </c>
      <c r="P109">
        <f>Table5[[#This Row],[Canon]]</f>
        <v>10</v>
      </c>
      <c r="Q109" s="1" t="str">
        <f>Table5[[#This Row],[Reference]]</f>
        <v>12.27B-38</v>
      </c>
      <c r="R109" s="3" t="str">
        <f>Table5[[#This Row],[StartR]]</f>
        <v>JHN 12:27</v>
      </c>
      <c r="S109" s="3" t="str">
        <f>Table5[[#This Row],[EndR]]</f>
        <v>JHN 12:38</v>
      </c>
      <c r="T109">
        <f>Table5[[#This Row],[Merged.Start]]</f>
        <v>58500</v>
      </c>
      <c r="U109">
        <f>Table5[[#This Row],[Merged.End]]</f>
        <v>58704</v>
      </c>
    </row>
    <row r="110" spans="1:21" x14ac:dyDescent="0.25">
      <c r="A110">
        <v>109</v>
      </c>
      <c r="B110">
        <v>1</v>
      </c>
      <c r="C110" t="s">
        <v>1647</v>
      </c>
      <c r="D110" t="s">
        <v>2261</v>
      </c>
      <c r="E110" t="s">
        <v>2262</v>
      </c>
      <c r="F110">
        <v>58705</v>
      </c>
      <c r="G110">
        <v>58736</v>
      </c>
      <c r="H110">
        <v>0</v>
      </c>
      <c r="K110">
        <f>IF(Table5[[#This Row],[NeedsAttention]]=1,Table5[[#This Row],[Start]],Table5[[#This Row],[StartN]])</f>
        <v>58705</v>
      </c>
      <c r="L110">
        <f>IF(Table5[[#This Row],[NeedsAttention]]=1,Table5[[#This Row],[End]],Table5[[#This Row],[EndN]])</f>
        <v>58736</v>
      </c>
      <c r="M110" t="b">
        <f>Table5[[#This Row],[Merged.Start]]=L109+1</f>
        <v>1</v>
      </c>
      <c r="O110">
        <f>Table5[[#This Row],[Section]]</f>
        <v>109</v>
      </c>
      <c r="P110">
        <f>Table5[[#This Row],[Canon]]</f>
        <v>1</v>
      </c>
      <c r="Q110" s="1" t="str">
        <f>Table5[[#This Row],[Reference]]</f>
        <v>12.39-40</v>
      </c>
      <c r="R110" s="3" t="str">
        <f>Table5[[#This Row],[StartR]]</f>
        <v>JHN 12:39</v>
      </c>
      <c r="S110" s="3" t="str">
        <f>Table5[[#This Row],[EndR]]</f>
        <v>JHN 12:40</v>
      </c>
      <c r="T110">
        <f>Table5[[#This Row],[Merged.Start]]</f>
        <v>58705</v>
      </c>
      <c r="U110">
        <f>Table5[[#This Row],[Merged.End]]</f>
        <v>58736</v>
      </c>
    </row>
    <row r="111" spans="1:21" x14ac:dyDescent="0.25">
      <c r="A111">
        <v>110</v>
      </c>
      <c r="B111">
        <v>10</v>
      </c>
      <c r="C111" t="s">
        <v>2263</v>
      </c>
      <c r="D111" t="s">
        <v>2264</v>
      </c>
      <c r="E111" t="s">
        <v>2265</v>
      </c>
      <c r="F111">
        <v>58737</v>
      </c>
      <c r="G111">
        <v>58780</v>
      </c>
      <c r="H111">
        <v>0</v>
      </c>
      <c r="K111">
        <f>IF(Table5[[#This Row],[NeedsAttention]]=1,Table5[[#This Row],[Start]],Table5[[#This Row],[StartN]])</f>
        <v>58737</v>
      </c>
      <c r="L111">
        <f>IF(Table5[[#This Row],[NeedsAttention]]=1,Table5[[#This Row],[End]],Table5[[#This Row],[EndN]])</f>
        <v>58780</v>
      </c>
      <c r="M111" t="b">
        <f>Table5[[#This Row],[Merged.Start]]=L110+1</f>
        <v>1</v>
      </c>
      <c r="O111">
        <f>Table5[[#This Row],[Section]]</f>
        <v>110</v>
      </c>
      <c r="P111">
        <f>Table5[[#This Row],[Canon]]</f>
        <v>10</v>
      </c>
      <c r="Q111" s="1" t="str">
        <f>Table5[[#This Row],[Reference]]</f>
        <v>12.41-43</v>
      </c>
      <c r="R111" s="3" t="str">
        <f>Table5[[#This Row],[StartR]]</f>
        <v>JHN 12:41</v>
      </c>
      <c r="S111" s="3" t="str">
        <f>Table5[[#This Row],[EndR]]</f>
        <v>JHN 12:43</v>
      </c>
      <c r="T111">
        <f>Table5[[#This Row],[Merged.Start]]</f>
        <v>58737</v>
      </c>
      <c r="U111">
        <f>Table5[[#This Row],[Merged.End]]</f>
        <v>58780</v>
      </c>
    </row>
    <row r="112" spans="1:21" x14ac:dyDescent="0.25">
      <c r="A112">
        <v>111</v>
      </c>
      <c r="B112">
        <v>1</v>
      </c>
      <c r="C112" t="s">
        <v>2266</v>
      </c>
      <c r="D112" t="s">
        <v>2267</v>
      </c>
      <c r="E112" t="s">
        <v>2268</v>
      </c>
      <c r="F112">
        <v>58781</v>
      </c>
      <c r="G112">
        <v>58806</v>
      </c>
      <c r="H112">
        <v>0</v>
      </c>
      <c r="K112">
        <f>IF(Table5[[#This Row],[NeedsAttention]]=1,Table5[[#This Row],[Start]],Table5[[#This Row],[StartN]])</f>
        <v>58781</v>
      </c>
      <c r="L112">
        <f>IF(Table5[[#This Row],[NeedsAttention]]=1,Table5[[#This Row],[End]],Table5[[#This Row],[EndN]])</f>
        <v>58806</v>
      </c>
      <c r="M112" t="b">
        <f>Table5[[#This Row],[Merged.Start]]=L111+1</f>
        <v>1</v>
      </c>
      <c r="O112">
        <f>Table5[[#This Row],[Section]]</f>
        <v>111</v>
      </c>
      <c r="P112">
        <f>Table5[[#This Row],[Canon]]</f>
        <v>1</v>
      </c>
      <c r="Q112" s="1" t="str">
        <f>Table5[[#This Row],[Reference]]</f>
        <v>12.44-45</v>
      </c>
      <c r="R112" s="3" t="str">
        <f>Table5[[#This Row],[StartR]]</f>
        <v>JHN 12:44</v>
      </c>
      <c r="S112" s="3" t="str">
        <f>Table5[[#This Row],[EndR]]</f>
        <v>JHN 12:45</v>
      </c>
      <c r="T112">
        <f>Table5[[#This Row],[Merged.Start]]</f>
        <v>58781</v>
      </c>
      <c r="U112">
        <f>Table5[[#This Row],[Merged.End]]</f>
        <v>58806</v>
      </c>
    </row>
    <row r="113" spans="1:21" x14ac:dyDescent="0.25">
      <c r="A113">
        <v>112</v>
      </c>
      <c r="B113">
        <v>10</v>
      </c>
      <c r="C113" t="s">
        <v>2269</v>
      </c>
      <c r="D113" t="s">
        <v>2270</v>
      </c>
      <c r="E113" t="s">
        <v>2271</v>
      </c>
      <c r="F113">
        <v>58807</v>
      </c>
      <c r="G113">
        <v>58947</v>
      </c>
      <c r="H113">
        <v>0</v>
      </c>
      <c r="K113">
        <f>IF(Table5[[#This Row],[NeedsAttention]]=1,Table5[[#This Row],[Start]],Table5[[#This Row],[StartN]])</f>
        <v>58807</v>
      </c>
      <c r="L113">
        <f>IF(Table5[[#This Row],[NeedsAttention]]=1,Table5[[#This Row],[End]],Table5[[#This Row],[EndN]])</f>
        <v>58947</v>
      </c>
      <c r="M113" t="b">
        <f>Table5[[#This Row],[Merged.Start]]=L112+1</f>
        <v>1</v>
      </c>
      <c r="O113">
        <f>Table5[[#This Row],[Section]]</f>
        <v>112</v>
      </c>
      <c r="P113">
        <f>Table5[[#This Row],[Canon]]</f>
        <v>10</v>
      </c>
      <c r="Q113" s="1" t="str">
        <f>Table5[[#This Row],[Reference]]</f>
        <v>12.46-13.1</v>
      </c>
      <c r="R113" s="3" t="str">
        <f>Table5[[#This Row],[StartR]]</f>
        <v>JHN 12:46</v>
      </c>
      <c r="S113" s="3" t="str">
        <f>Table5[[#This Row],[EndR]]</f>
        <v>JHN 13:1</v>
      </c>
      <c r="T113">
        <f>Table5[[#This Row],[Merged.Start]]</f>
        <v>58807</v>
      </c>
      <c r="U113">
        <f>Table5[[#This Row],[Merged.End]]</f>
        <v>58947</v>
      </c>
    </row>
    <row r="114" spans="1:21" x14ac:dyDescent="0.25">
      <c r="A114">
        <v>113</v>
      </c>
      <c r="B114">
        <v>9</v>
      </c>
      <c r="C114">
        <v>13.2</v>
      </c>
      <c r="D114" t="s">
        <v>2272</v>
      </c>
      <c r="E114" t="s">
        <v>2272</v>
      </c>
      <c r="F114">
        <v>58948</v>
      </c>
      <c r="G114">
        <v>58963</v>
      </c>
      <c r="H114">
        <v>0</v>
      </c>
      <c r="K114">
        <f>IF(Table5[[#This Row],[NeedsAttention]]=1,Table5[[#This Row],[Start]],Table5[[#This Row],[StartN]])</f>
        <v>58948</v>
      </c>
      <c r="L114">
        <f>IF(Table5[[#This Row],[NeedsAttention]]=1,Table5[[#This Row],[End]],Table5[[#This Row],[EndN]])</f>
        <v>58963</v>
      </c>
      <c r="M114" t="b">
        <f>Table5[[#This Row],[Merged.Start]]=L113+1</f>
        <v>1</v>
      </c>
      <c r="O114">
        <f>Table5[[#This Row],[Section]]</f>
        <v>113</v>
      </c>
      <c r="P114">
        <f>Table5[[#This Row],[Canon]]</f>
        <v>9</v>
      </c>
      <c r="Q114" s="1">
        <f>Table5[[#This Row],[Reference]]</f>
        <v>13.2</v>
      </c>
      <c r="R114" s="3" t="str">
        <f>Table5[[#This Row],[StartR]]</f>
        <v>JHN 13:2</v>
      </c>
      <c r="S114" s="3" t="str">
        <f>Table5[[#This Row],[EndR]]</f>
        <v>JHN 13:2</v>
      </c>
      <c r="T114">
        <f>Table5[[#This Row],[Merged.Start]]</f>
        <v>58948</v>
      </c>
      <c r="U114">
        <f>Table5[[#This Row],[Merged.End]]</f>
        <v>58963</v>
      </c>
    </row>
    <row r="115" spans="1:21" x14ac:dyDescent="0.25">
      <c r="A115">
        <v>114</v>
      </c>
      <c r="B115">
        <v>3</v>
      </c>
      <c r="C115" t="s">
        <v>2273</v>
      </c>
      <c r="D115" t="s">
        <v>2274</v>
      </c>
      <c r="E115" t="s">
        <v>2274</v>
      </c>
      <c r="F115">
        <v>58964</v>
      </c>
      <c r="G115">
        <v>58983</v>
      </c>
      <c r="H115">
        <v>1</v>
      </c>
      <c r="I115">
        <v>58964</v>
      </c>
      <c r="J115">
        <v>58973</v>
      </c>
      <c r="K115">
        <f>IF(Table5[[#This Row],[NeedsAttention]]=1,Table5[[#This Row],[Start]],Table5[[#This Row],[StartN]])</f>
        <v>58964</v>
      </c>
      <c r="L115">
        <f>IF(Table5[[#This Row],[NeedsAttention]]=1,Table5[[#This Row],[End]],Table5[[#This Row],[EndN]])</f>
        <v>58973</v>
      </c>
      <c r="M115" t="b">
        <f>Table5[[#This Row],[Merged.Start]]=L114+1</f>
        <v>1</v>
      </c>
      <c r="O115">
        <f>Table5[[#This Row],[Section]]</f>
        <v>114</v>
      </c>
      <c r="P115">
        <f>Table5[[#This Row],[Canon]]</f>
        <v>3</v>
      </c>
      <c r="Q115" s="1" t="str">
        <f>Table5[[#This Row],[Reference]]</f>
        <v>13.3A</v>
      </c>
      <c r="R115" s="3" t="str">
        <f>Table5[[#This Row],[StartR]]</f>
        <v>JHN 13:3</v>
      </c>
      <c r="S115" s="3" t="str">
        <f>Table5[[#This Row],[EndR]]</f>
        <v>JHN 13:3</v>
      </c>
      <c r="T115">
        <f>Table5[[#This Row],[Merged.Start]]</f>
        <v>58964</v>
      </c>
      <c r="U115">
        <f>Table5[[#This Row],[Merged.End]]</f>
        <v>58973</v>
      </c>
    </row>
    <row r="116" spans="1:21" x14ac:dyDescent="0.25">
      <c r="A116">
        <v>115</v>
      </c>
      <c r="B116">
        <v>10</v>
      </c>
      <c r="C116" t="s">
        <v>2275</v>
      </c>
      <c r="D116" t="s">
        <v>2274</v>
      </c>
      <c r="E116" t="s">
        <v>2276</v>
      </c>
      <c r="F116">
        <v>58964</v>
      </c>
      <c r="G116">
        <v>59144</v>
      </c>
      <c r="H116">
        <v>1</v>
      </c>
      <c r="I116">
        <v>58974</v>
      </c>
      <c r="J116">
        <v>59144</v>
      </c>
      <c r="K116">
        <f>IF(Table5[[#This Row],[NeedsAttention]]=1,Table5[[#This Row],[Start]],Table5[[#This Row],[StartN]])</f>
        <v>58974</v>
      </c>
      <c r="L116">
        <f>IF(Table5[[#This Row],[NeedsAttention]]=1,Table5[[#This Row],[End]],Table5[[#This Row],[EndN]])</f>
        <v>59144</v>
      </c>
      <c r="M116" t="b">
        <f>Table5[[#This Row],[Merged.Start]]=L115+1</f>
        <v>1</v>
      </c>
      <c r="O116">
        <f>Table5[[#This Row],[Section]]</f>
        <v>115</v>
      </c>
      <c r="P116">
        <f>Table5[[#This Row],[Canon]]</f>
        <v>10</v>
      </c>
      <c r="Q116" s="1" t="str">
        <f>Table5[[#This Row],[Reference]]</f>
        <v>13.3B-12</v>
      </c>
      <c r="R116" s="3" t="str">
        <f>Table5[[#This Row],[StartR]]</f>
        <v>JHN 13:3</v>
      </c>
      <c r="S116" s="3" t="str">
        <f>Table5[[#This Row],[EndR]]</f>
        <v>JHN 13:12</v>
      </c>
      <c r="T116">
        <f>Table5[[#This Row],[Merged.Start]]</f>
        <v>58974</v>
      </c>
      <c r="U116">
        <f>Table5[[#This Row],[Merged.End]]</f>
        <v>59144</v>
      </c>
    </row>
    <row r="117" spans="1:21" x14ac:dyDescent="0.25">
      <c r="A117">
        <v>116</v>
      </c>
      <c r="B117">
        <v>3</v>
      </c>
      <c r="C117">
        <v>13.13</v>
      </c>
      <c r="D117" t="s">
        <v>2277</v>
      </c>
      <c r="E117" t="s">
        <v>2277</v>
      </c>
      <c r="F117">
        <v>59145</v>
      </c>
      <c r="G117">
        <v>59157</v>
      </c>
      <c r="H117">
        <v>0</v>
      </c>
      <c r="K117">
        <f>IF(Table5[[#This Row],[NeedsAttention]]=1,Table5[[#This Row],[Start]],Table5[[#This Row],[StartN]])</f>
        <v>59145</v>
      </c>
      <c r="L117">
        <f>IF(Table5[[#This Row],[NeedsAttention]]=1,Table5[[#This Row],[End]],Table5[[#This Row],[EndN]])</f>
        <v>59157</v>
      </c>
      <c r="M117" t="b">
        <f>Table5[[#This Row],[Merged.Start]]=L116+1</f>
        <v>1</v>
      </c>
      <c r="O117">
        <f>Table5[[#This Row],[Section]]</f>
        <v>116</v>
      </c>
      <c r="P117">
        <f>Table5[[#This Row],[Canon]]</f>
        <v>3</v>
      </c>
      <c r="Q117" s="1">
        <f>Table5[[#This Row],[Reference]]</f>
        <v>13.13</v>
      </c>
      <c r="R117" s="3" t="str">
        <f>Table5[[#This Row],[StartR]]</f>
        <v>JHN 13:13</v>
      </c>
      <c r="S117" s="3" t="str">
        <f>Table5[[#This Row],[EndR]]</f>
        <v>JHN 13:13</v>
      </c>
      <c r="T117">
        <f>Table5[[#This Row],[Merged.Start]]</f>
        <v>59145</v>
      </c>
      <c r="U117">
        <f>Table5[[#This Row],[Merged.End]]</f>
        <v>59157</v>
      </c>
    </row>
    <row r="118" spans="1:21" x14ac:dyDescent="0.25">
      <c r="A118">
        <v>117</v>
      </c>
      <c r="B118">
        <v>10</v>
      </c>
      <c r="C118" t="s">
        <v>2278</v>
      </c>
      <c r="D118" t="s">
        <v>2279</v>
      </c>
      <c r="E118" t="s">
        <v>2280</v>
      </c>
      <c r="F118">
        <v>59158</v>
      </c>
      <c r="G118">
        <v>59188</v>
      </c>
      <c r="H118">
        <v>0</v>
      </c>
      <c r="K118">
        <f>IF(Table5[[#This Row],[NeedsAttention]]=1,Table5[[#This Row],[Start]],Table5[[#This Row],[StartN]])</f>
        <v>59158</v>
      </c>
      <c r="L118">
        <f>IF(Table5[[#This Row],[NeedsAttention]]=1,Table5[[#This Row],[End]],Table5[[#This Row],[EndN]])</f>
        <v>59188</v>
      </c>
      <c r="M118" t="b">
        <f>Table5[[#This Row],[Merged.Start]]=L117+1</f>
        <v>1</v>
      </c>
      <c r="O118">
        <f>Table5[[#This Row],[Section]]</f>
        <v>117</v>
      </c>
      <c r="P118">
        <f>Table5[[#This Row],[Canon]]</f>
        <v>10</v>
      </c>
      <c r="Q118" s="1" t="str">
        <f>Table5[[#This Row],[Reference]]</f>
        <v>13.14-15</v>
      </c>
      <c r="R118" s="3" t="str">
        <f>Table5[[#This Row],[StartR]]</f>
        <v>JHN 13:14</v>
      </c>
      <c r="S118" s="3" t="str">
        <f>Table5[[#This Row],[EndR]]</f>
        <v>JHN 13:15</v>
      </c>
      <c r="T118">
        <f>Table5[[#This Row],[Merged.Start]]</f>
        <v>59158</v>
      </c>
      <c r="U118">
        <f>Table5[[#This Row],[Merged.End]]</f>
        <v>59188</v>
      </c>
    </row>
    <row r="119" spans="1:21" x14ac:dyDescent="0.25">
      <c r="A119">
        <v>118</v>
      </c>
      <c r="B119">
        <v>3</v>
      </c>
      <c r="C119" t="s">
        <v>306</v>
      </c>
      <c r="D119" t="s">
        <v>2281</v>
      </c>
      <c r="E119" t="s">
        <v>2282</v>
      </c>
      <c r="F119">
        <v>59189</v>
      </c>
      <c r="G119">
        <v>59213</v>
      </c>
      <c r="H119">
        <v>0</v>
      </c>
      <c r="K119">
        <f>IF(Table5[[#This Row],[NeedsAttention]]=1,Table5[[#This Row],[Start]],Table5[[#This Row],[StartN]])</f>
        <v>59189</v>
      </c>
      <c r="L119">
        <f>IF(Table5[[#This Row],[NeedsAttention]]=1,Table5[[#This Row],[End]],Table5[[#This Row],[EndN]])</f>
        <v>59213</v>
      </c>
      <c r="M119" t="b">
        <f>Table5[[#This Row],[Merged.Start]]=L118+1</f>
        <v>1</v>
      </c>
      <c r="O119">
        <f>Table5[[#This Row],[Section]]</f>
        <v>118</v>
      </c>
      <c r="P119">
        <f>Table5[[#This Row],[Canon]]</f>
        <v>3</v>
      </c>
      <c r="Q119" s="1" t="str">
        <f>Table5[[#This Row],[Reference]]</f>
        <v>13.16-17</v>
      </c>
      <c r="R119" s="3" t="str">
        <f>Table5[[#This Row],[StartR]]</f>
        <v>JHN 13:16</v>
      </c>
      <c r="S119" s="3" t="str">
        <f>Table5[[#This Row],[EndR]]</f>
        <v>JHN 13:17</v>
      </c>
      <c r="T119">
        <f>Table5[[#This Row],[Merged.Start]]</f>
        <v>59189</v>
      </c>
      <c r="U119">
        <f>Table5[[#This Row],[Merged.End]]</f>
        <v>59213</v>
      </c>
    </row>
    <row r="120" spans="1:21" x14ac:dyDescent="0.25">
      <c r="A120">
        <v>119</v>
      </c>
      <c r="B120">
        <v>10</v>
      </c>
      <c r="C120" t="s">
        <v>1677</v>
      </c>
      <c r="D120" t="s">
        <v>2283</v>
      </c>
      <c r="E120" t="s">
        <v>2284</v>
      </c>
      <c r="F120">
        <v>59214</v>
      </c>
      <c r="G120">
        <v>59252</v>
      </c>
      <c r="H120">
        <v>0</v>
      </c>
      <c r="K120">
        <f>IF(Table5[[#This Row],[NeedsAttention]]=1,Table5[[#This Row],[Start]],Table5[[#This Row],[StartN]])</f>
        <v>59214</v>
      </c>
      <c r="L120">
        <f>IF(Table5[[#This Row],[NeedsAttention]]=1,Table5[[#This Row],[End]],Table5[[#This Row],[EndN]])</f>
        <v>59252</v>
      </c>
      <c r="M120" t="b">
        <f>Table5[[#This Row],[Merged.Start]]=L119+1</f>
        <v>1</v>
      </c>
      <c r="O120">
        <f>Table5[[#This Row],[Section]]</f>
        <v>119</v>
      </c>
      <c r="P120">
        <f>Table5[[#This Row],[Canon]]</f>
        <v>10</v>
      </c>
      <c r="Q120" s="1" t="str">
        <f>Table5[[#This Row],[Reference]]</f>
        <v>13.18-19</v>
      </c>
      <c r="R120" s="3" t="str">
        <f>Table5[[#This Row],[StartR]]</f>
        <v>JHN 13:18</v>
      </c>
      <c r="S120" s="3" t="str">
        <f>Table5[[#This Row],[EndR]]</f>
        <v>JHN 13:19</v>
      </c>
      <c r="T120">
        <f>Table5[[#This Row],[Merged.Start]]</f>
        <v>59214</v>
      </c>
      <c r="U120">
        <f>Table5[[#This Row],[Merged.End]]</f>
        <v>59252</v>
      </c>
    </row>
    <row r="121" spans="1:21" x14ac:dyDescent="0.25">
      <c r="A121">
        <v>120</v>
      </c>
      <c r="B121">
        <v>1</v>
      </c>
      <c r="C121">
        <v>13.2</v>
      </c>
      <c r="D121" t="s">
        <v>2546</v>
      </c>
      <c r="E121" t="s">
        <v>2546</v>
      </c>
      <c r="F121">
        <v>59253</v>
      </c>
      <c r="G121">
        <v>59271</v>
      </c>
      <c r="H121">
        <v>0</v>
      </c>
      <c r="K121">
        <f>IF(Table5[[#This Row],[NeedsAttention]]=1,Table5[[#This Row],[Start]],Table5[[#This Row],[StartN]])</f>
        <v>59253</v>
      </c>
      <c r="L121">
        <f>IF(Table5[[#This Row],[NeedsAttention]]=1,Table5[[#This Row],[End]],Table5[[#This Row],[EndN]])</f>
        <v>59271</v>
      </c>
      <c r="M121" t="b">
        <f>Table5[[#This Row],[Merged.Start]]=L120+1</f>
        <v>1</v>
      </c>
      <c r="O121">
        <f>Table5[[#This Row],[Section]]</f>
        <v>120</v>
      </c>
      <c r="P121">
        <f>Table5[[#This Row],[Canon]]</f>
        <v>1</v>
      </c>
      <c r="Q121" s="1">
        <f>Table5[[#This Row],[Reference]]</f>
        <v>13.2</v>
      </c>
      <c r="R121" s="3" t="str">
        <f>Table5[[#This Row],[StartR]]</f>
        <v>JHN 13:20</v>
      </c>
      <c r="S121" s="3" t="str">
        <f>Table5[[#This Row],[EndR]]</f>
        <v>JHN 13:20</v>
      </c>
      <c r="T121">
        <f>Table5[[#This Row],[Merged.Start]]</f>
        <v>59253</v>
      </c>
      <c r="U121">
        <f>Table5[[#This Row],[Merged.End]]</f>
        <v>59271</v>
      </c>
    </row>
    <row r="122" spans="1:21" x14ac:dyDescent="0.25">
      <c r="A122">
        <v>121</v>
      </c>
      <c r="B122">
        <v>4</v>
      </c>
      <c r="C122">
        <v>13.21</v>
      </c>
      <c r="D122" t="s">
        <v>2285</v>
      </c>
      <c r="E122" t="s">
        <v>2285</v>
      </c>
      <c r="F122">
        <v>59272</v>
      </c>
      <c r="G122">
        <v>59292</v>
      </c>
      <c r="H122">
        <v>0</v>
      </c>
      <c r="K122">
        <f>IF(Table5[[#This Row],[NeedsAttention]]=1,Table5[[#This Row],[Start]],Table5[[#This Row],[StartN]])</f>
        <v>59272</v>
      </c>
      <c r="L122">
        <f>IF(Table5[[#This Row],[NeedsAttention]]=1,Table5[[#This Row],[End]],Table5[[#This Row],[EndN]])</f>
        <v>59292</v>
      </c>
      <c r="M122" t="b">
        <f>Table5[[#This Row],[Merged.Start]]=L121+1</f>
        <v>1</v>
      </c>
      <c r="O122">
        <f>Table5[[#This Row],[Section]]</f>
        <v>121</v>
      </c>
      <c r="P122">
        <f>Table5[[#This Row],[Canon]]</f>
        <v>4</v>
      </c>
      <c r="Q122" s="1">
        <f>Table5[[#This Row],[Reference]]</f>
        <v>13.21</v>
      </c>
      <c r="R122" s="3" t="str">
        <f>Table5[[#This Row],[StartR]]</f>
        <v>JHN 13:21</v>
      </c>
      <c r="S122" s="3" t="str">
        <f>Table5[[#This Row],[EndR]]</f>
        <v>JHN 13:21</v>
      </c>
      <c r="T122">
        <f>Table5[[#This Row],[Merged.Start]]</f>
        <v>59272</v>
      </c>
      <c r="U122">
        <f>Table5[[#This Row],[Merged.End]]</f>
        <v>59292</v>
      </c>
    </row>
    <row r="123" spans="1:21" x14ac:dyDescent="0.25">
      <c r="A123">
        <v>122</v>
      </c>
      <c r="B123">
        <v>1</v>
      </c>
      <c r="C123">
        <v>13.22</v>
      </c>
      <c r="D123" t="s">
        <v>2286</v>
      </c>
      <c r="E123" t="s">
        <v>2286</v>
      </c>
      <c r="F123">
        <v>59293</v>
      </c>
      <c r="G123">
        <v>59301</v>
      </c>
      <c r="H123">
        <v>0</v>
      </c>
      <c r="K123">
        <f>IF(Table5[[#This Row],[NeedsAttention]]=1,Table5[[#This Row],[Start]],Table5[[#This Row],[StartN]])</f>
        <v>59293</v>
      </c>
      <c r="L123">
        <f>IF(Table5[[#This Row],[NeedsAttention]]=1,Table5[[#This Row],[End]],Table5[[#This Row],[EndN]])</f>
        <v>59301</v>
      </c>
      <c r="M123" t="b">
        <f>Table5[[#This Row],[Merged.Start]]=L122+1</f>
        <v>1</v>
      </c>
      <c r="O123">
        <f>Table5[[#This Row],[Section]]</f>
        <v>122</v>
      </c>
      <c r="P123">
        <f>Table5[[#This Row],[Canon]]</f>
        <v>1</v>
      </c>
      <c r="Q123" s="1">
        <f>Table5[[#This Row],[Reference]]</f>
        <v>13.22</v>
      </c>
      <c r="R123" s="3" t="str">
        <f>Table5[[#This Row],[StartR]]</f>
        <v>JHN 13:22</v>
      </c>
      <c r="S123" s="3" t="str">
        <f>Table5[[#This Row],[EndR]]</f>
        <v>JHN 13:22</v>
      </c>
      <c r="T123">
        <f>Table5[[#This Row],[Merged.Start]]</f>
        <v>59293</v>
      </c>
      <c r="U123">
        <f>Table5[[#This Row],[Merged.End]]</f>
        <v>59301</v>
      </c>
    </row>
    <row r="124" spans="1:21" x14ac:dyDescent="0.25">
      <c r="A124">
        <v>123</v>
      </c>
      <c r="B124">
        <v>10</v>
      </c>
      <c r="C124" t="s">
        <v>2287</v>
      </c>
      <c r="D124" t="s">
        <v>2288</v>
      </c>
      <c r="E124" t="s">
        <v>2289</v>
      </c>
      <c r="F124">
        <v>59302</v>
      </c>
      <c r="G124">
        <v>59363</v>
      </c>
      <c r="H124">
        <v>1</v>
      </c>
      <c r="I124">
        <v>59302</v>
      </c>
      <c r="J124">
        <v>59355</v>
      </c>
      <c r="K124">
        <f>IF(Table5[[#This Row],[NeedsAttention]]=1,Table5[[#This Row],[Start]],Table5[[#This Row],[StartN]])</f>
        <v>59302</v>
      </c>
      <c r="L124">
        <f>IF(Table5[[#This Row],[NeedsAttention]]=1,Table5[[#This Row],[End]],Table5[[#This Row],[EndN]])</f>
        <v>59355</v>
      </c>
      <c r="M124" t="b">
        <f>Table5[[#This Row],[Merged.Start]]=L123+1</f>
        <v>1</v>
      </c>
      <c r="O124">
        <f>Table5[[#This Row],[Section]]</f>
        <v>123</v>
      </c>
      <c r="P124">
        <f>Table5[[#This Row],[Canon]]</f>
        <v>10</v>
      </c>
      <c r="Q124" s="1" t="str">
        <f>Table5[[#This Row],[Reference]]</f>
        <v>13.23-26A</v>
      </c>
      <c r="R124" s="3" t="str">
        <f>Table5[[#This Row],[StartR]]</f>
        <v>JHN 13:23</v>
      </c>
      <c r="S124" s="3" t="str">
        <f>Table5[[#This Row],[EndR]]</f>
        <v>JHN 13:26</v>
      </c>
      <c r="T124">
        <f>Table5[[#This Row],[Merged.Start]]</f>
        <v>59302</v>
      </c>
      <c r="U124">
        <f>Table5[[#This Row],[Merged.End]]</f>
        <v>59355</v>
      </c>
    </row>
    <row r="125" spans="1:21" x14ac:dyDescent="0.25">
      <c r="A125">
        <v>124</v>
      </c>
      <c r="B125">
        <v>10</v>
      </c>
      <c r="C125" t="s">
        <v>2290</v>
      </c>
      <c r="D125" t="s">
        <v>2289</v>
      </c>
      <c r="E125" t="s">
        <v>2291</v>
      </c>
      <c r="F125">
        <v>59343</v>
      </c>
      <c r="G125">
        <v>59382</v>
      </c>
      <c r="H125">
        <v>1</v>
      </c>
      <c r="I125">
        <v>59356</v>
      </c>
      <c r="J125">
        <v>59373</v>
      </c>
      <c r="K125">
        <f>IF(Table5[[#This Row],[NeedsAttention]]=1,Table5[[#This Row],[Start]],Table5[[#This Row],[StartN]])</f>
        <v>59356</v>
      </c>
      <c r="L125">
        <f>IF(Table5[[#This Row],[NeedsAttention]]=1,Table5[[#This Row],[End]],Table5[[#This Row],[EndN]])</f>
        <v>59373</v>
      </c>
      <c r="M125" t="b">
        <f>Table5[[#This Row],[Merged.Start]]=L124+1</f>
        <v>1</v>
      </c>
      <c r="O125">
        <f>Table5[[#This Row],[Section]]</f>
        <v>124</v>
      </c>
      <c r="P125">
        <f>Table5[[#This Row],[Canon]]</f>
        <v>10</v>
      </c>
      <c r="Q125" s="1" t="str">
        <f>Table5[[#This Row],[Reference]]</f>
        <v>13.26B-27A</v>
      </c>
      <c r="R125" s="3" t="str">
        <f>Table5[[#This Row],[StartR]]</f>
        <v>JHN 13:26</v>
      </c>
      <c r="S125" s="3" t="str">
        <f>Table5[[#This Row],[EndR]]</f>
        <v>JHN 13:27</v>
      </c>
      <c r="T125">
        <f>Table5[[#This Row],[Merged.Start]]</f>
        <v>59356</v>
      </c>
      <c r="U125">
        <f>Table5[[#This Row],[Merged.End]]</f>
        <v>59373</v>
      </c>
    </row>
    <row r="126" spans="1:21" x14ac:dyDescent="0.25">
      <c r="A126">
        <v>125</v>
      </c>
      <c r="B126">
        <v>10</v>
      </c>
      <c r="C126" t="s">
        <v>2292</v>
      </c>
      <c r="D126" t="s">
        <v>2291</v>
      </c>
      <c r="E126" t="s">
        <v>2293</v>
      </c>
      <c r="F126">
        <v>59364</v>
      </c>
      <c r="G126">
        <v>59515</v>
      </c>
      <c r="H126">
        <v>1</v>
      </c>
      <c r="I126">
        <v>59374</v>
      </c>
      <c r="J126">
        <v>59515</v>
      </c>
      <c r="K126">
        <f>IF(Table5[[#This Row],[NeedsAttention]]=1,Table5[[#This Row],[Start]],Table5[[#This Row],[StartN]])</f>
        <v>59374</v>
      </c>
      <c r="L126">
        <f>IF(Table5[[#This Row],[NeedsAttention]]=1,Table5[[#This Row],[End]],Table5[[#This Row],[EndN]])</f>
        <v>59515</v>
      </c>
      <c r="M126" t="b">
        <f>Table5[[#This Row],[Merged.Start]]=L125+1</f>
        <v>1</v>
      </c>
      <c r="O126">
        <f>Table5[[#This Row],[Section]]</f>
        <v>125</v>
      </c>
      <c r="P126">
        <f>Table5[[#This Row],[Canon]]</f>
        <v>10</v>
      </c>
      <c r="Q126" s="1" t="str">
        <f>Table5[[#This Row],[Reference]]</f>
        <v>13.27B-35</v>
      </c>
      <c r="R126" s="3" t="str">
        <f>Table5[[#This Row],[StartR]]</f>
        <v>JHN 13:27</v>
      </c>
      <c r="S126" s="3" t="str">
        <f>Table5[[#This Row],[EndR]]</f>
        <v>JHN 13:35</v>
      </c>
      <c r="T126">
        <f>Table5[[#This Row],[Merged.Start]]</f>
        <v>59374</v>
      </c>
      <c r="U126">
        <f>Table5[[#This Row],[Merged.End]]</f>
        <v>59515</v>
      </c>
    </row>
    <row r="127" spans="1:21" x14ac:dyDescent="0.25">
      <c r="A127">
        <v>126</v>
      </c>
      <c r="B127">
        <v>1</v>
      </c>
      <c r="C127" t="s">
        <v>2294</v>
      </c>
      <c r="D127" t="s">
        <v>2295</v>
      </c>
      <c r="E127" t="s">
        <v>2296</v>
      </c>
      <c r="F127">
        <v>59516</v>
      </c>
      <c r="G127">
        <v>59573</v>
      </c>
      <c r="H127">
        <v>0</v>
      </c>
      <c r="K127">
        <f>IF(Table5[[#This Row],[NeedsAttention]]=1,Table5[[#This Row],[Start]],Table5[[#This Row],[StartN]])</f>
        <v>59516</v>
      </c>
      <c r="L127">
        <f>IF(Table5[[#This Row],[NeedsAttention]]=1,Table5[[#This Row],[End]],Table5[[#This Row],[EndN]])</f>
        <v>59573</v>
      </c>
      <c r="M127" t="b">
        <f>Table5[[#This Row],[Merged.Start]]=L126+1</f>
        <v>1</v>
      </c>
      <c r="O127">
        <f>Table5[[#This Row],[Section]]</f>
        <v>126</v>
      </c>
      <c r="P127">
        <f>Table5[[#This Row],[Canon]]</f>
        <v>1</v>
      </c>
      <c r="Q127" s="1" t="str">
        <f>Table5[[#This Row],[Reference]]</f>
        <v>13.36-38</v>
      </c>
      <c r="R127" s="3" t="str">
        <f>Table5[[#This Row],[StartR]]</f>
        <v>JHN 13:36</v>
      </c>
      <c r="S127" s="3" t="str">
        <f>Table5[[#This Row],[EndR]]</f>
        <v>JHN 13:38</v>
      </c>
      <c r="T127">
        <f>Table5[[#This Row],[Merged.Start]]</f>
        <v>59516</v>
      </c>
      <c r="U127">
        <f>Table5[[#This Row],[Merged.End]]</f>
        <v>59573</v>
      </c>
    </row>
    <row r="128" spans="1:21" x14ac:dyDescent="0.25">
      <c r="A128">
        <v>127</v>
      </c>
      <c r="B128">
        <v>10</v>
      </c>
      <c r="C128" t="s">
        <v>2297</v>
      </c>
      <c r="D128" t="s">
        <v>2298</v>
      </c>
      <c r="E128" t="s">
        <v>2299</v>
      </c>
      <c r="F128">
        <v>59574</v>
      </c>
      <c r="G128">
        <v>59802</v>
      </c>
      <c r="H128">
        <v>0</v>
      </c>
      <c r="K128">
        <f>IF(Table5[[#This Row],[NeedsAttention]]=1,Table5[[#This Row],[Start]],Table5[[#This Row],[StartN]])</f>
        <v>59574</v>
      </c>
      <c r="L128">
        <f>IF(Table5[[#This Row],[NeedsAttention]]=1,Table5[[#This Row],[End]],Table5[[#This Row],[EndN]])</f>
        <v>59802</v>
      </c>
      <c r="M128" t="b">
        <f>Table5[[#This Row],[Merged.Start]]=L127+1</f>
        <v>1</v>
      </c>
      <c r="O128">
        <f>Table5[[#This Row],[Section]]</f>
        <v>127</v>
      </c>
      <c r="P128">
        <f>Table5[[#This Row],[Canon]]</f>
        <v>10</v>
      </c>
      <c r="Q128" s="1" t="str">
        <f>Table5[[#This Row],[Reference]]</f>
        <v>14.1-12</v>
      </c>
      <c r="R128" s="3" t="str">
        <f>Table5[[#This Row],[StartR]]</f>
        <v>JHN 14:1</v>
      </c>
      <c r="S128" s="3" t="str">
        <f>Table5[[#This Row],[EndR]]</f>
        <v>JHN 14:12</v>
      </c>
      <c r="T128">
        <f>Table5[[#This Row],[Merged.Start]]</f>
        <v>59574</v>
      </c>
      <c r="U128">
        <f>Table5[[#This Row],[Merged.End]]</f>
        <v>59802</v>
      </c>
    </row>
    <row r="129" spans="1:21" x14ac:dyDescent="0.25">
      <c r="A129">
        <v>128</v>
      </c>
      <c r="B129">
        <v>4</v>
      </c>
      <c r="C129" t="s">
        <v>2300</v>
      </c>
      <c r="D129" t="s">
        <v>2301</v>
      </c>
      <c r="E129" t="s">
        <v>2302</v>
      </c>
      <c r="F129">
        <v>59803</v>
      </c>
      <c r="G129">
        <v>59954</v>
      </c>
      <c r="H129">
        <v>1</v>
      </c>
      <c r="I129">
        <v>59803</v>
      </c>
      <c r="J129">
        <v>59938</v>
      </c>
      <c r="K129">
        <f>IF(Table5[[#This Row],[NeedsAttention]]=1,Table5[[#This Row],[Start]],Table5[[#This Row],[StartN]])</f>
        <v>59803</v>
      </c>
      <c r="L129">
        <f>IF(Table5[[#This Row],[NeedsAttention]]=1,Table5[[#This Row],[End]],Table5[[#This Row],[EndN]])</f>
        <v>59938</v>
      </c>
      <c r="M129" t="b">
        <f>Table5[[#This Row],[Merged.Start]]=L128+1</f>
        <v>1</v>
      </c>
      <c r="O129">
        <f>Table5[[#This Row],[Section]]</f>
        <v>128</v>
      </c>
      <c r="P129">
        <f>Table5[[#This Row],[Canon]]</f>
        <v>4</v>
      </c>
      <c r="Q129" s="1" t="str">
        <f>Table5[[#This Row],[Reference]]</f>
        <v>14.13-21A</v>
      </c>
      <c r="R129" s="3" t="str">
        <f>Table5[[#This Row],[StartR]]</f>
        <v>JHN 14:13</v>
      </c>
      <c r="S129" s="3" t="str">
        <f>Table5[[#This Row],[EndR]]</f>
        <v>JHN 14:21</v>
      </c>
      <c r="T129">
        <f>Table5[[#This Row],[Merged.Start]]</f>
        <v>59803</v>
      </c>
      <c r="U129">
        <f>Table5[[#This Row],[Merged.End]]</f>
        <v>59938</v>
      </c>
    </row>
    <row r="130" spans="1:21" x14ac:dyDescent="0.25">
      <c r="A130">
        <v>129</v>
      </c>
      <c r="B130">
        <v>1</v>
      </c>
      <c r="C130" t="s">
        <v>1164</v>
      </c>
      <c r="D130" t="s">
        <v>2302</v>
      </c>
      <c r="E130" t="s">
        <v>2302</v>
      </c>
      <c r="F130">
        <v>59926</v>
      </c>
      <c r="G130">
        <v>59954</v>
      </c>
      <c r="H130">
        <v>1</v>
      </c>
      <c r="I130">
        <v>59939</v>
      </c>
      <c r="J130">
        <v>59954</v>
      </c>
      <c r="K130">
        <f>IF(Table5[[#This Row],[NeedsAttention]]=1,Table5[[#This Row],[Start]],Table5[[#This Row],[StartN]])</f>
        <v>59939</v>
      </c>
      <c r="L130">
        <f>IF(Table5[[#This Row],[NeedsAttention]]=1,Table5[[#This Row],[End]],Table5[[#This Row],[EndN]])</f>
        <v>59954</v>
      </c>
      <c r="M130" t="b">
        <f>Table5[[#This Row],[Merged.Start]]=L129+1</f>
        <v>1</v>
      </c>
      <c r="O130">
        <f>Table5[[#This Row],[Section]]</f>
        <v>129</v>
      </c>
      <c r="P130">
        <f>Table5[[#This Row],[Canon]]</f>
        <v>1</v>
      </c>
      <c r="Q130" s="1" t="str">
        <f>Table5[[#This Row],[Reference]]</f>
        <v>14.21B</v>
      </c>
      <c r="R130" s="3" t="str">
        <f>Table5[[#This Row],[StartR]]</f>
        <v>JHN 14:21</v>
      </c>
      <c r="S130" s="3" t="str">
        <f>Table5[[#This Row],[EndR]]</f>
        <v>JHN 14:21</v>
      </c>
      <c r="T130">
        <f>Table5[[#This Row],[Merged.Start]]</f>
        <v>59939</v>
      </c>
      <c r="U130">
        <f>Table5[[#This Row],[Merged.End]]</f>
        <v>59954</v>
      </c>
    </row>
    <row r="131" spans="1:21" x14ac:dyDescent="0.25">
      <c r="A131">
        <v>130</v>
      </c>
      <c r="B131">
        <v>10</v>
      </c>
      <c r="C131" t="s">
        <v>2303</v>
      </c>
      <c r="D131" t="s">
        <v>2304</v>
      </c>
      <c r="E131" t="s">
        <v>2305</v>
      </c>
      <c r="F131">
        <v>59955</v>
      </c>
      <c r="G131">
        <v>60022</v>
      </c>
      <c r="H131">
        <v>1</v>
      </c>
      <c r="I131">
        <v>59955</v>
      </c>
      <c r="J131">
        <v>60009</v>
      </c>
      <c r="K131">
        <f>IF(Table5[[#This Row],[NeedsAttention]]=1,Table5[[#This Row],[Start]],Table5[[#This Row],[StartN]])</f>
        <v>59955</v>
      </c>
      <c r="L131">
        <f>IF(Table5[[#This Row],[NeedsAttention]]=1,Table5[[#This Row],[End]],Table5[[#This Row],[EndN]])</f>
        <v>60009</v>
      </c>
      <c r="M131" t="b">
        <f>Table5[[#This Row],[Merged.Start]]=L130+1</f>
        <v>1</v>
      </c>
      <c r="O131">
        <f>Table5[[#This Row],[Section]]</f>
        <v>130</v>
      </c>
      <c r="P131">
        <f>Table5[[#This Row],[Canon]]</f>
        <v>10</v>
      </c>
      <c r="Q131" s="1" t="str">
        <f>Table5[[#This Row],[Reference]]</f>
        <v>14.22-24A</v>
      </c>
      <c r="R131" s="3" t="str">
        <f>Table5[[#This Row],[StartR]]</f>
        <v>JHN 14:22</v>
      </c>
      <c r="S131" s="3" t="str">
        <f>Table5[[#This Row],[EndR]]</f>
        <v>JHN 14:24</v>
      </c>
      <c r="T131">
        <f>Table5[[#This Row],[Merged.Start]]</f>
        <v>59955</v>
      </c>
      <c r="U131">
        <f>Table5[[#This Row],[Merged.End]]</f>
        <v>60009</v>
      </c>
    </row>
    <row r="132" spans="1:21" x14ac:dyDescent="0.25">
      <c r="A132">
        <v>131</v>
      </c>
      <c r="B132">
        <v>1</v>
      </c>
      <c r="C132" t="s">
        <v>2306</v>
      </c>
      <c r="D132" t="s">
        <v>2305</v>
      </c>
      <c r="E132" t="s">
        <v>2307</v>
      </c>
      <c r="F132">
        <v>60001</v>
      </c>
      <c r="G132">
        <v>60028</v>
      </c>
      <c r="H132">
        <v>1</v>
      </c>
      <c r="I132">
        <v>60010</v>
      </c>
      <c r="J132">
        <v>60028</v>
      </c>
      <c r="K132">
        <f>IF(Table5[[#This Row],[NeedsAttention]]=1,Table5[[#This Row],[Start]],Table5[[#This Row],[StartN]])</f>
        <v>60010</v>
      </c>
      <c r="L132">
        <f>IF(Table5[[#This Row],[NeedsAttention]]=1,Table5[[#This Row],[End]],Table5[[#This Row],[EndN]])</f>
        <v>60028</v>
      </c>
      <c r="M132" t="b">
        <f>Table5[[#This Row],[Merged.Start]]=L131+1</f>
        <v>1</v>
      </c>
      <c r="O132">
        <f>Table5[[#This Row],[Section]]</f>
        <v>131</v>
      </c>
      <c r="P132">
        <f>Table5[[#This Row],[Canon]]</f>
        <v>1</v>
      </c>
      <c r="Q132" s="1" t="str">
        <f>Table5[[#This Row],[Reference]]</f>
        <v>14.24B-25</v>
      </c>
      <c r="R132" s="3" t="str">
        <f>Table5[[#This Row],[StartR]]</f>
        <v>JHN 14:24</v>
      </c>
      <c r="S132" s="3" t="str">
        <f>Table5[[#This Row],[EndR]]</f>
        <v>JHN 14:25</v>
      </c>
      <c r="T132">
        <f>Table5[[#This Row],[Merged.Start]]</f>
        <v>60010</v>
      </c>
      <c r="U132">
        <f>Table5[[#This Row],[Merged.End]]</f>
        <v>60028</v>
      </c>
    </row>
    <row r="133" spans="1:21" x14ac:dyDescent="0.25">
      <c r="A133">
        <v>132</v>
      </c>
      <c r="B133">
        <v>10</v>
      </c>
      <c r="C133" t="s">
        <v>2308</v>
      </c>
      <c r="D133" t="s">
        <v>2309</v>
      </c>
      <c r="E133" t="s">
        <v>2310</v>
      </c>
      <c r="F133">
        <v>60029</v>
      </c>
      <c r="G133">
        <v>60270</v>
      </c>
      <c r="H133">
        <v>0</v>
      </c>
      <c r="K133">
        <f>IF(Table5[[#This Row],[NeedsAttention]]=1,Table5[[#This Row],[Start]],Table5[[#This Row],[StartN]])</f>
        <v>60029</v>
      </c>
      <c r="L133">
        <f>IF(Table5[[#This Row],[NeedsAttention]]=1,Table5[[#This Row],[End]],Table5[[#This Row],[EndN]])</f>
        <v>60270</v>
      </c>
      <c r="M133" t="b">
        <f>Table5[[#This Row],[Merged.Start]]=L132+1</f>
        <v>1</v>
      </c>
      <c r="O133">
        <f>Table5[[#This Row],[Section]]</f>
        <v>132</v>
      </c>
      <c r="P133">
        <f>Table5[[#This Row],[Canon]]</f>
        <v>10</v>
      </c>
      <c r="Q133" s="1" t="str">
        <f>Table5[[#This Row],[Reference]]</f>
        <v>14.26-15.6</v>
      </c>
      <c r="R133" s="3" t="str">
        <f>Table5[[#This Row],[StartR]]</f>
        <v>JHN 14:26</v>
      </c>
      <c r="S133" s="3" t="str">
        <f>Table5[[#This Row],[EndR]]</f>
        <v>JHN 15:6</v>
      </c>
      <c r="T133">
        <f>Table5[[#This Row],[Merged.Start]]</f>
        <v>60029</v>
      </c>
      <c r="U133">
        <f>Table5[[#This Row],[Merged.End]]</f>
        <v>60270</v>
      </c>
    </row>
    <row r="134" spans="1:21" x14ac:dyDescent="0.25">
      <c r="A134">
        <v>133</v>
      </c>
      <c r="B134">
        <v>4</v>
      </c>
      <c r="C134">
        <v>15.7</v>
      </c>
      <c r="D134" t="s">
        <v>2311</v>
      </c>
      <c r="E134" t="s">
        <v>2311</v>
      </c>
      <c r="F134">
        <v>60271</v>
      </c>
      <c r="G134">
        <v>60288</v>
      </c>
      <c r="H134">
        <v>0</v>
      </c>
      <c r="K134">
        <f>IF(Table5[[#This Row],[NeedsAttention]]=1,Table5[[#This Row],[Start]],Table5[[#This Row],[StartN]])</f>
        <v>60271</v>
      </c>
      <c r="L134">
        <f>IF(Table5[[#This Row],[NeedsAttention]]=1,Table5[[#This Row],[End]],Table5[[#This Row],[EndN]])</f>
        <v>60288</v>
      </c>
      <c r="M134" t="b">
        <f>Table5[[#This Row],[Merged.Start]]=L133+1</f>
        <v>1</v>
      </c>
      <c r="O134">
        <f>Table5[[#This Row],[Section]]</f>
        <v>133</v>
      </c>
      <c r="P134">
        <f>Table5[[#This Row],[Canon]]</f>
        <v>4</v>
      </c>
      <c r="Q134" s="1">
        <f>Table5[[#This Row],[Reference]]</f>
        <v>15.7</v>
      </c>
      <c r="R134" s="3" t="str">
        <f>Table5[[#This Row],[StartR]]</f>
        <v>JHN 15:7</v>
      </c>
      <c r="S134" s="3" t="str">
        <f>Table5[[#This Row],[EndR]]</f>
        <v>JHN 15:7</v>
      </c>
      <c r="T134">
        <f>Table5[[#This Row],[Merged.Start]]</f>
        <v>60271</v>
      </c>
      <c r="U134">
        <f>Table5[[#This Row],[Merged.End]]</f>
        <v>60288</v>
      </c>
    </row>
    <row r="135" spans="1:21" x14ac:dyDescent="0.25">
      <c r="A135">
        <v>134</v>
      </c>
      <c r="B135">
        <v>10</v>
      </c>
      <c r="C135" t="s">
        <v>2312</v>
      </c>
      <c r="D135" t="s">
        <v>2313</v>
      </c>
      <c r="E135" t="s">
        <v>2314</v>
      </c>
      <c r="F135">
        <v>60289</v>
      </c>
      <c r="G135">
        <v>60368</v>
      </c>
      <c r="H135">
        <v>0</v>
      </c>
      <c r="K135">
        <f>IF(Table5[[#This Row],[NeedsAttention]]=1,Table5[[#This Row],[Start]],Table5[[#This Row],[StartN]])</f>
        <v>60289</v>
      </c>
      <c r="L135">
        <f>IF(Table5[[#This Row],[NeedsAttention]]=1,Table5[[#This Row],[End]],Table5[[#This Row],[EndN]])</f>
        <v>60368</v>
      </c>
      <c r="M135" t="b">
        <f>Table5[[#This Row],[Merged.Start]]=L134+1</f>
        <v>1</v>
      </c>
      <c r="O135">
        <f>Table5[[#This Row],[Section]]</f>
        <v>134</v>
      </c>
      <c r="P135">
        <f>Table5[[#This Row],[Canon]]</f>
        <v>10</v>
      </c>
      <c r="Q135" s="1" t="str">
        <f>Table5[[#This Row],[Reference]]</f>
        <v>15.8-12</v>
      </c>
      <c r="R135" s="3" t="str">
        <f>Table5[[#This Row],[StartR]]</f>
        <v>JHN 15:8</v>
      </c>
      <c r="S135" s="3" t="str">
        <f>Table5[[#This Row],[EndR]]</f>
        <v>JHN 15:12</v>
      </c>
      <c r="T135">
        <f>Table5[[#This Row],[Merged.Start]]</f>
        <v>60289</v>
      </c>
      <c r="U135">
        <f>Table5[[#This Row],[Merged.End]]</f>
        <v>60368</v>
      </c>
    </row>
    <row r="136" spans="1:21" x14ac:dyDescent="0.25">
      <c r="A136">
        <v>135</v>
      </c>
      <c r="B136">
        <v>4</v>
      </c>
      <c r="C136">
        <v>15.13</v>
      </c>
      <c r="D136" t="s">
        <v>2315</v>
      </c>
      <c r="E136" t="s">
        <v>2315</v>
      </c>
      <c r="F136">
        <v>60369</v>
      </c>
      <c r="G136">
        <v>60383</v>
      </c>
      <c r="H136">
        <v>0</v>
      </c>
      <c r="K136">
        <f>IF(Table5[[#This Row],[NeedsAttention]]=1,Table5[[#This Row],[Start]],Table5[[#This Row],[StartN]])</f>
        <v>60369</v>
      </c>
      <c r="L136">
        <f>IF(Table5[[#This Row],[NeedsAttention]]=1,Table5[[#This Row],[End]],Table5[[#This Row],[EndN]])</f>
        <v>60383</v>
      </c>
      <c r="M136" t="b">
        <f>Table5[[#This Row],[Merged.Start]]=L135+1</f>
        <v>1</v>
      </c>
      <c r="O136">
        <f>Table5[[#This Row],[Section]]</f>
        <v>135</v>
      </c>
      <c r="P136">
        <f>Table5[[#This Row],[Canon]]</f>
        <v>4</v>
      </c>
      <c r="Q136" s="1">
        <f>Table5[[#This Row],[Reference]]</f>
        <v>15.13</v>
      </c>
      <c r="R136" s="3" t="str">
        <f>Table5[[#This Row],[StartR]]</f>
        <v>JHN 15:13</v>
      </c>
      <c r="S136" s="3" t="str">
        <f>Table5[[#This Row],[EndR]]</f>
        <v>JHN 15:13</v>
      </c>
      <c r="T136">
        <f>Table5[[#This Row],[Merged.Start]]</f>
        <v>60369</v>
      </c>
      <c r="U136">
        <f>Table5[[#This Row],[Merged.End]]</f>
        <v>60383</v>
      </c>
    </row>
    <row r="137" spans="1:21" x14ac:dyDescent="0.25">
      <c r="A137">
        <v>136</v>
      </c>
      <c r="B137">
        <v>10</v>
      </c>
      <c r="C137" t="s">
        <v>2316</v>
      </c>
      <c r="D137" t="s">
        <v>2317</v>
      </c>
      <c r="E137" t="s">
        <v>2318</v>
      </c>
      <c r="F137">
        <v>60384</v>
      </c>
      <c r="G137">
        <v>60456</v>
      </c>
      <c r="H137">
        <v>1</v>
      </c>
      <c r="I137">
        <v>60384</v>
      </c>
      <c r="J137">
        <v>60443</v>
      </c>
      <c r="K137">
        <f>IF(Table5[[#This Row],[NeedsAttention]]=1,Table5[[#This Row],[Start]],Table5[[#This Row],[StartN]])</f>
        <v>60384</v>
      </c>
      <c r="L137">
        <f>IF(Table5[[#This Row],[NeedsAttention]]=1,Table5[[#This Row],[End]],Table5[[#This Row],[EndN]])</f>
        <v>60443</v>
      </c>
      <c r="M137" t="b">
        <f>Table5[[#This Row],[Merged.Start]]=L136+1</f>
        <v>1</v>
      </c>
      <c r="O137">
        <f>Table5[[#This Row],[Section]]</f>
        <v>136</v>
      </c>
      <c r="P137">
        <f>Table5[[#This Row],[Canon]]</f>
        <v>10</v>
      </c>
      <c r="Q137" s="1" t="str">
        <f>Table5[[#This Row],[Reference]]</f>
        <v>15.14-16A</v>
      </c>
      <c r="R137" s="3" t="str">
        <f>Table5[[#This Row],[StartR]]</f>
        <v>JHN 15:14</v>
      </c>
      <c r="S137" s="3" t="str">
        <f>Table5[[#This Row],[EndR]]</f>
        <v>JHN 15:16</v>
      </c>
      <c r="T137">
        <f>Table5[[#This Row],[Merged.Start]]</f>
        <v>60384</v>
      </c>
      <c r="U137">
        <f>Table5[[#This Row],[Merged.End]]</f>
        <v>60443</v>
      </c>
    </row>
    <row r="138" spans="1:21" x14ac:dyDescent="0.25">
      <c r="A138">
        <v>137</v>
      </c>
      <c r="B138">
        <v>4</v>
      </c>
      <c r="C138" t="s">
        <v>2319</v>
      </c>
      <c r="D138" t="s">
        <v>2318</v>
      </c>
      <c r="E138" t="s">
        <v>2318</v>
      </c>
      <c r="F138">
        <v>60422</v>
      </c>
      <c r="G138">
        <v>60456</v>
      </c>
      <c r="H138">
        <v>1</v>
      </c>
      <c r="I138">
        <v>60444</v>
      </c>
      <c r="J138">
        <v>60456</v>
      </c>
      <c r="K138">
        <f>IF(Table5[[#This Row],[NeedsAttention]]=1,Table5[[#This Row],[Start]],Table5[[#This Row],[StartN]])</f>
        <v>60444</v>
      </c>
      <c r="L138">
        <f>IF(Table5[[#This Row],[NeedsAttention]]=1,Table5[[#This Row],[End]],Table5[[#This Row],[EndN]])</f>
        <v>60456</v>
      </c>
      <c r="M138" t="b">
        <f>Table5[[#This Row],[Merged.Start]]=L137+1</f>
        <v>1</v>
      </c>
      <c r="O138">
        <f>Table5[[#This Row],[Section]]</f>
        <v>137</v>
      </c>
      <c r="P138">
        <f>Table5[[#This Row],[Canon]]</f>
        <v>4</v>
      </c>
      <c r="Q138" s="1" t="str">
        <f>Table5[[#This Row],[Reference]]</f>
        <v>15.16B</v>
      </c>
      <c r="R138" s="3" t="str">
        <f>Table5[[#This Row],[StartR]]</f>
        <v>JHN 15:16</v>
      </c>
      <c r="S138" s="3" t="str">
        <f>Table5[[#This Row],[EndR]]</f>
        <v>JHN 15:16</v>
      </c>
      <c r="T138">
        <f>Table5[[#This Row],[Merged.Start]]</f>
        <v>60444</v>
      </c>
      <c r="U138">
        <f>Table5[[#This Row],[Merged.End]]</f>
        <v>60456</v>
      </c>
    </row>
    <row r="139" spans="1:21" x14ac:dyDescent="0.25">
      <c r="A139">
        <v>138</v>
      </c>
      <c r="B139">
        <v>10</v>
      </c>
      <c r="C139" t="s">
        <v>2320</v>
      </c>
      <c r="D139" t="s">
        <v>2321</v>
      </c>
      <c r="E139" t="s">
        <v>2322</v>
      </c>
      <c r="F139">
        <v>60457</v>
      </c>
      <c r="G139">
        <v>60504</v>
      </c>
      <c r="H139">
        <v>0</v>
      </c>
      <c r="K139">
        <f>IF(Table5[[#This Row],[NeedsAttention]]=1,Table5[[#This Row],[Start]],Table5[[#This Row],[StartN]])</f>
        <v>60457</v>
      </c>
      <c r="L139">
        <f>IF(Table5[[#This Row],[NeedsAttention]]=1,Table5[[#This Row],[End]],Table5[[#This Row],[EndN]])</f>
        <v>60504</v>
      </c>
      <c r="M139" t="b">
        <f>Table5[[#This Row],[Merged.Start]]=L138+1</f>
        <v>1</v>
      </c>
      <c r="O139">
        <f>Table5[[#This Row],[Section]]</f>
        <v>138</v>
      </c>
      <c r="P139">
        <f>Table5[[#This Row],[Canon]]</f>
        <v>10</v>
      </c>
      <c r="Q139" s="1" t="str">
        <f>Table5[[#This Row],[Reference]]</f>
        <v>15.17-19</v>
      </c>
      <c r="R139" s="3" t="str">
        <f>Table5[[#This Row],[StartR]]</f>
        <v>JHN 15:17</v>
      </c>
      <c r="S139" s="3" t="str">
        <f>Table5[[#This Row],[EndR]]</f>
        <v>JHN 15:19</v>
      </c>
      <c r="T139">
        <f>Table5[[#This Row],[Merged.Start]]</f>
        <v>60457</v>
      </c>
      <c r="U139">
        <f>Table5[[#This Row],[Merged.End]]</f>
        <v>60504</v>
      </c>
    </row>
    <row r="140" spans="1:21" x14ac:dyDescent="0.25">
      <c r="A140">
        <v>139</v>
      </c>
      <c r="B140">
        <v>3</v>
      </c>
      <c r="C140" t="s">
        <v>2323</v>
      </c>
      <c r="D140" t="s">
        <v>2324</v>
      </c>
      <c r="E140" t="s">
        <v>2324</v>
      </c>
      <c r="F140">
        <v>60505</v>
      </c>
      <c r="G140">
        <v>60533</v>
      </c>
      <c r="H140">
        <v>1</v>
      </c>
      <c r="I140">
        <v>60505</v>
      </c>
      <c r="J140">
        <v>60518</v>
      </c>
      <c r="K140">
        <f>IF(Table5[[#This Row],[NeedsAttention]]=1,Table5[[#This Row],[Start]],Table5[[#This Row],[StartN]])</f>
        <v>60505</v>
      </c>
      <c r="L140">
        <f>IF(Table5[[#This Row],[NeedsAttention]]=1,Table5[[#This Row],[End]],Table5[[#This Row],[EndN]])</f>
        <v>60518</v>
      </c>
      <c r="M140" t="b">
        <f>Table5[[#This Row],[Merged.Start]]=L139+1</f>
        <v>1</v>
      </c>
      <c r="O140">
        <f>Table5[[#This Row],[Section]]</f>
        <v>139</v>
      </c>
      <c r="P140">
        <f>Table5[[#This Row],[Canon]]</f>
        <v>3</v>
      </c>
      <c r="Q140" s="1" t="str">
        <f>Table5[[#This Row],[Reference]]</f>
        <v>15.20A</v>
      </c>
      <c r="R140" s="3" t="str">
        <f>Table5[[#This Row],[StartR]]</f>
        <v>JHN 15:20</v>
      </c>
      <c r="S140" s="3" t="str">
        <f>Table5[[#This Row],[EndR]]</f>
        <v>JHN 15:20</v>
      </c>
      <c r="T140">
        <f>Table5[[#This Row],[Merged.Start]]</f>
        <v>60505</v>
      </c>
      <c r="U140">
        <f>Table5[[#This Row],[Merged.End]]</f>
        <v>60518</v>
      </c>
    </row>
    <row r="141" spans="1:21" x14ac:dyDescent="0.25">
      <c r="A141">
        <v>140</v>
      </c>
      <c r="B141">
        <v>10</v>
      </c>
      <c r="C141" t="s">
        <v>2325</v>
      </c>
      <c r="D141" t="s">
        <v>2324</v>
      </c>
      <c r="E141" t="s">
        <v>2324</v>
      </c>
      <c r="F141">
        <v>60505</v>
      </c>
      <c r="G141">
        <v>60533</v>
      </c>
      <c r="H141">
        <v>1</v>
      </c>
      <c r="I141">
        <v>60519</v>
      </c>
      <c r="J141">
        <v>60533</v>
      </c>
      <c r="K141">
        <f>IF(Table5[[#This Row],[NeedsAttention]]=1,Table5[[#This Row],[Start]],Table5[[#This Row],[StartN]])</f>
        <v>60519</v>
      </c>
      <c r="L141">
        <f>IF(Table5[[#This Row],[NeedsAttention]]=1,Table5[[#This Row],[End]],Table5[[#This Row],[EndN]])</f>
        <v>60533</v>
      </c>
      <c r="M141" t="b">
        <f>Table5[[#This Row],[Merged.Start]]=L140+1</f>
        <v>1</v>
      </c>
      <c r="O141">
        <f>Table5[[#This Row],[Section]]</f>
        <v>140</v>
      </c>
      <c r="P141">
        <f>Table5[[#This Row],[Canon]]</f>
        <v>10</v>
      </c>
      <c r="Q141" s="1" t="str">
        <f>Table5[[#This Row],[Reference]]</f>
        <v>15.20B</v>
      </c>
      <c r="R141" s="3" t="str">
        <f>Table5[[#This Row],[StartR]]</f>
        <v>JHN 15:20</v>
      </c>
      <c r="S141" s="3" t="str">
        <f>Table5[[#This Row],[EndR]]</f>
        <v>JHN 15:20</v>
      </c>
      <c r="T141">
        <f>Table5[[#This Row],[Merged.Start]]</f>
        <v>60519</v>
      </c>
      <c r="U141">
        <f>Table5[[#This Row],[Merged.End]]</f>
        <v>60533</v>
      </c>
    </row>
    <row r="142" spans="1:21" x14ac:dyDescent="0.25">
      <c r="A142">
        <v>141</v>
      </c>
      <c r="B142">
        <v>1</v>
      </c>
      <c r="C142" t="s">
        <v>2326</v>
      </c>
      <c r="D142" t="s">
        <v>2327</v>
      </c>
      <c r="E142" t="s">
        <v>2327</v>
      </c>
      <c r="F142">
        <v>60534</v>
      </c>
      <c r="G142">
        <v>60549</v>
      </c>
      <c r="H142">
        <v>1</v>
      </c>
      <c r="I142">
        <v>60534</v>
      </c>
      <c r="J142">
        <v>60543</v>
      </c>
      <c r="K142">
        <f>IF(Table5[[#This Row],[NeedsAttention]]=1,Table5[[#This Row],[Start]],Table5[[#This Row],[StartN]])</f>
        <v>60534</v>
      </c>
      <c r="L142">
        <f>IF(Table5[[#This Row],[NeedsAttention]]=1,Table5[[#This Row],[End]],Table5[[#This Row],[EndN]])</f>
        <v>60543</v>
      </c>
      <c r="M142" t="b">
        <f>Table5[[#This Row],[Merged.Start]]=L141+1</f>
        <v>1</v>
      </c>
      <c r="O142">
        <f>Table5[[#This Row],[Section]]</f>
        <v>141</v>
      </c>
      <c r="P142">
        <f>Table5[[#This Row],[Canon]]</f>
        <v>1</v>
      </c>
      <c r="Q142" s="1" t="str">
        <f>Table5[[#This Row],[Reference]]</f>
        <v>15.21A</v>
      </c>
      <c r="R142" s="3" t="str">
        <f>Table5[[#This Row],[StartR]]</f>
        <v>JHN 15:21</v>
      </c>
      <c r="S142" s="3" t="str">
        <f>Table5[[#This Row],[EndR]]</f>
        <v>JHN 15:21</v>
      </c>
      <c r="T142">
        <f>Table5[[#This Row],[Merged.Start]]</f>
        <v>60534</v>
      </c>
      <c r="U142">
        <f>Table5[[#This Row],[Merged.End]]</f>
        <v>60543</v>
      </c>
    </row>
    <row r="143" spans="1:21" x14ac:dyDescent="0.25">
      <c r="A143">
        <v>142</v>
      </c>
      <c r="B143">
        <v>3</v>
      </c>
      <c r="C143" t="s">
        <v>2328</v>
      </c>
      <c r="D143" t="s">
        <v>2327</v>
      </c>
      <c r="E143" t="s">
        <v>2327</v>
      </c>
      <c r="F143">
        <v>60534</v>
      </c>
      <c r="G143">
        <v>60549</v>
      </c>
      <c r="H143">
        <v>1</v>
      </c>
      <c r="I143">
        <v>60544</v>
      </c>
      <c r="J143">
        <v>60549</v>
      </c>
      <c r="K143">
        <f>IF(Table5[[#This Row],[NeedsAttention]]=1,Table5[[#This Row],[Start]],Table5[[#This Row],[StartN]])</f>
        <v>60544</v>
      </c>
      <c r="L143">
        <f>IF(Table5[[#This Row],[NeedsAttention]]=1,Table5[[#This Row],[End]],Table5[[#This Row],[EndN]])</f>
        <v>60549</v>
      </c>
      <c r="M143" t="b">
        <f>Table5[[#This Row],[Merged.Start]]=L142+1</f>
        <v>1</v>
      </c>
      <c r="O143">
        <f>Table5[[#This Row],[Section]]</f>
        <v>142</v>
      </c>
      <c r="P143">
        <f>Table5[[#This Row],[Canon]]</f>
        <v>3</v>
      </c>
      <c r="Q143" s="1" t="str">
        <f>Table5[[#This Row],[Reference]]</f>
        <v>15.21B</v>
      </c>
      <c r="R143" s="3" t="str">
        <f>Table5[[#This Row],[StartR]]</f>
        <v>JHN 15:21</v>
      </c>
      <c r="S143" s="3" t="str">
        <f>Table5[[#This Row],[EndR]]</f>
        <v>JHN 15:21</v>
      </c>
      <c r="T143">
        <f>Table5[[#This Row],[Merged.Start]]</f>
        <v>60544</v>
      </c>
      <c r="U143">
        <f>Table5[[#This Row],[Merged.End]]</f>
        <v>60549</v>
      </c>
    </row>
    <row r="144" spans="1:21" x14ac:dyDescent="0.25">
      <c r="A144">
        <v>143</v>
      </c>
      <c r="B144">
        <v>10</v>
      </c>
      <c r="C144">
        <v>15.22</v>
      </c>
      <c r="D144" t="s">
        <v>2329</v>
      </c>
      <c r="E144" t="s">
        <v>2329</v>
      </c>
      <c r="F144">
        <v>60550</v>
      </c>
      <c r="G144">
        <v>60567</v>
      </c>
      <c r="H144">
        <v>0</v>
      </c>
      <c r="K144">
        <f>IF(Table5[[#This Row],[NeedsAttention]]=1,Table5[[#This Row],[Start]],Table5[[#This Row],[StartN]])</f>
        <v>60550</v>
      </c>
      <c r="L144">
        <f>IF(Table5[[#This Row],[NeedsAttention]]=1,Table5[[#This Row],[End]],Table5[[#This Row],[EndN]])</f>
        <v>60567</v>
      </c>
      <c r="M144" t="b">
        <f>Table5[[#This Row],[Merged.Start]]=L143+1</f>
        <v>1</v>
      </c>
      <c r="O144">
        <f>Table5[[#This Row],[Section]]</f>
        <v>143</v>
      </c>
      <c r="P144">
        <f>Table5[[#This Row],[Canon]]</f>
        <v>10</v>
      </c>
      <c r="Q144" s="1">
        <f>Table5[[#This Row],[Reference]]</f>
        <v>15.22</v>
      </c>
      <c r="R144" s="3" t="str">
        <f>Table5[[#This Row],[StartR]]</f>
        <v>JHN 15:22</v>
      </c>
      <c r="S144" s="3" t="str">
        <f>Table5[[#This Row],[EndR]]</f>
        <v>JHN 15:22</v>
      </c>
      <c r="T144">
        <f>Table5[[#This Row],[Merged.Start]]</f>
        <v>60550</v>
      </c>
      <c r="U144">
        <f>Table5[[#This Row],[Merged.End]]</f>
        <v>60567</v>
      </c>
    </row>
    <row r="145" spans="1:21" x14ac:dyDescent="0.25">
      <c r="A145">
        <v>144</v>
      </c>
      <c r="B145">
        <v>1</v>
      </c>
      <c r="C145">
        <v>15.23</v>
      </c>
      <c r="D145" t="s">
        <v>2330</v>
      </c>
      <c r="E145" t="s">
        <v>2330</v>
      </c>
      <c r="F145">
        <v>60568</v>
      </c>
      <c r="G145">
        <v>60575</v>
      </c>
      <c r="H145">
        <v>0</v>
      </c>
      <c r="K145">
        <f>IF(Table5[[#This Row],[NeedsAttention]]=1,Table5[[#This Row],[Start]],Table5[[#This Row],[StartN]])</f>
        <v>60568</v>
      </c>
      <c r="L145">
        <f>IF(Table5[[#This Row],[NeedsAttention]]=1,Table5[[#This Row],[End]],Table5[[#This Row],[EndN]])</f>
        <v>60575</v>
      </c>
      <c r="M145" t="b">
        <f>Table5[[#This Row],[Merged.Start]]=L144+1</f>
        <v>1</v>
      </c>
      <c r="O145">
        <f>Table5[[#This Row],[Section]]</f>
        <v>144</v>
      </c>
      <c r="P145">
        <f>Table5[[#This Row],[Canon]]</f>
        <v>1</v>
      </c>
      <c r="Q145" s="1">
        <f>Table5[[#This Row],[Reference]]</f>
        <v>15.23</v>
      </c>
      <c r="R145" s="3" t="str">
        <f>Table5[[#This Row],[StartR]]</f>
        <v>JHN 15:23</v>
      </c>
      <c r="S145" s="3" t="str">
        <f>Table5[[#This Row],[EndR]]</f>
        <v>JHN 15:23</v>
      </c>
      <c r="T145">
        <f>Table5[[#This Row],[Merged.Start]]</f>
        <v>60568</v>
      </c>
      <c r="U145">
        <f>Table5[[#This Row],[Merged.End]]</f>
        <v>60575</v>
      </c>
    </row>
    <row r="146" spans="1:21" x14ac:dyDescent="0.25">
      <c r="A146">
        <v>145</v>
      </c>
      <c r="B146">
        <v>10</v>
      </c>
      <c r="C146" t="s">
        <v>2331</v>
      </c>
      <c r="D146" t="s">
        <v>2332</v>
      </c>
      <c r="E146" t="s">
        <v>2333</v>
      </c>
      <c r="F146">
        <v>60576</v>
      </c>
      <c r="G146">
        <v>60672</v>
      </c>
      <c r="H146">
        <v>1</v>
      </c>
      <c r="I146">
        <v>60576</v>
      </c>
      <c r="J146">
        <v>60659</v>
      </c>
      <c r="K146">
        <f>IF(Table5[[#This Row],[NeedsAttention]]=1,Table5[[#This Row],[Start]],Table5[[#This Row],[StartN]])</f>
        <v>60576</v>
      </c>
      <c r="L146">
        <f>IF(Table5[[#This Row],[NeedsAttention]]=1,Table5[[#This Row],[End]],Table5[[#This Row],[EndN]])</f>
        <v>60659</v>
      </c>
      <c r="M146" t="b">
        <f>Table5[[#This Row],[Merged.Start]]=L145+1</f>
        <v>1</v>
      </c>
      <c r="O146">
        <f>Table5[[#This Row],[Section]]</f>
        <v>145</v>
      </c>
      <c r="P146">
        <f>Table5[[#This Row],[Canon]]</f>
        <v>10</v>
      </c>
      <c r="Q146" s="1" t="str">
        <f>Table5[[#This Row],[Reference]]</f>
        <v>15.24-16.2A</v>
      </c>
      <c r="R146" s="3" t="str">
        <f>Table5[[#This Row],[StartR]]</f>
        <v>JHN 15:24</v>
      </c>
      <c r="S146" s="3" t="str">
        <f>Table5[[#This Row],[EndR]]</f>
        <v>JHN 16:2</v>
      </c>
      <c r="T146">
        <f>Table5[[#This Row],[Merged.Start]]</f>
        <v>60576</v>
      </c>
      <c r="U146">
        <f>Table5[[#This Row],[Merged.End]]</f>
        <v>60659</v>
      </c>
    </row>
    <row r="147" spans="1:21" x14ac:dyDescent="0.25">
      <c r="A147">
        <v>146</v>
      </c>
      <c r="B147">
        <v>1</v>
      </c>
      <c r="C147" t="s">
        <v>2334</v>
      </c>
      <c r="D147" t="s">
        <v>2333</v>
      </c>
      <c r="E147" t="s">
        <v>2335</v>
      </c>
      <c r="F147">
        <v>60657</v>
      </c>
      <c r="G147">
        <v>60709</v>
      </c>
      <c r="H147">
        <v>1</v>
      </c>
      <c r="I147">
        <v>60660</v>
      </c>
      <c r="J147">
        <v>60698</v>
      </c>
      <c r="K147">
        <f>IF(Table5[[#This Row],[NeedsAttention]]=1,Table5[[#This Row],[Start]],Table5[[#This Row],[StartN]])</f>
        <v>60660</v>
      </c>
      <c r="L147">
        <f>IF(Table5[[#This Row],[NeedsAttention]]=1,Table5[[#This Row],[End]],Table5[[#This Row],[EndN]])</f>
        <v>60698</v>
      </c>
      <c r="M147" t="b">
        <f>Table5[[#This Row],[Merged.Start]]=L146+1</f>
        <v>1</v>
      </c>
      <c r="O147">
        <f>Table5[[#This Row],[Section]]</f>
        <v>146</v>
      </c>
      <c r="P147">
        <f>Table5[[#This Row],[Canon]]</f>
        <v>1</v>
      </c>
      <c r="Q147" s="1" t="str">
        <f>Table5[[#This Row],[Reference]]</f>
        <v>16.2B-4A</v>
      </c>
      <c r="R147" s="3" t="str">
        <f>Table5[[#This Row],[StartR]]</f>
        <v>JHN 16:2</v>
      </c>
      <c r="S147" s="3" t="str">
        <f>Table5[[#This Row],[EndR]]</f>
        <v>JHN 16:4</v>
      </c>
      <c r="T147">
        <f>Table5[[#This Row],[Merged.Start]]</f>
        <v>60660</v>
      </c>
      <c r="U147">
        <f>Table5[[#This Row],[Merged.End]]</f>
        <v>60698</v>
      </c>
    </row>
    <row r="148" spans="1:21" x14ac:dyDescent="0.25">
      <c r="A148">
        <v>147</v>
      </c>
      <c r="B148">
        <v>10</v>
      </c>
      <c r="C148" t="s">
        <v>2336</v>
      </c>
      <c r="D148" t="s">
        <v>2335</v>
      </c>
      <c r="E148" t="s">
        <v>2337</v>
      </c>
      <c r="F148">
        <v>60683</v>
      </c>
      <c r="G148">
        <v>60857</v>
      </c>
      <c r="H148">
        <v>1</v>
      </c>
      <c r="I148">
        <v>60699</v>
      </c>
      <c r="J148">
        <v>60857</v>
      </c>
      <c r="K148">
        <f>IF(Table5[[#This Row],[NeedsAttention]]=1,Table5[[#This Row],[Start]],Table5[[#This Row],[StartN]])</f>
        <v>60699</v>
      </c>
      <c r="L148">
        <f>IF(Table5[[#This Row],[NeedsAttention]]=1,Table5[[#This Row],[End]],Table5[[#This Row],[EndN]])</f>
        <v>60857</v>
      </c>
      <c r="M148" t="b">
        <f>Table5[[#This Row],[Merged.Start]]=L147+1</f>
        <v>1</v>
      </c>
      <c r="O148">
        <f>Table5[[#This Row],[Section]]</f>
        <v>147</v>
      </c>
      <c r="P148">
        <f>Table5[[#This Row],[Canon]]</f>
        <v>10</v>
      </c>
      <c r="Q148" s="1" t="str">
        <f>Table5[[#This Row],[Reference]]</f>
        <v>16.4B-14</v>
      </c>
      <c r="R148" s="3" t="str">
        <f>Table5[[#This Row],[StartR]]</f>
        <v>JHN 16:4</v>
      </c>
      <c r="S148" s="3" t="str">
        <f>Table5[[#This Row],[EndR]]</f>
        <v>JHN 16:14</v>
      </c>
      <c r="T148">
        <f>Table5[[#This Row],[Merged.Start]]</f>
        <v>60699</v>
      </c>
      <c r="U148">
        <f>Table5[[#This Row],[Merged.End]]</f>
        <v>60857</v>
      </c>
    </row>
    <row r="149" spans="1:21" x14ac:dyDescent="0.25">
      <c r="A149">
        <v>148</v>
      </c>
      <c r="B149">
        <v>3</v>
      </c>
      <c r="C149" t="s">
        <v>2338</v>
      </c>
      <c r="D149" t="s">
        <v>2339</v>
      </c>
      <c r="E149" t="s">
        <v>2339</v>
      </c>
      <c r="F149">
        <v>60858</v>
      </c>
      <c r="G149">
        <v>60875</v>
      </c>
      <c r="H149">
        <v>1</v>
      </c>
      <c r="I149">
        <v>60858</v>
      </c>
      <c r="J149">
        <v>60864</v>
      </c>
      <c r="K149">
        <f>IF(Table5[[#This Row],[NeedsAttention]]=1,Table5[[#This Row],[Start]],Table5[[#This Row],[StartN]])</f>
        <v>60858</v>
      </c>
      <c r="L149">
        <f>IF(Table5[[#This Row],[NeedsAttention]]=1,Table5[[#This Row],[End]],Table5[[#This Row],[EndN]])</f>
        <v>60864</v>
      </c>
      <c r="M149" t="b">
        <f>Table5[[#This Row],[Merged.Start]]=L148+1</f>
        <v>1</v>
      </c>
      <c r="O149">
        <f>Table5[[#This Row],[Section]]</f>
        <v>148</v>
      </c>
      <c r="P149">
        <f>Table5[[#This Row],[Canon]]</f>
        <v>3</v>
      </c>
      <c r="Q149" s="1" t="str">
        <f>Table5[[#This Row],[Reference]]</f>
        <v>16.15A</v>
      </c>
      <c r="R149" s="3" t="str">
        <f>Table5[[#This Row],[StartR]]</f>
        <v>JHN 16:15</v>
      </c>
      <c r="S149" s="3" t="str">
        <f>Table5[[#This Row],[EndR]]</f>
        <v>JHN 16:15</v>
      </c>
      <c r="T149">
        <f>Table5[[#This Row],[Merged.Start]]</f>
        <v>60858</v>
      </c>
      <c r="U149">
        <f>Table5[[#This Row],[Merged.End]]</f>
        <v>60864</v>
      </c>
    </row>
    <row r="150" spans="1:21" x14ac:dyDescent="0.25">
      <c r="A150">
        <v>149</v>
      </c>
      <c r="B150">
        <v>10</v>
      </c>
      <c r="C150" t="s">
        <v>2340</v>
      </c>
      <c r="D150" t="s">
        <v>2339</v>
      </c>
      <c r="E150" t="s">
        <v>2341</v>
      </c>
      <c r="F150">
        <v>60858</v>
      </c>
      <c r="G150">
        <v>61055</v>
      </c>
      <c r="H150">
        <v>1</v>
      </c>
      <c r="I150">
        <v>60865</v>
      </c>
      <c r="J150">
        <v>61040</v>
      </c>
      <c r="K150">
        <f>IF(Table5[[#This Row],[NeedsAttention]]=1,Table5[[#This Row],[Start]],Table5[[#This Row],[StartN]])</f>
        <v>60865</v>
      </c>
      <c r="L150">
        <f>IF(Table5[[#This Row],[NeedsAttention]]=1,Table5[[#This Row],[End]],Table5[[#This Row],[EndN]])</f>
        <v>61040</v>
      </c>
      <c r="M150" t="b">
        <f>Table5[[#This Row],[Merged.Start]]=L149+1</f>
        <v>1</v>
      </c>
      <c r="O150">
        <f>Table5[[#This Row],[Section]]</f>
        <v>149</v>
      </c>
      <c r="P150">
        <f>Table5[[#This Row],[Canon]]</f>
        <v>10</v>
      </c>
      <c r="Q150" s="1" t="str">
        <f>Table5[[#This Row],[Reference]]</f>
        <v>16.15B-23A</v>
      </c>
      <c r="R150" s="3" t="str">
        <f>Table5[[#This Row],[StartR]]</f>
        <v>JHN 16:15</v>
      </c>
      <c r="S150" s="3" t="str">
        <f>Table5[[#This Row],[EndR]]</f>
        <v>JHN 16:23</v>
      </c>
      <c r="T150">
        <f>Table5[[#This Row],[Merged.Start]]</f>
        <v>60865</v>
      </c>
      <c r="U150">
        <f>Table5[[#This Row],[Merged.End]]</f>
        <v>61040</v>
      </c>
    </row>
    <row r="151" spans="1:21" x14ac:dyDescent="0.25">
      <c r="A151">
        <v>150</v>
      </c>
      <c r="B151">
        <v>4</v>
      </c>
      <c r="C151" t="s">
        <v>2342</v>
      </c>
      <c r="D151" t="s">
        <v>2341</v>
      </c>
      <c r="E151" t="s">
        <v>2343</v>
      </c>
      <c r="F151">
        <v>61032</v>
      </c>
      <c r="G151">
        <v>61073</v>
      </c>
      <c r="H151">
        <v>1</v>
      </c>
      <c r="I151">
        <v>61041</v>
      </c>
      <c r="J151">
        <v>61073</v>
      </c>
      <c r="K151">
        <f>IF(Table5[[#This Row],[NeedsAttention]]=1,Table5[[#This Row],[Start]],Table5[[#This Row],[StartN]])</f>
        <v>61041</v>
      </c>
      <c r="L151">
        <f>IF(Table5[[#This Row],[NeedsAttention]]=1,Table5[[#This Row],[End]],Table5[[#This Row],[EndN]])</f>
        <v>61073</v>
      </c>
      <c r="M151" t="b">
        <f>Table5[[#This Row],[Merged.Start]]=L150+1</f>
        <v>1</v>
      </c>
      <c r="O151">
        <f>Table5[[#This Row],[Section]]</f>
        <v>150</v>
      </c>
      <c r="P151">
        <f>Table5[[#This Row],[Canon]]</f>
        <v>4</v>
      </c>
      <c r="Q151" s="1" t="str">
        <f>Table5[[#This Row],[Reference]]</f>
        <v>16.23B-24</v>
      </c>
      <c r="R151" s="3" t="str">
        <f>Table5[[#This Row],[StartR]]</f>
        <v>JHN 16:23</v>
      </c>
      <c r="S151" s="3" t="str">
        <f>Table5[[#This Row],[EndR]]</f>
        <v>JHN 16:24</v>
      </c>
      <c r="T151">
        <f>Table5[[#This Row],[Merged.Start]]</f>
        <v>61041</v>
      </c>
      <c r="U151">
        <f>Table5[[#This Row],[Merged.End]]</f>
        <v>61073</v>
      </c>
    </row>
    <row r="152" spans="1:21" x14ac:dyDescent="0.25">
      <c r="A152">
        <v>151</v>
      </c>
      <c r="B152">
        <v>10</v>
      </c>
      <c r="C152" t="s">
        <v>2344</v>
      </c>
      <c r="D152" t="s">
        <v>2345</v>
      </c>
      <c r="E152" t="s">
        <v>2346</v>
      </c>
      <c r="F152">
        <v>61074</v>
      </c>
      <c r="G152">
        <v>61182</v>
      </c>
      <c r="H152">
        <v>0</v>
      </c>
      <c r="K152">
        <f>IF(Table5[[#This Row],[NeedsAttention]]=1,Table5[[#This Row],[Start]],Table5[[#This Row],[StartN]])</f>
        <v>61074</v>
      </c>
      <c r="L152">
        <f>IF(Table5[[#This Row],[NeedsAttention]]=1,Table5[[#This Row],[End]],Table5[[#This Row],[EndN]])</f>
        <v>61182</v>
      </c>
      <c r="M152" t="b">
        <f>Table5[[#This Row],[Merged.Start]]=L151+1</f>
        <v>1</v>
      </c>
      <c r="O152">
        <f>Table5[[#This Row],[Section]]</f>
        <v>151</v>
      </c>
      <c r="P152">
        <f>Table5[[#This Row],[Canon]]</f>
        <v>10</v>
      </c>
      <c r="Q152" s="1" t="str">
        <f>Table5[[#This Row],[Reference]]</f>
        <v>16.25-30</v>
      </c>
      <c r="R152" s="3" t="str">
        <f>Table5[[#This Row],[StartR]]</f>
        <v>JHN 16:25</v>
      </c>
      <c r="S152" s="3" t="str">
        <f>Table5[[#This Row],[EndR]]</f>
        <v>JHN 16:30</v>
      </c>
      <c r="T152">
        <f>Table5[[#This Row],[Merged.Start]]</f>
        <v>61074</v>
      </c>
      <c r="U152">
        <f>Table5[[#This Row],[Merged.End]]</f>
        <v>61182</v>
      </c>
    </row>
    <row r="153" spans="1:21" x14ac:dyDescent="0.25">
      <c r="A153">
        <v>152</v>
      </c>
      <c r="B153">
        <v>4</v>
      </c>
      <c r="C153" t="s">
        <v>2347</v>
      </c>
      <c r="D153" t="s">
        <v>2348</v>
      </c>
      <c r="E153" t="s">
        <v>2349</v>
      </c>
      <c r="F153">
        <v>61183</v>
      </c>
      <c r="G153">
        <v>61211</v>
      </c>
      <c r="H153">
        <v>0</v>
      </c>
      <c r="K153">
        <f>IF(Table5[[#This Row],[NeedsAttention]]=1,Table5[[#This Row],[Start]],Table5[[#This Row],[StartN]])</f>
        <v>61183</v>
      </c>
      <c r="L153">
        <f>IF(Table5[[#This Row],[NeedsAttention]]=1,Table5[[#This Row],[End]],Table5[[#This Row],[EndN]])</f>
        <v>61211</v>
      </c>
      <c r="M153" t="b">
        <f>Table5[[#This Row],[Merged.Start]]=L152+1</f>
        <v>1</v>
      </c>
      <c r="O153">
        <f>Table5[[#This Row],[Section]]</f>
        <v>152</v>
      </c>
      <c r="P153">
        <f>Table5[[#This Row],[Canon]]</f>
        <v>4</v>
      </c>
      <c r="Q153" s="1" t="str">
        <f>Table5[[#This Row],[Reference]]</f>
        <v>16.31-32</v>
      </c>
      <c r="R153" s="3" t="str">
        <f>Table5[[#This Row],[StartR]]</f>
        <v>JHN 16:31</v>
      </c>
      <c r="S153" s="3" t="str">
        <f>Table5[[#This Row],[EndR]]</f>
        <v>JHN 16:32</v>
      </c>
      <c r="T153">
        <f>Table5[[#This Row],[Merged.Start]]</f>
        <v>61183</v>
      </c>
      <c r="U153">
        <f>Table5[[#This Row],[Merged.End]]</f>
        <v>61211</v>
      </c>
    </row>
    <row r="154" spans="1:21" x14ac:dyDescent="0.25">
      <c r="A154">
        <v>153</v>
      </c>
      <c r="B154">
        <v>10</v>
      </c>
      <c r="C154" t="s">
        <v>2350</v>
      </c>
      <c r="D154" t="s">
        <v>2351</v>
      </c>
      <c r="E154" t="s">
        <v>2352</v>
      </c>
      <c r="F154">
        <v>61212</v>
      </c>
      <c r="G154">
        <v>61689</v>
      </c>
      <c r="H154">
        <v>0</v>
      </c>
      <c r="K154">
        <f>IF(Table5[[#This Row],[NeedsAttention]]=1,Table5[[#This Row],[Start]],Table5[[#This Row],[StartN]])</f>
        <v>61212</v>
      </c>
      <c r="L154">
        <f>IF(Table5[[#This Row],[NeedsAttention]]=1,Table5[[#This Row],[End]],Table5[[#This Row],[EndN]])</f>
        <v>61689</v>
      </c>
      <c r="M154" t="b">
        <f>Table5[[#This Row],[Merged.Start]]=L153+1</f>
        <v>1</v>
      </c>
      <c r="O154">
        <f>Table5[[#This Row],[Section]]</f>
        <v>153</v>
      </c>
      <c r="P154">
        <f>Table5[[#This Row],[Canon]]</f>
        <v>10</v>
      </c>
      <c r="Q154" s="1" t="str">
        <f>Table5[[#This Row],[Reference]]</f>
        <v>16.33-17.24</v>
      </c>
      <c r="R154" s="3" t="str">
        <f>Table5[[#This Row],[StartR]]</f>
        <v>JHN 16:33</v>
      </c>
      <c r="S154" s="3" t="str">
        <f>Table5[[#This Row],[EndR]]</f>
        <v>JHN 17:24</v>
      </c>
      <c r="T154">
        <f>Table5[[#This Row],[Merged.Start]]</f>
        <v>61212</v>
      </c>
      <c r="U154">
        <f>Table5[[#This Row],[Merged.End]]</f>
        <v>61689</v>
      </c>
    </row>
    <row r="155" spans="1:21" x14ac:dyDescent="0.25">
      <c r="A155">
        <v>154</v>
      </c>
      <c r="B155">
        <v>3</v>
      </c>
      <c r="C155" t="s">
        <v>2353</v>
      </c>
      <c r="D155" t="s">
        <v>2354</v>
      </c>
      <c r="E155" t="s">
        <v>2354</v>
      </c>
      <c r="F155">
        <v>61690</v>
      </c>
      <c r="G155">
        <v>61708</v>
      </c>
      <c r="H155">
        <v>1</v>
      </c>
      <c r="I155">
        <v>61690</v>
      </c>
      <c r="J155">
        <v>61701</v>
      </c>
      <c r="K155">
        <f>IF(Table5[[#This Row],[NeedsAttention]]=1,Table5[[#This Row],[Start]],Table5[[#This Row],[StartN]])</f>
        <v>61690</v>
      </c>
      <c r="L155">
        <f>IF(Table5[[#This Row],[NeedsAttention]]=1,Table5[[#This Row],[End]],Table5[[#This Row],[EndN]])</f>
        <v>61701</v>
      </c>
      <c r="M155" t="b">
        <f>Table5[[#This Row],[Merged.Start]]=L154+1</f>
        <v>1</v>
      </c>
      <c r="O155">
        <f>Table5[[#This Row],[Section]]</f>
        <v>154</v>
      </c>
      <c r="P155">
        <f>Table5[[#This Row],[Canon]]</f>
        <v>3</v>
      </c>
      <c r="Q155" s="1" t="str">
        <f>Table5[[#This Row],[Reference]]</f>
        <v>17.25A</v>
      </c>
      <c r="R155" s="3" t="str">
        <f>Table5[[#This Row],[StartR]]</f>
        <v>JHN 17:25</v>
      </c>
      <c r="S155" s="3" t="str">
        <f>Table5[[#This Row],[EndR]]</f>
        <v>JHN 17:25</v>
      </c>
      <c r="T155">
        <f>Table5[[#This Row],[Merged.Start]]</f>
        <v>61690</v>
      </c>
      <c r="U155">
        <f>Table5[[#This Row],[Merged.End]]</f>
        <v>61701</v>
      </c>
    </row>
    <row r="156" spans="1:21" x14ac:dyDescent="0.25">
      <c r="A156">
        <v>155</v>
      </c>
      <c r="B156">
        <v>10</v>
      </c>
      <c r="C156" t="s">
        <v>2355</v>
      </c>
      <c r="D156" t="s">
        <v>2354</v>
      </c>
      <c r="E156" t="s">
        <v>2356</v>
      </c>
      <c r="F156">
        <v>61690</v>
      </c>
      <c r="G156">
        <v>61728</v>
      </c>
      <c r="H156">
        <v>1</v>
      </c>
      <c r="I156">
        <v>61702</v>
      </c>
      <c r="J156">
        <v>61728</v>
      </c>
      <c r="K156">
        <f>IF(Table5[[#This Row],[NeedsAttention]]=1,Table5[[#This Row],[Start]],Table5[[#This Row],[StartN]])</f>
        <v>61702</v>
      </c>
      <c r="L156">
        <f>IF(Table5[[#This Row],[NeedsAttention]]=1,Table5[[#This Row],[End]],Table5[[#This Row],[EndN]])</f>
        <v>61728</v>
      </c>
      <c r="M156" t="b">
        <f>Table5[[#This Row],[Merged.Start]]=L155+1</f>
        <v>1</v>
      </c>
      <c r="O156">
        <f>Table5[[#This Row],[Section]]</f>
        <v>155</v>
      </c>
      <c r="P156">
        <f>Table5[[#This Row],[Canon]]</f>
        <v>10</v>
      </c>
      <c r="Q156" s="1" t="str">
        <f>Table5[[#This Row],[Reference]]</f>
        <v>17.25B-26</v>
      </c>
      <c r="R156" s="3" t="str">
        <f>Table5[[#This Row],[StartR]]</f>
        <v>JHN 17:25</v>
      </c>
      <c r="S156" s="3" t="str">
        <f>Table5[[#This Row],[EndR]]</f>
        <v>JHN 17:26</v>
      </c>
      <c r="T156">
        <f>Table5[[#This Row],[Merged.Start]]</f>
        <v>61702</v>
      </c>
      <c r="U156">
        <f>Table5[[#This Row],[Merged.End]]</f>
        <v>61728</v>
      </c>
    </row>
    <row r="157" spans="1:21" x14ac:dyDescent="0.25">
      <c r="A157">
        <v>156</v>
      </c>
      <c r="B157">
        <v>1</v>
      </c>
      <c r="C157">
        <v>18.100000000000001</v>
      </c>
      <c r="D157" t="s">
        <v>2357</v>
      </c>
      <c r="E157" t="s">
        <v>2357</v>
      </c>
      <c r="F157">
        <v>61729</v>
      </c>
      <c r="G157">
        <v>61752</v>
      </c>
      <c r="H157">
        <v>0</v>
      </c>
      <c r="K157">
        <f>IF(Table5[[#This Row],[NeedsAttention]]=1,Table5[[#This Row],[Start]],Table5[[#This Row],[StartN]])</f>
        <v>61729</v>
      </c>
      <c r="L157">
        <f>IF(Table5[[#This Row],[NeedsAttention]]=1,Table5[[#This Row],[End]],Table5[[#This Row],[EndN]])</f>
        <v>61752</v>
      </c>
      <c r="M157" t="b">
        <f>Table5[[#This Row],[Merged.Start]]=L156+1</f>
        <v>1</v>
      </c>
      <c r="O157">
        <f>Table5[[#This Row],[Section]]</f>
        <v>156</v>
      </c>
      <c r="P157">
        <f>Table5[[#This Row],[Canon]]</f>
        <v>1</v>
      </c>
      <c r="Q157" s="1">
        <f>Table5[[#This Row],[Reference]]</f>
        <v>18.100000000000001</v>
      </c>
      <c r="R157" s="3" t="str">
        <f>Table5[[#This Row],[StartR]]</f>
        <v>JHN 18:1</v>
      </c>
      <c r="S157" s="3" t="str">
        <f>Table5[[#This Row],[EndR]]</f>
        <v>JHN 18:1</v>
      </c>
      <c r="T157">
        <f>Table5[[#This Row],[Merged.Start]]</f>
        <v>61729</v>
      </c>
      <c r="U157">
        <f>Table5[[#This Row],[Merged.End]]</f>
        <v>61752</v>
      </c>
    </row>
    <row r="158" spans="1:21" x14ac:dyDescent="0.25">
      <c r="A158">
        <v>157</v>
      </c>
      <c r="B158">
        <v>10</v>
      </c>
      <c r="C158">
        <v>18.2</v>
      </c>
      <c r="D158" t="s">
        <v>2358</v>
      </c>
      <c r="E158" t="s">
        <v>2358</v>
      </c>
      <c r="F158">
        <v>61753</v>
      </c>
      <c r="G158">
        <v>61770</v>
      </c>
      <c r="H158">
        <v>0</v>
      </c>
      <c r="K158">
        <f>IF(Table5[[#This Row],[NeedsAttention]]=1,Table5[[#This Row],[Start]],Table5[[#This Row],[StartN]])</f>
        <v>61753</v>
      </c>
      <c r="L158">
        <f>IF(Table5[[#This Row],[NeedsAttention]]=1,Table5[[#This Row],[End]],Table5[[#This Row],[EndN]])</f>
        <v>61770</v>
      </c>
      <c r="M158" t="b">
        <f>Table5[[#This Row],[Merged.Start]]=L157+1</f>
        <v>1</v>
      </c>
      <c r="O158">
        <f>Table5[[#This Row],[Section]]</f>
        <v>157</v>
      </c>
      <c r="P158">
        <f>Table5[[#This Row],[Canon]]</f>
        <v>10</v>
      </c>
      <c r="Q158" s="1">
        <f>Table5[[#This Row],[Reference]]</f>
        <v>18.2</v>
      </c>
      <c r="R158" s="3" t="str">
        <f>Table5[[#This Row],[StartR]]</f>
        <v>JHN 18:2</v>
      </c>
      <c r="S158" s="3" t="str">
        <f>Table5[[#This Row],[EndR]]</f>
        <v>JHN 18:2</v>
      </c>
      <c r="T158">
        <f>Table5[[#This Row],[Merged.Start]]</f>
        <v>61753</v>
      </c>
      <c r="U158">
        <f>Table5[[#This Row],[Merged.End]]</f>
        <v>61770</v>
      </c>
    </row>
    <row r="159" spans="1:21" x14ac:dyDescent="0.25">
      <c r="A159">
        <v>158</v>
      </c>
      <c r="B159">
        <v>1</v>
      </c>
      <c r="C159">
        <v>18.3</v>
      </c>
      <c r="D159" t="s">
        <v>2359</v>
      </c>
      <c r="E159" t="s">
        <v>2359</v>
      </c>
      <c r="F159">
        <v>61771</v>
      </c>
      <c r="G159">
        <v>61793</v>
      </c>
      <c r="H159">
        <v>0</v>
      </c>
      <c r="K159">
        <f>IF(Table5[[#This Row],[NeedsAttention]]=1,Table5[[#This Row],[Start]],Table5[[#This Row],[StartN]])</f>
        <v>61771</v>
      </c>
      <c r="L159">
        <f>IF(Table5[[#This Row],[NeedsAttention]]=1,Table5[[#This Row],[End]],Table5[[#This Row],[EndN]])</f>
        <v>61793</v>
      </c>
      <c r="M159" t="b">
        <f>Table5[[#This Row],[Merged.Start]]=L158+1</f>
        <v>1</v>
      </c>
      <c r="O159">
        <f>Table5[[#This Row],[Section]]</f>
        <v>158</v>
      </c>
      <c r="P159">
        <f>Table5[[#This Row],[Canon]]</f>
        <v>1</v>
      </c>
      <c r="Q159" s="1">
        <f>Table5[[#This Row],[Reference]]</f>
        <v>18.3</v>
      </c>
      <c r="R159" s="3" t="str">
        <f>Table5[[#This Row],[StartR]]</f>
        <v>JHN 18:3</v>
      </c>
      <c r="S159" s="3" t="str">
        <f>Table5[[#This Row],[EndR]]</f>
        <v>JHN 18:3</v>
      </c>
      <c r="T159">
        <f>Table5[[#This Row],[Merged.Start]]</f>
        <v>61771</v>
      </c>
      <c r="U159">
        <f>Table5[[#This Row],[Merged.End]]</f>
        <v>61793</v>
      </c>
    </row>
    <row r="160" spans="1:21" x14ac:dyDescent="0.25">
      <c r="A160">
        <v>159</v>
      </c>
      <c r="B160">
        <v>10</v>
      </c>
      <c r="C160" t="s">
        <v>2360</v>
      </c>
      <c r="D160" t="s">
        <v>2361</v>
      </c>
      <c r="E160" t="s">
        <v>2362</v>
      </c>
      <c r="F160">
        <v>61794</v>
      </c>
      <c r="G160">
        <v>61879</v>
      </c>
      <c r="H160">
        <v>0</v>
      </c>
      <c r="K160">
        <f>IF(Table5[[#This Row],[NeedsAttention]]=1,Table5[[#This Row],[Start]],Table5[[#This Row],[StartN]])</f>
        <v>61794</v>
      </c>
      <c r="L160">
        <f>IF(Table5[[#This Row],[NeedsAttention]]=1,Table5[[#This Row],[End]],Table5[[#This Row],[EndN]])</f>
        <v>61879</v>
      </c>
      <c r="M160" t="b">
        <f>Table5[[#This Row],[Merged.Start]]=L159+1</f>
        <v>1</v>
      </c>
      <c r="O160">
        <f>Table5[[#This Row],[Section]]</f>
        <v>159</v>
      </c>
      <c r="P160">
        <f>Table5[[#This Row],[Canon]]</f>
        <v>10</v>
      </c>
      <c r="Q160" s="1" t="str">
        <f>Table5[[#This Row],[Reference]]</f>
        <v>18.4-9</v>
      </c>
      <c r="R160" s="3" t="str">
        <f>Table5[[#This Row],[StartR]]</f>
        <v>JHN 18:4</v>
      </c>
      <c r="S160" s="3" t="str">
        <f>Table5[[#This Row],[EndR]]</f>
        <v>JHN 18:9</v>
      </c>
      <c r="T160">
        <f>Table5[[#This Row],[Merged.Start]]</f>
        <v>61794</v>
      </c>
      <c r="U160">
        <f>Table5[[#This Row],[Merged.End]]</f>
        <v>61879</v>
      </c>
    </row>
    <row r="161" spans="1:21" x14ac:dyDescent="0.25">
      <c r="A161">
        <v>160</v>
      </c>
      <c r="B161">
        <v>1</v>
      </c>
      <c r="C161" t="s">
        <v>2363</v>
      </c>
      <c r="D161" t="s">
        <v>2364</v>
      </c>
      <c r="E161" t="s">
        <v>2365</v>
      </c>
      <c r="F161">
        <v>61880</v>
      </c>
      <c r="G161">
        <v>61928</v>
      </c>
      <c r="H161">
        <v>1</v>
      </c>
      <c r="I161">
        <v>61880</v>
      </c>
      <c r="J161">
        <v>61917</v>
      </c>
      <c r="K161">
        <f>IF(Table5[[#This Row],[NeedsAttention]]=1,Table5[[#This Row],[Start]],Table5[[#This Row],[StartN]])</f>
        <v>61880</v>
      </c>
      <c r="L161">
        <f>IF(Table5[[#This Row],[NeedsAttention]]=1,Table5[[#This Row],[End]],Table5[[#This Row],[EndN]])</f>
        <v>61917</v>
      </c>
      <c r="M161" t="b">
        <f>Table5[[#This Row],[Merged.Start]]=L160+1</f>
        <v>1</v>
      </c>
      <c r="O161">
        <f>Table5[[#This Row],[Section]]</f>
        <v>160</v>
      </c>
      <c r="P161">
        <f>Table5[[#This Row],[Canon]]</f>
        <v>1</v>
      </c>
      <c r="Q161" s="1" t="str">
        <f>Table5[[#This Row],[Reference]]</f>
        <v>18.10-11AB</v>
      </c>
      <c r="R161" s="3" t="str">
        <f>Table5[[#This Row],[StartR]]</f>
        <v>JHN 18:10</v>
      </c>
      <c r="S161" s="3" t="str">
        <f>Table5[[#This Row],[EndR]]</f>
        <v>JHN 18:11</v>
      </c>
      <c r="T161">
        <f>Table5[[#This Row],[Merged.Start]]</f>
        <v>61880</v>
      </c>
      <c r="U161">
        <f>Table5[[#This Row],[Merged.End]]</f>
        <v>61917</v>
      </c>
    </row>
    <row r="162" spans="1:21" x14ac:dyDescent="0.25">
      <c r="A162">
        <v>161</v>
      </c>
      <c r="B162">
        <v>1</v>
      </c>
      <c r="C162" t="s">
        <v>2366</v>
      </c>
      <c r="D162" t="s">
        <v>2365</v>
      </c>
      <c r="E162" t="s">
        <v>2365</v>
      </c>
      <c r="F162">
        <v>61906</v>
      </c>
      <c r="G162">
        <v>61928</v>
      </c>
      <c r="H162">
        <v>1</v>
      </c>
      <c r="I162">
        <v>61918</v>
      </c>
      <c r="J162">
        <v>61928</v>
      </c>
      <c r="K162">
        <f>IF(Table5[[#This Row],[NeedsAttention]]=1,Table5[[#This Row],[Start]],Table5[[#This Row],[StartN]])</f>
        <v>61918</v>
      </c>
      <c r="L162">
        <f>IF(Table5[[#This Row],[NeedsAttention]]=1,Table5[[#This Row],[End]],Table5[[#This Row],[EndN]])</f>
        <v>61928</v>
      </c>
      <c r="M162" t="b">
        <f>Table5[[#This Row],[Merged.Start]]=L161+1</f>
        <v>1</v>
      </c>
      <c r="O162">
        <f>Table5[[#This Row],[Section]]</f>
        <v>161</v>
      </c>
      <c r="P162">
        <f>Table5[[#This Row],[Canon]]</f>
        <v>1</v>
      </c>
      <c r="Q162" s="1" t="str">
        <f>Table5[[#This Row],[Reference]]</f>
        <v>18.11C</v>
      </c>
      <c r="R162" s="3" t="str">
        <f>Table5[[#This Row],[StartR]]</f>
        <v>JHN 18:11</v>
      </c>
      <c r="S162" s="3" t="str">
        <f>Table5[[#This Row],[EndR]]</f>
        <v>JHN 18:11</v>
      </c>
      <c r="T162">
        <f>Table5[[#This Row],[Merged.Start]]</f>
        <v>61918</v>
      </c>
      <c r="U162">
        <f>Table5[[#This Row],[Merged.End]]</f>
        <v>61928</v>
      </c>
    </row>
    <row r="163" spans="1:21" x14ac:dyDescent="0.25">
      <c r="A163">
        <v>162</v>
      </c>
      <c r="B163">
        <v>1</v>
      </c>
      <c r="C163">
        <v>18.12</v>
      </c>
      <c r="D163" t="s">
        <v>2367</v>
      </c>
      <c r="E163" t="s">
        <v>2367</v>
      </c>
      <c r="F163">
        <v>61929</v>
      </c>
      <c r="G163">
        <v>61945</v>
      </c>
      <c r="H163">
        <v>0</v>
      </c>
      <c r="K163">
        <f>IF(Table5[[#This Row],[NeedsAttention]]=1,Table5[[#This Row],[Start]],Table5[[#This Row],[StartN]])</f>
        <v>61929</v>
      </c>
      <c r="L163">
        <f>IF(Table5[[#This Row],[NeedsAttention]]=1,Table5[[#This Row],[End]],Table5[[#This Row],[EndN]])</f>
        <v>61945</v>
      </c>
      <c r="M163" t="b">
        <f>Table5[[#This Row],[Merged.Start]]=L162+1</f>
        <v>1</v>
      </c>
      <c r="O163">
        <f>Table5[[#This Row],[Section]]</f>
        <v>162</v>
      </c>
      <c r="P163">
        <f>Table5[[#This Row],[Canon]]</f>
        <v>1</v>
      </c>
      <c r="Q163" s="1">
        <f>Table5[[#This Row],[Reference]]</f>
        <v>18.12</v>
      </c>
      <c r="R163" s="3" t="str">
        <f>Table5[[#This Row],[StartR]]</f>
        <v>JHN 18:12</v>
      </c>
      <c r="S163" s="3" t="str">
        <f>Table5[[#This Row],[EndR]]</f>
        <v>JHN 18:12</v>
      </c>
      <c r="T163">
        <f>Table5[[#This Row],[Merged.Start]]</f>
        <v>61929</v>
      </c>
      <c r="U163">
        <f>Table5[[#This Row],[Merged.End]]</f>
        <v>61945</v>
      </c>
    </row>
    <row r="164" spans="1:21" x14ac:dyDescent="0.25">
      <c r="A164">
        <v>163</v>
      </c>
      <c r="B164">
        <v>10</v>
      </c>
      <c r="C164" t="s">
        <v>2368</v>
      </c>
      <c r="D164" t="s">
        <v>2369</v>
      </c>
      <c r="E164" t="s">
        <v>2370</v>
      </c>
      <c r="F164">
        <v>61946</v>
      </c>
      <c r="G164">
        <v>61976</v>
      </c>
      <c r="H164">
        <v>0</v>
      </c>
      <c r="K164">
        <f>IF(Table5[[#This Row],[NeedsAttention]]=1,Table5[[#This Row],[Start]],Table5[[#This Row],[StartN]])</f>
        <v>61946</v>
      </c>
      <c r="L164">
        <f>IF(Table5[[#This Row],[NeedsAttention]]=1,Table5[[#This Row],[End]],Table5[[#This Row],[EndN]])</f>
        <v>61976</v>
      </c>
      <c r="M164" t="b">
        <f>Table5[[#This Row],[Merged.Start]]=L163+1</f>
        <v>1</v>
      </c>
      <c r="O164">
        <f>Table5[[#This Row],[Section]]</f>
        <v>163</v>
      </c>
      <c r="P164">
        <f>Table5[[#This Row],[Canon]]</f>
        <v>10</v>
      </c>
      <c r="Q164" s="1" t="str">
        <f>Table5[[#This Row],[Reference]]</f>
        <v>18.13-14</v>
      </c>
      <c r="R164" s="3" t="str">
        <f>Table5[[#This Row],[StartR]]</f>
        <v>JHN 18:13</v>
      </c>
      <c r="S164" s="3" t="str">
        <f>Table5[[#This Row],[EndR]]</f>
        <v>JHN 18:14</v>
      </c>
      <c r="T164">
        <f>Table5[[#This Row],[Merged.Start]]</f>
        <v>61946</v>
      </c>
      <c r="U164">
        <f>Table5[[#This Row],[Merged.End]]</f>
        <v>61976</v>
      </c>
    </row>
    <row r="165" spans="1:21" x14ac:dyDescent="0.25">
      <c r="A165">
        <v>164</v>
      </c>
      <c r="B165">
        <v>4</v>
      </c>
      <c r="C165" t="s">
        <v>2371</v>
      </c>
      <c r="D165" t="s">
        <v>2372</v>
      </c>
      <c r="E165" t="s">
        <v>2372</v>
      </c>
      <c r="F165">
        <v>61977</v>
      </c>
      <c r="G165">
        <v>62002</v>
      </c>
      <c r="H165">
        <v>1</v>
      </c>
      <c r="I165">
        <v>61977</v>
      </c>
      <c r="J165">
        <v>61985</v>
      </c>
      <c r="K165">
        <f>IF(Table5[[#This Row],[NeedsAttention]]=1,Table5[[#This Row],[Start]],Table5[[#This Row],[StartN]])</f>
        <v>61977</v>
      </c>
      <c r="L165">
        <f>IF(Table5[[#This Row],[NeedsAttention]]=1,Table5[[#This Row],[End]],Table5[[#This Row],[EndN]])</f>
        <v>61985</v>
      </c>
      <c r="M165" t="b">
        <f>Table5[[#This Row],[Merged.Start]]=L164+1</f>
        <v>1</v>
      </c>
      <c r="O165">
        <f>Table5[[#This Row],[Section]]</f>
        <v>164</v>
      </c>
      <c r="P165">
        <f>Table5[[#This Row],[Canon]]</f>
        <v>4</v>
      </c>
      <c r="Q165" s="1" t="str">
        <f>Table5[[#This Row],[Reference]]</f>
        <v>18.15A</v>
      </c>
      <c r="R165" s="3" t="str">
        <f>Table5[[#This Row],[StartR]]</f>
        <v>JHN 18:15</v>
      </c>
      <c r="S165" s="3" t="str">
        <f>Table5[[#This Row],[EndR]]</f>
        <v>JHN 18:15</v>
      </c>
      <c r="T165">
        <f>Table5[[#This Row],[Merged.Start]]</f>
        <v>61977</v>
      </c>
      <c r="U165">
        <f>Table5[[#This Row],[Merged.End]]</f>
        <v>61985</v>
      </c>
    </row>
    <row r="166" spans="1:21" x14ac:dyDescent="0.25">
      <c r="A166">
        <v>165</v>
      </c>
      <c r="B166">
        <v>10</v>
      </c>
      <c r="C166" t="s">
        <v>2373</v>
      </c>
      <c r="D166" t="s">
        <v>2372</v>
      </c>
      <c r="E166" t="s">
        <v>2372</v>
      </c>
      <c r="F166">
        <v>61977</v>
      </c>
      <c r="G166">
        <v>62002</v>
      </c>
      <c r="H166">
        <v>1</v>
      </c>
      <c r="I166">
        <v>61986</v>
      </c>
      <c r="J166">
        <v>62002</v>
      </c>
      <c r="K166">
        <f>IF(Table5[[#This Row],[NeedsAttention]]=1,Table5[[#This Row],[Start]],Table5[[#This Row],[StartN]])</f>
        <v>61986</v>
      </c>
      <c r="L166">
        <f>IF(Table5[[#This Row],[NeedsAttention]]=1,Table5[[#This Row],[End]],Table5[[#This Row],[EndN]])</f>
        <v>62002</v>
      </c>
      <c r="M166" t="b">
        <f>Table5[[#This Row],[Merged.Start]]=L165+1</f>
        <v>1</v>
      </c>
      <c r="O166">
        <f>Table5[[#This Row],[Section]]</f>
        <v>165</v>
      </c>
      <c r="P166">
        <f>Table5[[#This Row],[Canon]]</f>
        <v>10</v>
      </c>
      <c r="Q166" s="1" t="str">
        <f>Table5[[#This Row],[Reference]]</f>
        <v>18.15B</v>
      </c>
      <c r="R166" s="3" t="str">
        <f>Table5[[#This Row],[StartR]]</f>
        <v>JHN 18:15</v>
      </c>
      <c r="S166" s="3" t="str">
        <f>Table5[[#This Row],[EndR]]</f>
        <v>JHN 18:15</v>
      </c>
      <c r="T166">
        <f>Table5[[#This Row],[Merged.Start]]</f>
        <v>61986</v>
      </c>
      <c r="U166">
        <f>Table5[[#This Row],[Merged.End]]</f>
        <v>62002</v>
      </c>
    </row>
    <row r="167" spans="1:21" x14ac:dyDescent="0.25">
      <c r="A167">
        <v>166</v>
      </c>
      <c r="B167">
        <v>1</v>
      </c>
      <c r="C167" t="s">
        <v>2374</v>
      </c>
      <c r="D167" t="s">
        <v>2375</v>
      </c>
      <c r="E167" t="s">
        <v>2375</v>
      </c>
      <c r="F167">
        <v>62003</v>
      </c>
      <c r="G167">
        <v>62028</v>
      </c>
      <c r="H167">
        <v>1</v>
      </c>
      <c r="I167">
        <v>62003</v>
      </c>
      <c r="J167">
        <v>62010</v>
      </c>
      <c r="K167">
        <f>IF(Table5[[#This Row],[NeedsAttention]]=1,Table5[[#This Row],[Start]],Table5[[#This Row],[StartN]])</f>
        <v>62003</v>
      </c>
      <c r="L167">
        <f>IF(Table5[[#This Row],[NeedsAttention]]=1,Table5[[#This Row],[End]],Table5[[#This Row],[EndN]])</f>
        <v>62010</v>
      </c>
      <c r="M167" t="b">
        <f>Table5[[#This Row],[Merged.Start]]=L166+1</f>
        <v>1</v>
      </c>
      <c r="O167">
        <f>Table5[[#This Row],[Section]]</f>
        <v>166</v>
      </c>
      <c r="P167">
        <f>Table5[[#This Row],[Canon]]</f>
        <v>1</v>
      </c>
      <c r="Q167" s="1" t="str">
        <f>Table5[[#This Row],[Reference]]</f>
        <v>18.16A</v>
      </c>
      <c r="R167" s="3" t="str">
        <f>Table5[[#This Row],[StartR]]</f>
        <v>JHN 18:16</v>
      </c>
      <c r="S167" s="3" t="str">
        <f>Table5[[#This Row],[EndR]]</f>
        <v>JHN 18:16</v>
      </c>
      <c r="T167">
        <f>Table5[[#This Row],[Merged.Start]]</f>
        <v>62003</v>
      </c>
      <c r="U167">
        <f>Table5[[#This Row],[Merged.End]]</f>
        <v>62010</v>
      </c>
    </row>
    <row r="168" spans="1:21" x14ac:dyDescent="0.25">
      <c r="A168">
        <v>167</v>
      </c>
      <c r="B168">
        <v>10</v>
      </c>
      <c r="C168" t="s">
        <v>2376</v>
      </c>
      <c r="D168" t="s">
        <v>2375</v>
      </c>
      <c r="E168" t="s">
        <v>2375</v>
      </c>
      <c r="F168">
        <v>62003</v>
      </c>
      <c r="G168">
        <v>62028</v>
      </c>
      <c r="H168">
        <v>1</v>
      </c>
      <c r="I168">
        <v>62011</v>
      </c>
      <c r="J168">
        <v>62028</v>
      </c>
      <c r="K168">
        <f>IF(Table5[[#This Row],[NeedsAttention]]=1,Table5[[#This Row],[Start]],Table5[[#This Row],[StartN]])</f>
        <v>62011</v>
      </c>
      <c r="L168">
        <f>IF(Table5[[#This Row],[NeedsAttention]]=1,Table5[[#This Row],[End]],Table5[[#This Row],[EndN]])</f>
        <v>62028</v>
      </c>
      <c r="M168" t="b">
        <f>Table5[[#This Row],[Merged.Start]]=L167+1</f>
        <v>1</v>
      </c>
      <c r="O168">
        <f>Table5[[#This Row],[Section]]</f>
        <v>167</v>
      </c>
      <c r="P168">
        <f>Table5[[#This Row],[Canon]]</f>
        <v>10</v>
      </c>
      <c r="Q168" s="1" t="str">
        <f>Table5[[#This Row],[Reference]]</f>
        <v>18.16B</v>
      </c>
      <c r="R168" s="3" t="str">
        <f>Table5[[#This Row],[StartR]]</f>
        <v>JHN 18:16</v>
      </c>
      <c r="S168" s="3" t="str">
        <f>Table5[[#This Row],[EndR]]</f>
        <v>JHN 18:16</v>
      </c>
      <c r="T168">
        <f>Table5[[#This Row],[Merged.Start]]</f>
        <v>62011</v>
      </c>
      <c r="U168">
        <f>Table5[[#This Row],[Merged.End]]</f>
        <v>62028</v>
      </c>
    </row>
    <row r="169" spans="1:21" x14ac:dyDescent="0.25">
      <c r="A169">
        <v>168</v>
      </c>
      <c r="B169">
        <v>1</v>
      </c>
      <c r="C169">
        <v>18.170000000000002</v>
      </c>
      <c r="D169" t="s">
        <v>2377</v>
      </c>
      <c r="E169" t="s">
        <v>2377</v>
      </c>
      <c r="F169">
        <v>62029</v>
      </c>
      <c r="G169">
        <v>62050</v>
      </c>
      <c r="H169">
        <v>0</v>
      </c>
      <c r="K169">
        <f>IF(Table5[[#This Row],[NeedsAttention]]=1,Table5[[#This Row],[Start]],Table5[[#This Row],[StartN]])</f>
        <v>62029</v>
      </c>
      <c r="L169">
        <f>IF(Table5[[#This Row],[NeedsAttention]]=1,Table5[[#This Row],[End]],Table5[[#This Row],[EndN]])</f>
        <v>62050</v>
      </c>
      <c r="M169" t="b">
        <f>Table5[[#This Row],[Merged.Start]]=L168+1</f>
        <v>1</v>
      </c>
      <c r="O169">
        <f>Table5[[#This Row],[Section]]</f>
        <v>168</v>
      </c>
      <c r="P169">
        <f>Table5[[#This Row],[Canon]]</f>
        <v>1</v>
      </c>
      <c r="Q169" s="1">
        <f>Table5[[#This Row],[Reference]]</f>
        <v>18.170000000000002</v>
      </c>
      <c r="R169" s="3" t="str">
        <f>Table5[[#This Row],[StartR]]</f>
        <v>JHN 18:17</v>
      </c>
      <c r="S169" s="3" t="str">
        <f>Table5[[#This Row],[EndR]]</f>
        <v>JHN 18:17</v>
      </c>
      <c r="T169">
        <f>Table5[[#This Row],[Merged.Start]]</f>
        <v>62029</v>
      </c>
      <c r="U169">
        <f>Table5[[#This Row],[Merged.End]]</f>
        <v>62050</v>
      </c>
    </row>
    <row r="170" spans="1:21" x14ac:dyDescent="0.25">
      <c r="A170">
        <v>169</v>
      </c>
      <c r="B170">
        <v>10</v>
      </c>
      <c r="C170" t="s">
        <v>2378</v>
      </c>
      <c r="D170" t="s">
        <v>2379</v>
      </c>
      <c r="E170" t="s">
        <v>2380</v>
      </c>
      <c r="F170">
        <v>62051</v>
      </c>
      <c r="G170">
        <v>62089</v>
      </c>
      <c r="H170">
        <v>0</v>
      </c>
      <c r="K170">
        <f>IF(Table5[[#This Row],[NeedsAttention]]=1,Table5[[#This Row],[Start]],Table5[[#This Row],[StartN]])</f>
        <v>62051</v>
      </c>
      <c r="L170">
        <f>IF(Table5[[#This Row],[NeedsAttention]]=1,Table5[[#This Row],[End]],Table5[[#This Row],[EndN]])</f>
        <v>62089</v>
      </c>
      <c r="M170" t="b">
        <f>Table5[[#This Row],[Merged.Start]]=L169+1</f>
        <v>1</v>
      </c>
      <c r="O170">
        <f>Table5[[#This Row],[Section]]</f>
        <v>169</v>
      </c>
      <c r="P170">
        <f>Table5[[#This Row],[Canon]]</f>
        <v>10</v>
      </c>
      <c r="Q170" s="1" t="str">
        <f>Table5[[#This Row],[Reference]]</f>
        <v>18.18-19</v>
      </c>
      <c r="R170" s="3" t="str">
        <f>Table5[[#This Row],[StartR]]</f>
        <v>JHN 18:18</v>
      </c>
      <c r="S170" s="3" t="str">
        <f>Table5[[#This Row],[EndR]]</f>
        <v>JHN 18:19</v>
      </c>
      <c r="T170">
        <f>Table5[[#This Row],[Merged.Start]]</f>
        <v>62051</v>
      </c>
      <c r="U170">
        <f>Table5[[#This Row],[Merged.End]]</f>
        <v>62089</v>
      </c>
    </row>
    <row r="171" spans="1:21" x14ac:dyDescent="0.25">
      <c r="A171">
        <v>170</v>
      </c>
      <c r="B171">
        <v>1</v>
      </c>
      <c r="C171">
        <v>18.2</v>
      </c>
      <c r="D171" t="s">
        <v>2547</v>
      </c>
      <c r="E171" t="s">
        <v>2547</v>
      </c>
      <c r="F171">
        <v>62090</v>
      </c>
      <c r="G171">
        <v>62116</v>
      </c>
      <c r="H171">
        <v>0</v>
      </c>
      <c r="K171">
        <f>IF(Table5[[#This Row],[NeedsAttention]]=1,Table5[[#This Row],[Start]],Table5[[#This Row],[StartN]])</f>
        <v>62090</v>
      </c>
      <c r="L171">
        <f>IF(Table5[[#This Row],[NeedsAttention]]=1,Table5[[#This Row],[End]],Table5[[#This Row],[EndN]])</f>
        <v>62116</v>
      </c>
      <c r="M171" t="b">
        <f>Table5[[#This Row],[Merged.Start]]=L170+1</f>
        <v>1</v>
      </c>
      <c r="O171">
        <f>Table5[[#This Row],[Section]]</f>
        <v>170</v>
      </c>
      <c r="P171">
        <f>Table5[[#This Row],[Canon]]</f>
        <v>1</v>
      </c>
      <c r="Q171" s="1">
        <f>Table5[[#This Row],[Reference]]</f>
        <v>18.2</v>
      </c>
      <c r="R171" s="3" t="str">
        <f>Table5[[#This Row],[StartR]]</f>
        <v>JHN 18:20</v>
      </c>
      <c r="S171" s="3" t="str">
        <f>Table5[[#This Row],[EndR]]</f>
        <v>JHN 18:20</v>
      </c>
      <c r="T171">
        <f>Table5[[#This Row],[Merged.Start]]</f>
        <v>62090</v>
      </c>
      <c r="U171">
        <f>Table5[[#This Row],[Merged.End]]</f>
        <v>62116</v>
      </c>
    </row>
    <row r="172" spans="1:21" x14ac:dyDescent="0.25">
      <c r="A172">
        <v>171</v>
      </c>
      <c r="B172">
        <v>10</v>
      </c>
      <c r="C172">
        <v>18.21</v>
      </c>
      <c r="D172" t="s">
        <v>2381</v>
      </c>
      <c r="E172" t="s">
        <v>2381</v>
      </c>
      <c r="F172">
        <v>62117</v>
      </c>
      <c r="G172">
        <v>62131</v>
      </c>
      <c r="H172">
        <v>0</v>
      </c>
      <c r="K172">
        <f>IF(Table5[[#This Row],[NeedsAttention]]=1,Table5[[#This Row],[Start]],Table5[[#This Row],[StartN]])</f>
        <v>62117</v>
      </c>
      <c r="L172">
        <f>IF(Table5[[#This Row],[NeedsAttention]]=1,Table5[[#This Row],[End]],Table5[[#This Row],[EndN]])</f>
        <v>62131</v>
      </c>
      <c r="M172" t="b">
        <f>Table5[[#This Row],[Merged.Start]]=L171+1</f>
        <v>1</v>
      </c>
      <c r="O172">
        <f>Table5[[#This Row],[Section]]</f>
        <v>171</v>
      </c>
      <c r="P172">
        <f>Table5[[#This Row],[Canon]]</f>
        <v>10</v>
      </c>
      <c r="Q172" s="1">
        <f>Table5[[#This Row],[Reference]]</f>
        <v>18.21</v>
      </c>
      <c r="R172" s="3" t="str">
        <f>Table5[[#This Row],[StartR]]</f>
        <v>JHN 18:21</v>
      </c>
      <c r="S172" s="3" t="str">
        <f>Table5[[#This Row],[EndR]]</f>
        <v>JHN 18:21</v>
      </c>
      <c r="T172">
        <f>Table5[[#This Row],[Merged.Start]]</f>
        <v>62117</v>
      </c>
      <c r="U172">
        <f>Table5[[#This Row],[Merged.End]]</f>
        <v>62131</v>
      </c>
    </row>
    <row r="173" spans="1:21" x14ac:dyDescent="0.25">
      <c r="A173">
        <v>172</v>
      </c>
      <c r="B173">
        <v>1</v>
      </c>
      <c r="C173">
        <v>18.22</v>
      </c>
      <c r="D173" t="s">
        <v>2382</v>
      </c>
      <c r="E173" t="s">
        <v>2382</v>
      </c>
      <c r="F173">
        <v>62132</v>
      </c>
      <c r="G173">
        <v>62148</v>
      </c>
      <c r="H173">
        <v>0</v>
      </c>
      <c r="K173">
        <f>IF(Table5[[#This Row],[NeedsAttention]]=1,Table5[[#This Row],[Start]],Table5[[#This Row],[StartN]])</f>
        <v>62132</v>
      </c>
      <c r="L173">
        <f>IF(Table5[[#This Row],[NeedsAttention]]=1,Table5[[#This Row],[End]],Table5[[#This Row],[EndN]])</f>
        <v>62148</v>
      </c>
      <c r="M173" t="b">
        <f>Table5[[#This Row],[Merged.Start]]=L172+1</f>
        <v>1</v>
      </c>
      <c r="O173">
        <f>Table5[[#This Row],[Section]]</f>
        <v>172</v>
      </c>
      <c r="P173">
        <f>Table5[[#This Row],[Canon]]</f>
        <v>1</v>
      </c>
      <c r="Q173" s="1">
        <f>Table5[[#This Row],[Reference]]</f>
        <v>18.22</v>
      </c>
      <c r="R173" s="3" t="str">
        <f>Table5[[#This Row],[StartR]]</f>
        <v>JHN 18:22</v>
      </c>
      <c r="S173" s="3" t="str">
        <f>Table5[[#This Row],[EndR]]</f>
        <v>JHN 18:22</v>
      </c>
      <c r="T173">
        <f>Table5[[#This Row],[Merged.Start]]</f>
        <v>62132</v>
      </c>
      <c r="U173">
        <f>Table5[[#This Row],[Merged.End]]</f>
        <v>62148</v>
      </c>
    </row>
    <row r="174" spans="1:21" x14ac:dyDescent="0.25">
      <c r="A174">
        <v>173</v>
      </c>
      <c r="B174">
        <v>10</v>
      </c>
      <c r="C174">
        <v>18.23</v>
      </c>
      <c r="D174" t="s">
        <v>2383</v>
      </c>
      <c r="E174" t="s">
        <v>2383</v>
      </c>
      <c r="F174">
        <v>62149</v>
      </c>
      <c r="G174">
        <v>62164</v>
      </c>
      <c r="H174">
        <v>0</v>
      </c>
      <c r="K174">
        <f>IF(Table5[[#This Row],[NeedsAttention]]=1,Table5[[#This Row],[Start]],Table5[[#This Row],[StartN]])</f>
        <v>62149</v>
      </c>
      <c r="L174">
        <f>IF(Table5[[#This Row],[NeedsAttention]]=1,Table5[[#This Row],[End]],Table5[[#This Row],[EndN]])</f>
        <v>62164</v>
      </c>
      <c r="M174" t="b">
        <f>Table5[[#This Row],[Merged.Start]]=L173+1</f>
        <v>1</v>
      </c>
      <c r="O174">
        <f>Table5[[#This Row],[Section]]</f>
        <v>173</v>
      </c>
      <c r="P174">
        <f>Table5[[#This Row],[Canon]]</f>
        <v>10</v>
      </c>
      <c r="Q174" s="1">
        <f>Table5[[#This Row],[Reference]]</f>
        <v>18.23</v>
      </c>
      <c r="R174" s="3" t="str">
        <f>Table5[[#This Row],[StartR]]</f>
        <v>JHN 18:23</v>
      </c>
      <c r="S174" s="3" t="str">
        <f>Table5[[#This Row],[EndR]]</f>
        <v>JHN 18:23</v>
      </c>
      <c r="T174">
        <f>Table5[[#This Row],[Merged.Start]]</f>
        <v>62149</v>
      </c>
      <c r="U174">
        <f>Table5[[#This Row],[Merged.End]]</f>
        <v>62164</v>
      </c>
    </row>
    <row r="175" spans="1:21" x14ac:dyDescent="0.25">
      <c r="A175">
        <v>174</v>
      </c>
      <c r="B175">
        <v>1</v>
      </c>
      <c r="C175">
        <v>18.239999999999998</v>
      </c>
      <c r="D175" t="s">
        <v>2384</v>
      </c>
      <c r="E175" t="s">
        <v>2384</v>
      </c>
      <c r="F175">
        <v>62165</v>
      </c>
      <c r="G175">
        <v>62174</v>
      </c>
      <c r="H175">
        <v>0</v>
      </c>
      <c r="K175">
        <f>IF(Table5[[#This Row],[NeedsAttention]]=1,Table5[[#This Row],[Start]],Table5[[#This Row],[StartN]])</f>
        <v>62165</v>
      </c>
      <c r="L175">
        <f>IF(Table5[[#This Row],[NeedsAttention]]=1,Table5[[#This Row],[End]],Table5[[#This Row],[EndN]])</f>
        <v>62174</v>
      </c>
      <c r="M175" t="b">
        <f>Table5[[#This Row],[Merged.Start]]=L174+1</f>
        <v>1</v>
      </c>
      <c r="O175">
        <f>Table5[[#This Row],[Section]]</f>
        <v>174</v>
      </c>
      <c r="P175">
        <f>Table5[[#This Row],[Canon]]</f>
        <v>1</v>
      </c>
      <c r="Q175" s="1">
        <f>Table5[[#This Row],[Reference]]</f>
        <v>18.239999999999998</v>
      </c>
      <c r="R175" s="3" t="str">
        <f>Table5[[#This Row],[StartR]]</f>
        <v>JHN 18:24</v>
      </c>
      <c r="S175" s="3" t="str">
        <f>Table5[[#This Row],[EndR]]</f>
        <v>JHN 18:24</v>
      </c>
      <c r="T175">
        <f>Table5[[#This Row],[Merged.Start]]</f>
        <v>62165</v>
      </c>
      <c r="U175">
        <f>Table5[[#This Row],[Merged.End]]</f>
        <v>62174</v>
      </c>
    </row>
    <row r="176" spans="1:21" x14ac:dyDescent="0.25">
      <c r="A176">
        <v>175</v>
      </c>
      <c r="B176">
        <v>1</v>
      </c>
      <c r="C176" t="s">
        <v>2385</v>
      </c>
      <c r="D176" t="s">
        <v>2386</v>
      </c>
      <c r="E176" t="s">
        <v>2387</v>
      </c>
      <c r="F176">
        <v>62175</v>
      </c>
      <c r="G176">
        <v>62229</v>
      </c>
      <c r="H176">
        <v>0</v>
      </c>
      <c r="K176">
        <f>IF(Table5[[#This Row],[NeedsAttention]]=1,Table5[[#This Row],[Start]],Table5[[#This Row],[StartN]])</f>
        <v>62175</v>
      </c>
      <c r="L176">
        <f>IF(Table5[[#This Row],[NeedsAttention]]=1,Table5[[#This Row],[End]],Table5[[#This Row],[EndN]])</f>
        <v>62229</v>
      </c>
      <c r="M176" t="b">
        <f>Table5[[#This Row],[Merged.Start]]=L175+1</f>
        <v>1</v>
      </c>
      <c r="O176">
        <f>Table5[[#This Row],[Section]]</f>
        <v>175</v>
      </c>
      <c r="P176">
        <f>Table5[[#This Row],[Canon]]</f>
        <v>1</v>
      </c>
      <c r="Q176" s="1" t="str">
        <f>Table5[[#This Row],[Reference]]</f>
        <v>18.25-27</v>
      </c>
      <c r="R176" s="3" t="str">
        <f>Table5[[#This Row],[StartR]]</f>
        <v>JHN 18:25</v>
      </c>
      <c r="S176" s="3" t="str">
        <f>Table5[[#This Row],[EndR]]</f>
        <v>JHN 18:27</v>
      </c>
      <c r="T176">
        <f>Table5[[#This Row],[Merged.Start]]</f>
        <v>62175</v>
      </c>
      <c r="U176">
        <f>Table5[[#This Row],[Merged.End]]</f>
        <v>62229</v>
      </c>
    </row>
    <row r="177" spans="1:21" x14ac:dyDescent="0.25">
      <c r="A177">
        <v>176</v>
      </c>
      <c r="B177">
        <v>1</v>
      </c>
      <c r="C177" t="s">
        <v>2388</v>
      </c>
      <c r="D177" t="s">
        <v>2389</v>
      </c>
      <c r="E177" t="s">
        <v>2389</v>
      </c>
      <c r="F177">
        <v>62230</v>
      </c>
      <c r="G177">
        <v>62256</v>
      </c>
      <c r="H177">
        <v>1</v>
      </c>
      <c r="I177">
        <v>62230</v>
      </c>
      <c r="J177">
        <v>62242</v>
      </c>
      <c r="K177">
        <f>IF(Table5[[#This Row],[NeedsAttention]]=1,Table5[[#This Row],[Start]],Table5[[#This Row],[StartN]])</f>
        <v>62230</v>
      </c>
      <c r="L177">
        <f>IF(Table5[[#This Row],[NeedsAttention]]=1,Table5[[#This Row],[End]],Table5[[#This Row],[EndN]])</f>
        <v>62242</v>
      </c>
      <c r="M177" t="b">
        <f>Table5[[#This Row],[Merged.Start]]=L176+1</f>
        <v>1</v>
      </c>
      <c r="O177">
        <f>Table5[[#This Row],[Section]]</f>
        <v>176</v>
      </c>
      <c r="P177">
        <f>Table5[[#This Row],[Canon]]</f>
        <v>1</v>
      </c>
      <c r="Q177" s="1" t="str">
        <f>Table5[[#This Row],[Reference]]</f>
        <v>18.28AB</v>
      </c>
      <c r="R177" s="3" t="str">
        <f>Table5[[#This Row],[StartR]]</f>
        <v>JHN 18:28</v>
      </c>
      <c r="S177" s="3" t="str">
        <f>Table5[[#This Row],[EndR]]</f>
        <v>JHN 18:28</v>
      </c>
      <c r="T177">
        <f>Table5[[#This Row],[Merged.Start]]</f>
        <v>62230</v>
      </c>
      <c r="U177">
        <f>Table5[[#This Row],[Merged.End]]</f>
        <v>62242</v>
      </c>
    </row>
    <row r="178" spans="1:21" x14ac:dyDescent="0.25">
      <c r="A178">
        <v>177</v>
      </c>
      <c r="B178">
        <v>10</v>
      </c>
      <c r="C178" t="s">
        <v>2390</v>
      </c>
      <c r="D178" t="s">
        <v>2389</v>
      </c>
      <c r="E178" t="s">
        <v>2391</v>
      </c>
      <c r="F178">
        <v>62230</v>
      </c>
      <c r="G178">
        <v>62324</v>
      </c>
      <c r="H178">
        <v>1</v>
      </c>
      <c r="I178">
        <v>62243</v>
      </c>
      <c r="J178">
        <v>62324</v>
      </c>
      <c r="K178">
        <f>IF(Table5[[#This Row],[NeedsAttention]]=1,Table5[[#This Row],[Start]],Table5[[#This Row],[StartN]])</f>
        <v>62243</v>
      </c>
      <c r="L178">
        <f>IF(Table5[[#This Row],[NeedsAttention]]=1,Table5[[#This Row],[End]],Table5[[#This Row],[EndN]])</f>
        <v>62324</v>
      </c>
      <c r="M178" t="b">
        <f>Table5[[#This Row],[Merged.Start]]=L177+1</f>
        <v>1</v>
      </c>
      <c r="O178">
        <f>Table5[[#This Row],[Section]]</f>
        <v>177</v>
      </c>
      <c r="P178">
        <f>Table5[[#This Row],[Canon]]</f>
        <v>10</v>
      </c>
      <c r="Q178" s="1" t="str">
        <f>Table5[[#This Row],[Reference]]</f>
        <v>18.28C-32</v>
      </c>
      <c r="R178" s="3" t="str">
        <f>Table5[[#This Row],[StartR]]</f>
        <v>JHN 18:28</v>
      </c>
      <c r="S178" s="3" t="str">
        <f>Table5[[#This Row],[EndR]]</f>
        <v>JHN 18:32</v>
      </c>
      <c r="T178">
        <f>Table5[[#This Row],[Merged.Start]]</f>
        <v>62243</v>
      </c>
      <c r="U178">
        <f>Table5[[#This Row],[Merged.End]]</f>
        <v>62324</v>
      </c>
    </row>
    <row r="179" spans="1:21" x14ac:dyDescent="0.25">
      <c r="A179">
        <v>178</v>
      </c>
      <c r="B179">
        <v>1</v>
      </c>
      <c r="C179">
        <v>18.329999999999998</v>
      </c>
      <c r="D179" t="s">
        <v>2392</v>
      </c>
      <c r="E179" t="s">
        <v>2392</v>
      </c>
      <c r="F179">
        <v>62325</v>
      </c>
      <c r="G179">
        <v>62345</v>
      </c>
      <c r="H179">
        <v>0</v>
      </c>
      <c r="K179">
        <f>IF(Table5[[#This Row],[NeedsAttention]]=1,Table5[[#This Row],[Start]],Table5[[#This Row],[StartN]])</f>
        <v>62325</v>
      </c>
      <c r="L179">
        <f>IF(Table5[[#This Row],[NeedsAttention]]=1,Table5[[#This Row],[End]],Table5[[#This Row],[EndN]])</f>
        <v>62345</v>
      </c>
      <c r="M179" t="b">
        <f>Table5[[#This Row],[Merged.Start]]=L178+1</f>
        <v>1</v>
      </c>
      <c r="O179">
        <f>Table5[[#This Row],[Section]]</f>
        <v>178</v>
      </c>
      <c r="P179">
        <f>Table5[[#This Row],[Canon]]</f>
        <v>1</v>
      </c>
      <c r="Q179" s="1">
        <f>Table5[[#This Row],[Reference]]</f>
        <v>18.329999999999998</v>
      </c>
      <c r="R179" s="3" t="str">
        <f>Table5[[#This Row],[StartR]]</f>
        <v>JHN 18:33</v>
      </c>
      <c r="S179" s="3" t="str">
        <f>Table5[[#This Row],[EndR]]</f>
        <v>JHN 18:33</v>
      </c>
      <c r="T179">
        <f>Table5[[#This Row],[Merged.Start]]</f>
        <v>62325</v>
      </c>
      <c r="U179">
        <f>Table5[[#This Row],[Merged.End]]</f>
        <v>62345</v>
      </c>
    </row>
    <row r="180" spans="1:21" x14ac:dyDescent="0.25">
      <c r="A180">
        <v>179</v>
      </c>
      <c r="B180">
        <v>10</v>
      </c>
      <c r="C180" t="s">
        <v>2393</v>
      </c>
      <c r="D180" t="s">
        <v>2394</v>
      </c>
      <c r="E180" t="s">
        <v>2395</v>
      </c>
      <c r="F180">
        <v>62346</v>
      </c>
      <c r="G180">
        <v>62419</v>
      </c>
      <c r="H180">
        <v>0</v>
      </c>
      <c r="K180">
        <f>IF(Table5[[#This Row],[NeedsAttention]]=1,Table5[[#This Row],[Start]],Table5[[#This Row],[StartN]])</f>
        <v>62346</v>
      </c>
      <c r="L180">
        <f>IF(Table5[[#This Row],[NeedsAttention]]=1,Table5[[#This Row],[End]],Table5[[#This Row],[EndN]])</f>
        <v>62419</v>
      </c>
      <c r="M180" t="b">
        <f>Table5[[#This Row],[Merged.Start]]=L179+1</f>
        <v>1</v>
      </c>
      <c r="O180">
        <f>Table5[[#This Row],[Section]]</f>
        <v>179</v>
      </c>
      <c r="P180">
        <f>Table5[[#This Row],[Canon]]</f>
        <v>10</v>
      </c>
      <c r="Q180" s="1" t="str">
        <f>Table5[[#This Row],[Reference]]</f>
        <v>18.34-36</v>
      </c>
      <c r="R180" s="3" t="str">
        <f>Table5[[#This Row],[StartR]]</f>
        <v>JHN 18:34</v>
      </c>
      <c r="S180" s="3" t="str">
        <f>Table5[[#This Row],[EndR]]</f>
        <v>JHN 18:36</v>
      </c>
      <c r="T180">
        <f>Table5[[#This Row],[Merged.Start]]</f>
        <v>62346</v>
      </c>
      <c r="U180">
        <f>Table5[[#This Row],[Merged.End]]</f>
        <v>62419</v>
      </c>
    </row>
    <row r="181" spans="1:21" x14ac:dyDescent="0.25">
      <c r="A181">
        <v>180</v>
      </c>
      <c r="B181">
        <v>1</v>
      </c>
      <c r="C181" t="s">
        <v>2396</v>
      </c>
      <c r="D181" t="s">
        <v>2397</v>
      </c>
      <c r="E181" t="s">
        <v>2397</v>
      </c>
      <c r="F181">
        <v>62420</v>
      </c>
      <c r="G181">
        <v>62461</v>
      </c>
      <c r="H181">
        <v>1</v>
      </c>
      <c r="I181">
        <v>62420</v>
      </c>
      <c r="J181">
        <v>62436</v>
      </c>
      <c r="K181">
        <f>IF(Table5[[#This Row],[NeedsAttention]]=1,Table5[[#This Row],[Start]],Table5[[#This Row],[StartN]])</f>
        <v>62420</v>
      </c>
      <c r="L181">
        <f>IF(Table5[[#This Row],[NeedsAttention]]=1,Table5[[#This Row],[End]],Table5[[#This Row],[EndN]])</f>
        <v>62436</v>
      </c>
      <c r="M181" t="b">
        <f>Table5[[#This Row],[Merged.Start]]=L180+1</f>
        <v>1</v>
      </c>
      <c r="O181">
        <f>Table5[[#This Row],[Section]]</f>
        <v>180</v>
      </c>
      <c r="P181">
        <f>Table5[[#This Row],[Canon]]</f>
        <v>1</v>
      </c>
      <c r="Q181" s="1" t="str">
        <f>Table5[[#This Row],[Reference]]</f>
        <v>18.37A</v>
      </c>
      <c r="R181" s="3" t="str">
        <f>Table5[[#This Row],[StartR]]</f>
        <v>JHN 18:37</v>
      </c>
      <c r="S181" s="3" t="str">
        <f>Table5[[#This Row],[EndR]]</f>
        <v>JHN 18:37</v>
      </c>
      <c r="T181">
        <f>Table5[[#This Row],[Merged.Start]]</f>
        <v>62420</v>
      </c>
      <c r="U181">
        <f>Table5[[#This Row],[Merged.End]]</f>
        <v>62436</v>
      </c>
    </row>
    <row r="182" spans="1:21" x14ac:dyDescent="0.25">
      <c r="A182">
        <v>181</v>
      </c>
      <c r="B182">
        <v>10</v>
      </c>
      <c r="C182" t="s">
        <v>2398</v>
      </c>
      <c r="D182" t="s">
        <v>2397</v>
      </c>
      <c r="E182" t="s">
        <v>2399</v>
      </c>
      <c r="F182">
        <v>62420</v>
      </c>
      <c r="G182">
        <v>62485</v>
      </c>
      <c r="H182">
        <v>1</v>
      </c>
      <c r="I182">
        <v>62437</v>
      </c>
      <c r="J182">
        <v>62468</v>
      </c>
      <c r="K182">
        <f>IF(Table5[[#This Row],[NeedsAttention]]=1,Table5[[#This Row],[Start]],Table5[[#This Row],[StartN]])</f>
        <v>62437</v>
      </c>
      <c r="L182">
        <f>IF(Table5[[#This Row],[NeedsAttention]]=1,Table5[[#This Row],[End]],Table5[[#This Row],[EndN]])</f>
        <v>62468</v>
      </c>
      <c r="M182" t="b">
        <f>Table5[[#This Row],[Merged.Start]]=L181+1</f>
        <v>1</v>
      </c>
      <c r="O182">
        <f>Table5[[#This Row],[Section]]</f>
        <v>181</v>
      </c>
      <c r="P182">
        <f>Table5[[#This Row],[Canon]]</f>
        <v>10</v>
      </c>
      <c r="Q182" s="1" t="str">
        <f>Table5[[#This Row],[Reference]]</f>
        <v>18.37B-38A</v>
      </c>
      <c r="R182" s="3" t="str">
        <f>Table5[[#This Row],[StartR]]</f>
        <v>JHN 18:37</v>
      </c>
      <c r="S182" s="3" t="str">
        <f>Table5[[#This Row],[EndR]]</f>
        <v>JHN 18:38</v>
      </c>
      <c r="T182">
        <f>Table5[[#This Row],[Merged.Start]]</f>
        <v>62437</v>
      </c>
      <c r="U182">
        <f>Table5[[#This Row],[Merged.End]]</f>
        <v>62468</v>
      </c>
    </row>
    <row r="183" spans="1:21" x14ac:dyDescent="0.25">
      <c r="A183">
        <v>182</v>
      </c>
      <c r="B183">
        <v>9</v>
      </c>
      <c r="C183" t="s">
        <v>2400</v>
      </c>
      <c r="D183" t="s">
        <v>2399</v>
      </c>
      <c r="E183" t="s">
        <v>2399</v>
      </c>
      <c r="F183">
        <v>62462</v>
      </c>
      <c r="G183">
        <v>62485</v>
      </c>
      <c r="H183">
        <v>1</v>
      </c>
      <c r="I183">
        <v>62469</v>
      </c>
      <c r="J183">
        <v>62485</v>
      </c>
      <c r="K183">
        <f>IF(Table5[[#This Row],[NeedsAttention]]=1,Table5[[#This Row],[Start]],Table5[[#This Row],[StartN]])</f>
        <v>62469</v>
      </c>
      <c r="L183">
        <f>IF(Table5[[#This Row],[NeedsAttention]]=1,Table5[[#This Row],[End]],Table5[[#This Row],[EndN]])</f>
        <v>62485</v>
      </c>
      <c r="M183" t="b">
        <f>Table5[[#This Row],[Merged.Start]]=L182+1</f>
        <v>1</v>
      </c>
      <c r="O183">
        <f>Table5[[#This Row],[Section]]</f>
        <v>182</v>
      </c>
      <c r="P183">
        <f>Table5[[#This Row],[Canon]]</f>
        <v>9</v>
      </c>
      <c r="Q183" s="1" t="str">
        <f>Table5[[#This Row],[Reference]]</f>
        <v>18.38B</v>
      </c>
      <c r="R183" s="3" t="str">
        <f>Table5[[#This Row],[StartR]]</f>
        <v>JHN 18:38</v>
      </c>
      <c r="S183" s="3" t="str">
        <f>Table5[[#This Row],[EndR]]</f>
        <v>JHN 18:38</v>
      </c>
      <c r="T183">
        <f>Table5[[#This Row],[Merged.Start]]</f>
        <v>62469</v>
      </c>
      <c r="U183">
        <f>Table5[[#This Row],[Merged.End]]</f>
        <v>62485</v>
      </c>
    </row>
    <row r="184" spans="1:21" x14ac:dyDescent="0.25">
      <c r="A184">
        <v>183</v>
      </c>
      <c r="B184">
        <v>4</v>
      </c>
      <c r="C184">
        <v>18.39</v>
      </c>
      <c r="D184" t="s">
        <v>2401</v>
      </c>
      <c r="E184" t="s">
        <v>2401</v>
      </c>
      <c r="F184">
        <v>62486</v>
      </c>
      <c r="G184">
        <v>62504</v>
      </c>
      <c r="H184">
        <v>0</v>
      </c>
      <c r="K184">
        <f>IF(Table5[[#This Row],[NeedsAttention]]=1,Table5[[#This Row],[Start]],Table5[[#This Row],[StartN]])</f>
        <v>62486</v>
      </c>
      <c r="L184">
        <f>IF(Table5[[#This Row],[NeedsAttention]]=1,Table5[[#This Row],[End]],Table5[[#This Row],[EndN]])</f>
        <v>62504</v>
      </c>
      <c r="M184" t="b">
        <f>Table5[[#This Row],[Merged.Start]]=L183+1</f>
        <v>1</v>
      </c>
      <c r="O184">
        <f>Table5[[#This Row],[Section]]</f>
        <v>183</v>
      </c>
      <c r="P184">
        <f>Table5[[#This Row],[Canon]]</f>
        <v>4</v>
      </c>
      <c r="Q184" s="1">
        <f>Table5[[#This Row],[Reference]]</f>
        <v>18.39</v>
      </c>
      <c r="R184" s="3" t="str">
        <f>Table5[[#This Row],[StartR]]</f>
        <v>JHN 18:39</v>
      </c>
      <c r="S184" s="3" t="str">
        <f>Table5[[#This Row],[EndR]]</f>
        <v>JHN 18:39</v>
      </c>
      <c r="T184">
        <f>Table5[[#This Row],[Merged.Start]]</f>
        <v>62486</v>
      </c>
      <c r="U184">
        <f>Table5[[#This Row],[Merged.End]]</f>
        <v>62504</v>
      </c>
    </row>
    <row r="185" spans="1:21" x14ac:dyDescent="0.25">
      <c r="A185">
        <v>184</v>
      </c>
      <c r="B185">
        <v>1</v>
      </c>
      <c r="C185">
        <v>18.399999999999999</v>
      </c>
      <c r="D185" t="s">
        <v>2548</v>
      </c>
      <c r="E185" t="s">
        <v>2548</v>
      </c>
      <c r="F185">
        <v>62505</v>
      </c>
      <c r="G185">
        <v>62518</v>
      </c>
      <c r="H185">
        <v>0</v>
      </c>
      <c r="K185">
        <f>IF(Table5[[#This Row],[NeedsAttention]]=1,Table5[[#This Row],[Start]],Table5[[#This Row],[StartN]])</f>
        <v>62505</v>
      </c>
      <c r="L185">
        <f>IF(Table5[[#This Row],[NeedsAttention]]=1,Table5[[#This Row],[End]],Table5[[#This Row],[EndN]])</f>
        <v>62518</v>
      </c>
      <c r="M185" t="b">
        <f>Table5[[#This Row],[Merged.Start]]=L184+1</f>
        <v>1</v>
      </c>
      <c r="O185">
        <f>Table5[[#This Row],[Section]]</f>
        <v>184</v>
      </c>
      <c r="P185">
        <f>Table5[[#This Row],[Canon]]</f>
        <v>1</v>
      </c>
      <c r="Q185" s="1">
        <f>Table5[[#This Row],[Reference]]</f>
        <v>18.399999999999999</v>
      </c>
      <c r="R185" s="3" t="str">
        <f>Table5[[#This Row],[StartR]]</f>
        <v>JHN 18:40</v>
      </c>
      <c r="S185" s="3" t="str">
        <f>Table5[[#This Row],[EndR]]</f>
        <v>JHN 18:40</v>
      </c>
      <c r="T185">
        <f>Table5[[#This Row],[Merged.Start]]</f>
        <v>62505</v>
      </c>
      <c r="U185">
        <f>Table5[[#This Row],[Merged.End]]</f>
        <v>62518</v>
      </c>
    </row>
    <row r="186" spans="1:21" x14ac:dyDescent="0.25">
      <c r="A186">
        <v>185</v>
      </c>
      <c r="B186">
        <v>4</v>
      </c>
      <c r="C186" t="s">
        <v>2402</v>
      </c>
      <c r="D186" t="s">
        <v>2403</v>
      </c>
      <c r="E186" t="s">
        <v>2404</v>
      </c>
      <c r="F186">
        <v>62519</v>
      </c>
      <c r="G186">
        <v>62558</v>
      </c>
      <c r="H186">
        <v>0</v>
      </c>
      <c r="K186">
        <f>IF(Table5[[#This Row],[NeedsAttention]]=1,Table5[[#This Row],[Start]],Table5[[#This Row],[StartN]])</f>
        <v>62519</v>
      </c>
      <c r="L186">
        <f>IF(Table5[[#This Row],[NeedsAttention]]=1,Table5[[#This Row],[End]],Table5[[#This Row],[EndN]])</f>
        <v>62558</v>
      </c>
      <c r="M186" t="b">
        <f>Table5[[#This Row],[Merged.Start]]=L185+1</f>
        <v>1</v>
      </c>
      <c r="O186">
        <f>Table5[[#This Row],[Section]]</f>
        <v>185</v>
      </c>
      <c r="P186">
        <f>Table5[[#This Row],[Canon]]</f>
        <v>4</v>
      </c>
      <c r="Q186" s="1" t="str">
        <f>Table5[[#This Row],[Reference]]</f>
        <v>19.1-3</v>
      </c>
      <c r="R186" s="3" t="str">
        <f>Table5[[#This Row],[StartR]]</f>
        <v>JHN 19:1</v>
      </c>
      <c r="S186" s="3" t="str">
        <f>Table5[[#This Row],[EndR]]</f>
        <v>JHN 19:3</v>
      </c>
      <c r="T186">
        <f>Table5[[#This Row],[Merged.Start]]</f>
        <v>62519</v>
      </c>
      <c r="U186">
        <f>Table5[[#This Row],[Merged.End]]</f>
        <v>62558</v>
      </c>
    </row>
    <row r="187" spans="1:21" x14ac:dyDescent="0.25">
      <c r="A187">
        <v>186</v>
      </c>
      <c r="B187">
        <v>9</v>
      </c>
      <c r="C187">
        <v>19.399999999999999</v>
      </c>
      <c r="D187" t="s">
        <v>2405</v>
      </c>
      <c r="E187" t="s">
        <v>2405</v>
      </c>
      <c r="F187">
        <v>62559</v>
      </c>
      <c r="G187">
        <v>62580</v>
      </c>
      <c r="H187">
        <v>0</v>
      </c>
      <c r="K187">
        <f>IF(Table5[[#This Row],[NeedsAttention]]=1,Table5[[#This Row],[Start]],Table5[[#This Row],[StartN]])</f>
        <v>62559</v>
      </c>
      <c r="L187">
        <f>IF(Table5[[#This Row],[NeedsAttention]]=1,Table5[[#This Row],[End]],Table5[[#This Row],[EndN]])</f>
        <v>62580</v>
      </c>
      <c r="M187" t="b">
        <f>Table5[[#This Row],[Merged.Start]]=L186+1</f>
        <v>1</v>
      </c>
      <c r="O187">
        <f>Table5[[#This Row],[Section]]</f>
        <v>186</v>
      </c>
      <c r="P187">
        <f>Table5[[#This Row],[Canon]]</f>
        <v>9</v>
      </c>
      <c r="Q187" s="1">
        <f>Table5[[#This Row],[Reference]]</f>
        <v>19.399999999999999</v>
      </c>
      <c r="R187" s="3" t="str">
        <f>Table5[[#This Row],[StartR]]</f>
        <v>JHN 19:4</v>
      </c>
      <c r="S187" s="3" t="str">
        <f>Table5[[#This Row],[EndR]]</f>
        <v>JHN 19:4</v>
      </c>
      <c r="T187">
        <f>Table5[[#This Row],[Merged.Start]]</f>
        <v>62559</v>
      </c>
      <c r="U187">
        <f>Table5[[#This Row],[Merged.End]]</f>
        <v>62580</v>
      </c>
    </row>
    <row r="188" spans="1:21" x14ac:dyDescent="0.25">
      <c r="A188">
        <v>187</v>
      </c>
      <c r="B188">
        <v>4</v>
      </c>
      <c r="C188">
        <v>19.5</v>
      </c>
      <c r="D188" t="s">
        <v>2406</v>
      </c>
      <c r="E188" t="s">
        <v>2406</v>
      </c>
      <c r="F188">
        <v>62581</v>
      </c>
      <c r="G188">
        <v>62599</v>
      </c>
      <c r="H188">
        <v>0</v>
      </c>
      <c r="K188">
        <f>IF(Table5[[#This Row],[NeedsAttention]]=1,Table5[[#This Row],[Start]],Table5[[#This Row],[StartN]])</f>
        <v>62581</v>
      </c>
      <c r="L188">
        <f>IF(Table5[[#This Row],[NeedsAttention]]=1,Table5[[#This Row],[End]],Table5[[#This Row],[EndN]])</f>
        <v>62599</v>
      </c>
      <c r="M188" t="b">
        <f>Table5[[#This Row],[Merged.Start]]=L187+1</f>
        <v>1</v>
      </c>
      <c r="O188">
        <f>Table5[[#This Row],[Section]]</f>
        <v>187</v>
      </c>
      <c r="P188">
        <f>Table5[[#This Row],[Canon]]</f>
        <v>4</v>
      </c>
      <c r="Q188" s="1">
        <f>Table5[[#This Row],[Reference]]</f>
        <v>19.5</v>
      </c>
      <c r="R188" s="3" t="str">
        <f>Table5[[#This Row],[StartR]]</f>
        <v>JHN 19:5</v>
      </c>
      <c r="S188" s="3" t="str">
        <f>Table5[[#This Row],[EndR]]</f>
        <v>JHN 19:5</v>
      </c>
      <c r="T188">
        <f>Table5[[#This Row],[Merged.Start]]</f>
        <v>62581</v>
      </c>
      <c r="U188">
        <f>Table5[[#This Row],[Merged.End]]</f>
        <v>62599</v>
      </c>
    </row>
    <row r="189" spans="1:21" x14ac:dyDescent="0.25">
      <c r="A189">
        <v>188</v>
      </c>
      <c r="B189">
        <v>1</v>
      </c>
      <c r="C189" t="s">
        <v>2407</v>
      </c>
      <c r="D189" t="s">
        <v>2408</v>
      </c>
      <c r="E189" t="s">
        <v>2408</v>
      </c>
      <c r="F189">
        <v>62600</v>
      </c>
      <c r="G189">
        <v>62628</v>
      </c>
      <c r="H189">
        <v>1</v>
      </c>
      <c r="I189">
        <v>62600</v>
      </c>
      <c r="J189">
        <v>62612</v>
      </c>
      <c r="K189">
        <f>IF(Table5[[#This Row],[NeedsAttention]]=1,Table5[[#This Row],[Start]],Table5[[#This Row],[StartN]])</f>
        <v>62600</v>
      </c>
      <c r="L189">
        <f>IF(Table5[[#This Row],[NeedsAttention]]=1,Table5[[#This Row],[End]],Table5[[#This Row],[EndN]])</f>
        <v>62612</v>
      </c>
      <c r="M189" t="b">
        <f>Table5[[#This Row],[Merged.Start]]=L188+1</f>
        <v>1</v>
      </c>
      <c r="O189">
        <f>Table5[[#This Row],[Section]]</f>
        <v>188</v>
      </c>
      <c r="P189">
        <f>Table5[[#This Row],[Canon]]</f>
        <v>1</v>
      </c>
      <c r="Q189" s="1" t="str">
        <f>Table5[[#This Row],[Reference]]</f>
        <v>19.6A</v>
      </c>
      <c r="R189" s="3" t="str">
        <f>Table5[[#This Row],[StartR]]</f>
        <v>JHN 19:6</v>
      </c>
      <c r="S189" s="3" t="str">
        <f>Table5[[#This Row],[EndR]]</f>
        <v>JHN 19:6</v>
      </c>
      <c r="T189">
        <f>Table5[[#This Row],[Merged.Start]]</f>
        <v>62600</v>
      </c>
      <c r="U189">
        <f>Table5[[#This Row],[Merged.End]]</f>
        <v>62612</v>
      </c>
    </row>
    <row r="190" spans="1:21" x14ac:dyDescent="0.25">
      <c r="A190">
        <v>189</v>
      </c>
      <c r="B190">
        <v>10</v>
      </c>
      <c r="C190" t="s">
        <v>2409</v>
      </c>
      <c r="D190" t="s">
        <v>2408</v>
      </c>
      <c r="E190" t="s">
        <v>2408</v>
      </c>
      <c r="F190">
        <v>62600</v>
      </c>
      <c r="G190">
        <v>62628</v>
      </c>
      <c r="H190">
        <v>1</v>
      </c>
      <c r="I190">
        <v>62613</v>
      </c>
      <c r="J190">
        <v>62621</v>
      </c>
      <c r="K190">
        <f>IF(Table5[[#This Row],[NeedsAttention]]=1,Table5[[#This Row],[Start]],Table5[[#This Row],[StartN]])</f>
        <v>62613</v>
      </c>
      <c r="L190">
        <f>IF(Table5[[#This Row],[NeedsAttention]]=1,Table5[[#This Row],[End]],Table5[[#This Row],[EndN]])</f>
        <v>62621</v>
      </c>
      <c r="M190" t="b">
        <f>Table5[[#This Row],[Merged.Start]]=L189+1</f>
        <v>1</v>
      </c>
      <c r="O190">
        <f>Table5[[#This Row],[Section]]</f>
        <v>189</v>
      </c>
      <c r="P190">
        <f>Table5[[#This Row],[Canon]]</f>
        <v>10</v>
      </c>
      <c r="Q190" s="1" t="str">
        <f>Table5[[#This Row],[Reference]]</f>
        <v>19.6BC</v>
      </c>
      <c r="R190" s="3" t="str">
        <f>Table5[[#This Row],[StartR]]</f>
        <v>JHN 19:6</v>
      </c>
      <c r="S190" s="3" t="str">
        <f>Table5[[#This Row],[EndR]]</f>
        <v>JHN 19:6</v>
      </c>
      <c r="T190">
        <f>Table5[[#This Row],[Merged.Start]]</f>
        <v>62613</v>
      </c>
      <c r="U190">
        <f>Table5[[#This Row],[Merged.End]]</f>
        <v>62621</v>
      </c>
    </row>
    <row r="191" spans="1:21" x14ac:dyDescent="0.25">
      <c r="A191">
        <v>190</v>
      </c>
      <c r="B191">
        <v>9</v>
      </c>
      <c r="C191" t="s">
        <v>2410</v>
      </c>
      <c r="D191" t="s">
        <v>2408</v>
      </c>
      <c r="E191" t="s">
        <v>2408</v>
      </c>
      <c r="F191">
        <v>62600</v>
      </c>
      <c r="G191">
        <v>62628</v>
      </c>
      <c r="H191">
        <v>1</v>
      </c>
      <c r="I191">
        <v>62622</v>
      </c>
      <c r="J191">
        <v>62628</v>
      </c>
      <c r="K191">
        <f>IF(Table5[[#This Row],[NeedsAttention]]=1,Table5[[#This Row],[Start]],Table5[[#This Row],[StartN]])</f>
        <v>62622</v>
      </c>
      <c r="L191">
        <f>IF(Table5[[#This Row],[NeedsAttention]]=1,Table5[[#This Row],[End]],Table5[[#This Row],[EndN]])</f>
        <v>62628</v>
      </c>
      <c r="M191" t="b">
        <f>Table5[[#This Row],[Merged.Start]]=L190+1</f>
        <v>1</v>
      </c>
      <c r="O191">
        <f>Table5[[#This Row],[Section]]</f>
        <v>190</v>
      </c>
      <c r="P191">
        <f>Table5[[#This Row],[Canon]]</f>
        <v>9</v>
      </c>
      <c r="Q191" s="1" t="str">
        <f>Table5[[#This Row],[Reference]]</f>
        <v>19.6D</v>
      </c>
      <c r="R191" s="3" t="str">
        <f>Table5[[#This Row],[StartR]]</f>
        <v>JHN 19:6</v>
      </c>
      <c r="S191" s="3" t="str">
        <f>Table5[[#This Row],[EndR]]</f>
        <v>JHN 19:6</v>
      </c>
      <c r="T191">
        <f>Table5[[#This Row],[Merged.Start]]</f>
        <v>62622</v>
      </c>
      <c r="U191">
        <f>Table5[[#This Row],[Merged.End]]</f>
        <v>62628</v>
      </c>
    </row>
    <row r="192" spans="1:21" x14ac:dyDescent="0.25">
      <c r="A192">
        <v>191</v>
      </c>
      <c r="B192">
        <v>10</v>
      </c>
      <c r="C192">
        <v>19.7</v>
      </c>
      <c r="D192" t="s">
        <v>2411</v>
      </c>
      <c r="E192" t="s">
        <v>2411</v>
      </c>
      <c r="F192">
        <v>62629</v>
      </c>
      <c r="G192">
        <v>62646</v>
      </c>
      <c r="H192">
        <v>0</v>
      </c>
      <c r="K192">
        <f>IF(Table5[[#This Row],[NeedsAttention]]=1,Table5[[#This Row],[Start]],Table5[[#This Row],[StartN]])</f>
        <v>62629</v>
      </c>
      <c r="L192">
        <f>IF(Table5[[#This Row],[NeedsAttention]]=1,Table5[[#This Row],[End]],Table5[[#This Row],[EndN]])</f>
        <v>62646</v>
      </c>
      <c r="M192" t="b">
        <f>Table5[[#This Row],[Merged.Start]]=L191+1</f>
        <v>1</v>
      </c>
      <c r="O192">
        <f>Table5[[#This Row],[Section]]</f>
        <v>191</v>
      </c>
      <c r="P192">
        <f>Table5[[#This Row],[Canon]]</f>
        <v>10</v>
      </c>
      <c r="Q192" s="1">
        <f>Table5[[#This Row],[Reference]]</f>
        <v>19.7</v>
      </c>
      <c r="R192" s="3" t="str">
        <f>Table5[[#This Row],[StartR]]</f>
        <v>JHN 19:7</v>
      </c>
      <c r="S192" s="3" t="str">
        <f>Table5[[#This Row],[EndR]]</f>
        <v>JHN 19:7</v>
      </c>
      <c r="T192">
        <f>Table5[[#This Row],[Merged.Start]]</f>
        <v>62629</v>
      </c>
      <c r="U192">
        <f>Table5[[#This Row],[Merged.End]]</f>
        <v>62646</v>
      </c>
    </row>
    <row r="193" spans="1:21" x14ac:dyDescent="0.25">
      <c r="A193">
        <v>192</v>
      </c>
      <c r="B193">
        <v>4</v>
      </c>
      <c r="C193" t="s">
        <v>2412</v>
      </c>
      <c r="D193" t="s">
        <v>2413</v>
      </c>
      <c r="E193" t="s">
        <v>2414</v>
      </c>
      <c r="F193">
        <v>62647</v>
      </c>
      <c r="G193">
        <v>62676</v>
      </c>
      <c r="H193">
        <v>0</v>
      </c>
      <c r="K193">
        <f>IF(Table5[[#This Row],[NeedsAttention]]=1,Table5[[#This Row],[Start]],Table5[[#This Row],[StartN]])</f>
        <v>62647</v>
      </c>
      <c r="L193">
        <f>IF(Table5[[#This Row],[NeedsAttention]]=1,Table5[[#This Row],[End]],Table5[[#This Row],[EndN]])</f>
        <v>62676</v>
      </c>
      <c r="M193" t="b">
        <f>Table5[[#This Row],[Merged.Start]]=L192+1</f>
        <v>1</v>
      </c>
      <c r="O193">
        <f>Table5[[#This Row],[Section]]</f>
        <v>192</v>
      </c>
      <c r="P193">
        <f>Table5[[#This Row],[Canon]]</f>
        <v>4</v>
      </c>
      <c r="Q193" s="1" t="str">
        <f>Table5[[#This Row],[Reference]]</f>
        <v>19.8-9</v>
      </c>
      <c r="R193" s="3" t="str">
        <f>Table5[[#This Row],[StartR]]</f>
        <v>JHN 19:8</v>
      </c>
      <c r="S193" s="3" t="str">
        <f>Table5[[#This Row],[EndR]]</f>
        <v>JHN 19:9</v>
      </c>
      <c r="T193">
        <f>Table5[[#This Row],[Merged.Start]]</f>
        <v>62647</v>
      </c>
      <c r="U193">
        <f>Table5[[#This Row],[Merged.End]]</f>
        <v>62676</v>
      </c>
    </row>
    <row r="194" spans="1:21" x14ac:dyDescent="0.25">
      <c r="A194">
        <v>193</v>
      </c>
      <c r="B194">
        <v>10</v>
      </c>
      <c r="C194" t="s">
        <v>2415</v>
      </c>
      <c r="D194" t="s">
        <v>2416</v>
      </c>
      <c r="E194" t="s">
        <v>2417</v>
      </c>
      <c r="F194">
        <v>62677</v>
      </c>
      <c r="G194">
        <v>62787</v>
      </c>
      <c r="H194">
        <v>0</v>
      </c>
      <c r="K194">
        <f>IF(Table5[[#This Row],[NeedsAttention]]=1,Table5[[#This Row],[Start]],Table5[[#This Row],[StartN]])</f>
        <v>62677</v>
      </c>
      <c r="L194">
        <f>IF(Table5[[#This Row],[NeedsAttention]]=1,Table5[[#This Row],[End]],Table5[[#This Row],[EndN]])</f>
        <v>62787</v>
      </c>
      <c r="M194" t="b">
        <f>Table5[[#This Row],[Merged.Start]]=L193+1</f>
        <v>1</v>
      </c>
      <c r="O194">
        <f>Table5[[#This Row],[Section]]</f>
        <v>193</v>
      </c>
      <c r="P194">
        <f>Table5[[#This Row],[Canon]]</f>
        <v>10</v>
      </c>
      <c r="Q194" s="1" t="str">
        <f>Table5[[#This Row],[Reference]]</f>
        <v>19.10-14</v>
      </c>
      <c r="R194" s="3" t="str">
        <f>Table5[[#This Row],[StartR]]</f>
        <v>JHN 19:10</v>
      </c>
      <c r="S194" s="3" t="str">
        <f>Table5[[#This Row],[EndR]]</f>
        <v>JHN 19:14</v>
      </c>
      <c r="T194">
        <f>Table5[[#This Row],[Merged.Start]]</f>
        <v>62677</v>
      </c>
      <c r="U194">
        <f>Table5[[#This Row],[Merged.End]]</f>
        <v>62787</v>
      </c>
    </row>
    <row r="195" spans="1:21" x14ac:dyDescent="0.25">
      <c r="A195">
        <v>194</v>
      </c>
      <c r="B195">
        <v>1</v>
      </c>
      <c r="C195" t="s">
        <v>2418</v>
      </c>
      <c r="D195" t="s">
        <v>2419</v>
      </c>
      <c r="E195" t="s">
        <v>2419</v>
      </c>
      <c r="F195">
        <v>62788</v>
      </c>
      <c r="G195">
        <v>62811</v>
      </c>
      <c r="H195">
        <v>1</v>
      </c>
      <c r="I195">
        <v>62788</v>
      </c>
      <c r="J195">
        <v>62794</v>
      </c>
      <c r="K195">
        <f>IF(Table5[[#This Row],[NeedsAttention]]=1,Table5[[#This Row],[Start]],Table5[[#This Row],[StartN]])</f>
        <v>62788</v>
      </c>
      <c r="L195">
        <f>IF(Table5[[#This Row],[NeedsAttention]]=1,Table5[[#This Row],[End]],Table5[[#This Row],[EndN]])</f>
        <v>62794</v>
      </c>
      <c r="M195" t="b">
        <f>Table5[[#This Row],[Merged.Start]]=L194+1</f>
        <v>1</v>
      </c>
      <c r="O195">
        <f>Table5[[#This Row],[Section]]</f>
        <v>194</v>
      </c>
      <c r="P195">
        <f>Table5[[#This Row],[Canon]]</f>
        <v>1</v>
      </c>
      <c r="Q195" s="1" t="str">
        <f>Table5[[#This Row],[Reference]]</f>
        <v>19.15A</v>
      </c>
      <c r="R195" s="3" t="str">
        <f>Table5[[#This Row],[StartR]]</f>
        <v>JHN 19:15</v>
      </c>
      <c r="S195" s="3" t="str">
        <f>Table5[[#This Row],[EndR]]</f>
        <v>JHN 19:15</v>
      </c>
      <c r="T195">
        <f>Table5[[#This Row],[Merged.Start]]</f>
        <v>62788</v>
      </c>
      <c r="U195">
        <f>Table5[[#This Row],[Merged.End]]</f>
        <v>62794</v>
      </c>
    </row>
    <row r="196" spans="1:21" x14ac:dyDescent="0.25">
      <c r="A196">
        <v>195</v>
      </c>
      <c r="B196">
        <v>10</v>
      </c>
      <c r="C196" t="s">
        <v>2420</v>
      </c>
      <c r="D196" t="s">
        <v>2419</v>
      </c>
      <c r="E196" t="s">
        <v>2419</v>
      </c>
      <c r="F196">
        <v>62788</v>
      </c>
      <c r="G196">
        <v>62811</v>
      </c>
      <c r="H196">
        <v>1</v>
      </c>
      <c r="I196">
        <v>62795</v>
      </c>
      <c r="J196">
        <v>62811</v>
      </c>
      <c r="K196">
        <f>IF(Table5[[#This Row],[NeedsAttention]]=1,Table5[[#This Row],[Start]],Table5[[#This Row],[StartN]])</f>
        <v>62795</v>
      </c>
      <c r="L196">
        <f>IF(Table5[[#This Row],[NeedsAttention]]=1,Table5[[#This Row],[End]],Table5[[#This Row],[EndN]])</f>
        <v>62811</v>
      </c>
      <c r="M196" t="b">
        <f>Table5[[#This Row],[Merged.Start]]=L195+1</f>
        <v>1</v>
      </c>
      <c r="O196">
        <f>Table5[[#This Row],[Section]]</f>
        <v>195</v>
      </c>
      <c r="P196">
        <f>Table5[[#This Row],[Canon]]</f>
        <v>10</v>
      </c>
      <c r="Q196" s="1" t="str">
        <f>Table5[[#This Row],[Reference]]</f>
        <v>19.15B</v>
      </c>
      <c r="R196" s="3" t="str">
        <f>Table5[[#This Row],[StartR]]</f>
        <v>JHN 19:15</v>
      </c>
      <c r="S196" s="3" t="str">
        <f>Table5[[#This Row],[EndR]]</f>
        <v>JHN 19:15</v>
      </c>
      <c r="T196">
        <f>Table5[[#This Row],[Merged.Start]]</f>
        <v>62795</v>
      </c>
      <c r="U196">
        <f>Table5[[#This Row],[Merged.End]]</f>
        <v>62811</v>
      </c>
    </row>
    <row r="197" spans="1:21" x14ac:dyDescent="0.25">
      <c r="A197">
        <v>196</v>
      </c>
      <c r="B197">
        <v>1</v>
      </c>
      <c r="C197">
        <v>19.16</v>
      </c>
      <c r="D197" t="s">
        <v>2421</v>
      </c>
      <c r="E197" t="s">
        <v>2421</v>
      </c>
      <c r="F197">
        <v>62812</v>
      </c>
      <c r="G197">
        <v>62822</v>
      </c>
      <c r="H197">
        <v>0</v>
      </c>
      <c r="K197">
        <f>IF(Table5[[#This Row],[NeedsAttention]]=1,Table5[[#This Row],[Start]],Table5[[#This Row],[StartN]])</f>
        <v>62812</v>
      </c>
      <c r="L197">
        <f>IF(Table5[[#This Row],[NeedsAttention]]=1,Table5[[#This Row],[End]],Table5[[#This Row],[EndN]])</f>
        <v>62822</v>
      </c>
      <c r="M197" t="b">
        <f>Table5[[#This Row],[Merged.Start]]=L196+1</f>
        <v>1</v>
      </c>
      <c r="O197">
        <f>Table5[[#This Row],[Section]]</f>
        <v>196</v>
      </c>
      <c r="P197">
        <f>Table5[[#This Row],[Canon]]</f>
        <v>1</v>
      </c>
      <c r="Q197" s="1">
        <f>Table5[[#This Row],[Reference]]</f>
        <v>19.16</v>
      </c>
      <c r="R197" s="3" t="str">
        <f>Table5[[#This Row],[StartR]]</f>
        <v>JHN 19:16</v>
      </c>
      <c r="S197" s="3" t="str">
        <f>Table5[[#This Row],[EndR]]</f>
        <v>JHN 19:16</v>
      </c>
      <c r="T197">
        <f>Table5[[#This Row],[Merged.Start]]</f>
        <v>62812</v>
      </c>
      <c r="U197">
        <f>Table5[[#This Row],[Merged.End]]</f>
        <v>62822</v>
      </c>
    </row>
    <row r="198" spans="1:21" x14ac:dyDescent="0.25">
      <c r="A198">
        <v>197</v>
      </c>
      <c r="B198">
        <v>1</v>
      </c>
      <c r="C198" t="s">
        <v>2422</v>
      </c>
      <c r="D198" t="s">
        <v>2423</v>
      </c>
      <c r="E198" t="s">
        <v>2424</v>
      </c>
      <c r="F198">
        <v>62823</v>
      </c>
      <c r="G198">
        <v>62852</v>
      </c>
      <c r="H198">
        <v>1</v>
      </c>
      <c r="I198">
        <v>62823</v>
      </c>
      <c r="J198">
        <v>62840</v>
      </c>
      <c r="K198">
        <f>IF(Table5[[#This Row],[NeedsAttention]]=1,Table5[[#This Row],[Start]],Table5[[#This Row],[StartN]])</f>
        <v>62823</v>
      </c>
      <c r="L198">
        <f>IF(Table5[[#This Row],[NeedsAttention]]=1,Table5[[#This Row],[End]],Table5[[#This Row],[EndN]])</f>
        <v>62840</v>
      </c>
      <c r="M198" t="b">
        <f>Table5[[#This Row],[Merged.Start]]=L197+1</f>
        <v>1</v>
      </c>
      <c r="O198">
        <f>Table5[[#This Row],[Section]]</f>
        <v>197</v>
      </c>
      <c r="P198">
        <f>Table5[[#This Row],[Canon]]</f>
        <v>1</v>
      </c>
      <c r="Q198" s="1" t="str">
        <f>Table5[[#This Row],[Reference]]</f>
        <v>19.17-18A</v>
      </c>
      <c r="R198" s="3" t="str">
        <f>Table5[[#This Row],[StartR]]</f>
        <v>JHN 19:17</v>
      </c>
      <c r="S198" s="3" t="str">
        <f>Table5[[#This Row],[EndR]]</f>
        <v>JHN 19:18</v>
      </c>
      <c r="T198">
        <f>Table5[[#This Row],[Merged.Start]]</f>
        <v>62823</v>
      </c>
      <c r="U198">
        <f>Table5[[#This Row],[Merged.End]]</f>
        <v>62840</v>
      </c>
    </row>
    <row r="199" spans="1:21" x14ac:dyDescent="0.25">
      <c r="A199">
        <v>198</v>
      </c>
      <c r="B199">
        <v>1</v>
      </c>
      <c r="C199" t="s">
        <v>2425</v>
      </c>
      <c r="D199" t="s">
        <v>2424</v>
      </c>
      <c r="E199" t="s">
        <v>2424</v>
      </c>
      <c r="F199">
        <v>62838</v>
      </c>
      <c r="G199">
        <v>62852</v>
      </c>
      <c r="H199">
        <v>1</v>
      </c>
      <c r="I199">
        <v>62841</v>
      </c>
      <c r="J199">
        <v>62852</v>
      </c>
      <c r="K199">
        <f>IF(Table5[[#This Row],[NeedsAttention]]=1,Table5[[#This Row],[Start]],Table5[[#This Row],[StartN]])</f>
        <v>62841</v>
      </c>
      <c r="L199">
        <f>IF(Table5[[#This Row],[NeedsAttention]]=1,Table5[[#This Row],[End]],Table5[[#This Row],[EndN]])</f>
        <v>62852</v>
      </c>
      <c r="M199" t="b">
        <f>Table5[[#This Row],[Merged.Start]]=L198+1</f>
        <v>1</v>
      </c>
      <c r="O199">
        <f>Table5[[#This Row],[Section]]</f>
        <v>198</v>
      </c>
      <c r="P199">
        <f>Table5[[#This Row],[Canon]]</f>
        <v>1</v>
      </c>
      <c r="Q199" s="1" t="str">
        <f>Table5[[#This Row],[Reference]]</f>
        <v>19.18B</v>
      </c>
      <c r="R199" s="3" t="str">
        <f>Table5[[#This Row],[StartR]]</f>
        <v>JHN 19:18</v>
      </c>
      <c r="S199" s="3" t="str">
        <f>Table5[[#This Row],[EndR]]</f>
        <v>JHN 19:18</v>
      </c>
      <c r="T199">
        <f>Table5[[#This Row],[Merged.Start]]</f>
        <v>62841</v>
      </c>
      <c r="U199">
        <f>Table5[[#This Row],[Merged.End]]</f>
        <v>62852</v>
      </c>
    </row>
    <row r="200" spans="1:21" x14ac:dyDescent="0.25">
      <c r="A200">
        <v>199</v>
      </c>
      <c r="B200">
        <v>1</v>
      </c>
      <c r="C200">
        <v>19.190000000000001</v>
      </c>
      <c r="D200" t="s">
        <v>2426</v>
      </c>
      <c r="E200" t="s">
        <v>2426</v>
      </c>
      <c r="F200">
        <v>62853</v>
      </c>
      <c r="G200">
        <v>62873</v>
      </c>
      <c r="H200">
        <v>0</v>
      </c>
      <c r="K200">
        <f>IF(Table5[[#This Row],[NeedsAttention]]=1,Table5[[#This Row],[Start]],Table5[[#This Row],[StartN]])</f>
        <v>62853</v>
      </c>
      <c r="L200">
        <f>IF(Table5[[#This Row],[NeedsAttention]]=1,Table5[[#This Row],[End]],Table5[[#This Row],[EndN]])</f>
        <v>62873</v>
      </c>
      <c r="M200" t="b">
        <f>Table5[[#This Row],[Merged.Start]]=L199+1</f>
        <v>1</v>
      </c>
      <c r="O200">
        <f>Table5[[#This Row],[Section]]</f>
        <v>199</v>
      </c>
      <c r="P200">
        <f>Table5[[#This Row],[Canon]]</f>
        <v>1</v>
      </c>
      <c r="Q200" s="1">
        <f>Table5[[#This Row],[Reference]]</f>
        <v>19.190000000000001</v>
      </c>
      <c r="R200" s="3" t="str">
        <f>Table5[[#This Row],[StartR]]</f>
        <v>JHN 19:19</v>
      </c>
      <c r="S200" s="3" t="str">
        <f>Table5[[#This Row],[EndR]]</f>
        <v>JHN 19:19</v>
      </c>
      <c r="T200">
        <f>Table5[[#This Row],[Merged.Start]]</f>
        <v>62853</v>
      </c>
      <c r="U200">
        <f>Table5[[#This Row],[Merged.End]]</f>
        <v>62873</v>
      </c>
    </row>
    <row r="201" spans="1:21" x14ac:dyDescent="0.25">
      <c r="A201">
        <v>200</v>
      </c>
      <c r="B201">
        <v>10</v>
      </c>
      <c r="C201" t="s">
        <v>2427</v>
      </c>
      <c r="D201" t="s">
        <v>2428</v>
      </c>
      <c r="E201" t="s">
        <v>2429</v>
      </c>
      <c r="F201">
        <v>62874</v>
      </c>
      <c r="G201">
        <v>62926</v>
      </c>
      <c r="H201">
        <v>0</v>
      </c>
      <c r="K201">
        <f>IF(Table5[[#This Row],[NeedsAttention]]=1,Table5[[#This Row],[Start]],Table5[[#This Row],[StartN]])</f>
        <v>62874</v>
      </c>
      <c r="L201">
        <f>IF(Table5[[#This Row],[NeedsAttention]]=1,Table5[[#This Row],[End]],Table5[[#This Row],[EndN]])</f>
        <v>62926</v>
      </c>
      <c r="M201" t="b">
        <f>Table5[[#This Row],[Merged.Start]]=L200+1</f>
        <v>1</v>
      </c>
      <c r="O201">
        <f>Table5[[#This Row],[Section]]</f>
        <v>200</v>
      </c>
      <c r="P201">
        <f>Table5[[#This Row],[Canon]]</f>
        <v>10</v>
      </c>
      <c r="Q201" s="1" t="str">
        <f>Table5[[#This Row],[Reference]]</f>
        <v>19.20-22</v>
      </c>
      <c r="R201" s="3" t="str">
        <f>Table5[[#This Row],[StartR]]</f>
        <v>JHN 19:20</v>
      </c>
      <c r="S201" s="3" t="str">
        <f>Table5[[#This Row],[EndR]]</f>
        <v>JHN 19:22</v>
      </c>
      <c r="T201">
        <f>Table5[[#This Row],[Merged.Start]]</f>
        <v>62874</v>
      </c>
      <c r="U201">
        <f>Table5[[#This Row],[Merged.End]]</f>
        <v>62926</v>
      </c>
    </row>
    <row r="202" spans="1:21" x14ac:dyDescent="0.25">
      <c r="A202">
        <v>201</v>
      </c>
      <c r="B202">
        <v>1</v>
      </c>
      <c r="C202" t="s">
        <v>2430</v>
      </c>
      <c r="D202" t="s">
        <v>2431</v>
      </c>
      <c r="E202" t="s">
        <v>2432</v>
      </c>
      <c r="F202">
        <v>62927</v>
      </c>
      <c r="G202">
        <v>62995</v>
      </c>
      <c r="H202">
        <v>1</v>
      </c>
      <c r="I202">
        <v>62927</v>
      </c>
      <c r="J202">
        <v>62989</v>
      </c>
      <c r="K202">
        <f>IF(Table5[[#This Row],[NeedsAttention]]=1,Table5[[#This Row],[Start]],Table5[[#This Row],[StartN]])</f>
        <v>62927</v>
      </c>
      <c r="L202">
        <f>IF(Table5[[#This Row],[NeedsAttention]]=1,Table5[[#This Row],[End]],Table5[[#This Row],[EndN]])</f>
        <v>62989</v>
      </c>
      <c r="M202" t="b">
        <f>Table5[[#This Row],[Merged.Start]]=L201+1</f>
        <v>1</v>
      </c>
      <c r="O202">
        <f>Table5[[#This Row],[Section]]</f>
        <v>201</v>
      </c>
      <c r="P202">
        <f>Table5[[#This Row],[Canon]]</f>
        <v>1</v>
      </c>
      <c r="Q202" s="1" t="str">
        <f>Table5[[#This Row],[Reference]]</f>
        <v>19.23-24B</v>
      </c>
      <c r="R202" s="3" t="str">
        <f>Table5[[#This Row],[StartR]]</f>
        <v>JHN 19:23</v>
      </c>
      <c r="S202" s="3" t="str">
        <f>Table5[[#This Row],[EndR]]</f>
        <v>JHN 19:24</v>
      </c>
      <c r="T202">
        <f>Table5[[#This Row],[Merged.Start]]</f>
        <v>62927</v>
      </c>
      <c r="U202">
        <f>Table5[[#This Row],[Merged.End]]</f>
        <v>62989</v>
      </c>
    </row>
    <row r="203" spans="1:21" x14ac:dyDescent="0.25">
      <c r="A203">
        <v>202</v>
      </c>
      <c r="B203">
        <v>10</v>
      </c>
      <c r="C203" t="s">
        <v>2433</v>
      </c>
      <c r="D203" t="s">
        <v>2432</v>
      </c>
      <c r="E203" t="s">
        <v>2543</v>
      </c>
      <c r="F203">
        <v>0</v>
      </c>
      <c r="G203">
        <v>0</v>
      </c>
      <c r="H203">
        <v>1</v>
      </c>
      <c r="I203">
        <v>62990</v>
      </c>
      <c r="J203">
        <v>63058</v>
      </c>
      <c r="K203">
        <f>IF(Table5[[#This Row],[NeedsAttention]]=1,Table5[[#This Row],[Start]],Table5[[#This Row],[StartN]])</f>
        <v>62990</v>
      </c>
      <c r="L203">
        <f>IF(Table5[[#This Row],[NeedsAttention]]=1,Table5[[#This Row],[End]],Table5[[#This Row],[EndN]])</f>
        <v>63058</v>
      </c>
      <c r="M203" t="b">
        <f>Table5[[#This Row],[Merged.Start]]=L202+1</f>
        <v>1</v>
      </c>
      <c r="O203">
        <f>Table5[[#This Row],[Section]]</f>
        <v>202</v>
      </c>
      <c r="P203">
        <f>Table5[[#This Row],[Canon]]</f>
        <v>10</v>
      </c>
      <c r="Q203" s="1" t="str">
        <f>Table5[[#This Row],[Reference]]</f>
        <v>19.24C (=19.25 NRSV) -27</v>
      </c>
      <c r="R203" s="3" t="str">
        <f>Table5[[#This Row],[StartR]]</f>
        <v>JHN 19:24</v>
      </c>
      <c r="S203" s="3" t="str">
        <f>Table5[[#This Row],[EndR]]</f>
        <v>JHN 19:27</v>
      </c>
      <c r="T203">
        <f>Table5[[#This Row],[Merged.Start]]</f>
        <v>62990</v>
      </c>
      <c r="U203">
        <f>Table5[[#This Row],[Merged.End]]</f>
        <v>63058</v>
      </c>
    </row>
    <row r="204" spans="1:21" x14ac:dyDescent="0.25">
      <c r="A204">
        <v>203</v>
      </c>
      <c r="B204">
        <v>4</v>
      </c>
      <c r="C204" t="s">
        <v>2434</v>
      </c>
      <c r="D204" t="s">
        <v>2435</v>
      </c>
      <c r="E204" t="s">
        <v>2436</v>
      </c>
      <c r="F204">
        <v>63059</v>
      </c>
      <c r="G204">
        <v>63104</v>
      </c>
      <c r="H204">
        <v>1</v>
      </c>
      <c r="I204">
        <v>63059</v>
      </c>
      <c r="J204">
        <v>63097</v>
      </c>
      <c r="K204">
        <f>IF(Table5[[#This Row],[NeedsAttention]]=1,Table5[[#This Row],[Start]],Table5[[#This Row],[StartN]])</f>
        <v>63059</v>
      </c>
      <c r="L204">
        <f>IF(Table5[[#This Row],[NeedsAttention]]=1,Table5[[#This Row],[End]],Table5[[#This Row],[EndN]])</f>
        <v>63097</v>
      </c>
      <c r="M204" t="b">
        <f>Table5[[#This Row],[Merged.Start]]=L203+1</f>
        <v>1</v>
      </c>
      <c r="O204">
        <f>Table5[[#This Row],[Section]]</f>
        <v>203</v>
      </c>
      <c r="P204">
        <f>Table5[[#This Row],[Canon]]</f>
        <v>4</v>
      </c>
      <c r="Q204" s="1" t="str">
        <f>Table5[[#This Row],[Reference]]</f>
        <v>19.28-30A</v>
      </c>
      <c r="R204" s="3" t="str">
        <f>Table5[[#This Row],[StartR]]</f>
        <v>JHN 19:28</v>
      </c>
      <c r="S204" s="3" t="str">
        <f>Table5[[#This Row],[EndR]]</f>
        <v>JHN 19:30</v>
      </c>
      <c r="T204">
        <f>Table5[[#This Row],[Merged.Start]]</f>
        <v>63059</v>
      </c>
      <c r="U204">
        <f>Table5[[#This Row],[Merged.End]]</f>
        <v>63097</v>
      </c>
    </row>
    <row r="205" spans="1:21" x14ac:dyDescent="0.25">
      <c r="A205">
        <v>204</v>
      </c>
      <c r="B205">
        <v>1</v>
      </c>
      <c r="C205" t="s">
        <v>2437</v>
      </c>
      <c r="D205" t="s">
        <v>2436</v>
      </c>
      <c r="E205" t="s">
        <v>2436</v>
      </c>
      <c r="F205">
        <v>63089</v>
      </c>
      <c r="G205">
        <v>63104</v>
      </c>
      <c r="H205">
        <v>1</v>
      </c>
      <c r="I205">
        <v>63098</v>
      </c>
      <c r="J205">
        <v>63104</v>
      </c>
      <c r="K205">
        <f>IF(Table5[[#This Row],[NeedsAttention]]=1,Table5[[#This Row],[Start]],Table5[[#This Row],[StartN]])</f>
        <v>63098</v>
      </c>
      <c r="L205">
        <f>IF(Table5[[#This Row],[NeedsAttention]]=1,Table5[[#This Row],[End]],Table5[[#This Row],[EndN]])</f>
        <v>63104</v>
      </c>
      <c r="M205" t="b">
        <f>Table5[[#This Row],[Merged.Start]]=L204+1</f>
        <v>1</v>
      </c>
      <c r="O205">
        <f>Table5[[#This Row],[Section]]</f>
        <v>204</v>
      </c>
      <c r="P205">
        <f>Table5[[#This Row],[Canon]]</f>
        <v>1</v>
      </c>
      <c r="Q205" s="1" t="str">
        <f>Table5[[#This Row],[Reference]]</f>
        <v>19.30B</v>
      </c>
      <c r="R205" s="3" t="str">
        <f>Table5[[#This Row],[StartR]]</f>
        <v>JHN 19:30</v>
      </c>
      <c r="S205" s="3" t="str">
        <f>Table5[[#This Row],[EndR]]</f>
        <v>JHN 19:30</v>
      </c>
      <c r="T205">
        <f>Table5[[#This Row],[Merged.Start]]</f>
        <v>63098</v>
      </c>
      <c r="U205">
        <f>Table5[[#This Row],[Merged.End]]</f>
        <v>63104</v>
      </c>
    </row>
    <row r="206" spans="1:21" x14ac:dyDescent="0.25">
      <c r="A206">
        <v>205</v>
      </c>
      <c r="B206">
        <v>10</v>
      </c>
      <c r="C206" t="s">
        <v>2438</v>
      </c>
      <c r="D206" t="s">
        <v>2439</v>
      </c>
      <c r="E206" t="s">
        <v>2440</v>
      </c>
      <c r="F206">
        <v>63105</v>
      </c>
      <c r="G206">
        <v>63226</v>
      </c>
      <c r="H206">
        <v>0</v>
      </c>
      <c r="K206">
        <f>IF(Table5[[#This Row],[NeedsAttention]]=1,Table5[[#This Row],[Start]],Table5[[#This Row],[StartN]])</f>
        <v>63105</v>
      </c>
      <c r="L206">
        <f>IF(Table5[[#This Row],[NeedsAttention]]=1,Table5[[#This Row],[End]],Table5[[#This Row],[EndN]])</f>
        <v>63226</v>
      </c>
      <c r="M206" t="b">
        <f>Table5[[#This Row],[Merged.Start]]=L205+1</f>
        <v>1</v>
      </c>
      <c r="O206">
        <f>Table5[[#This Row],[Section]]</f>
        <v>205</v>
      </c>
      <c r="P206">
        <f>Table5[[#This Row],[Canon]]</f>
        <v>10</v>
      </c>
      <c r="Q206" s="1" t="str">
        <f>Table5[[#This Row],[Reference]]</f>
        <v>19.31-37</v>
      </c>
      <c r="R206" s="3" t="str">
        <f>Table5[[#This Row],[StartR]]</f>
        <v>JHN 19:31</v>
      </c>
      <c r="S206" s="3" t="str">
        <f>Table5[[#This Row],[EndR]]</f>
        <v>JHN 19:37</v>
      </c>
      <c r="T206">
        <f>Table5[[#This Row],[Merged.Start]]</f>
        <v>63105</v>
      </c>
      <c r="U206">
        <f>Table5[[#This Row],[Merged.End]]</f>
        <v>63226</v>
      </c>
    </row>
    <row r="207" spans="1:21" x14ac:dyDescent="0.25">
      <c r="A207">
        <v>206</v>
      </c>
      <c r="B207">
        <v>1</v>
      </c>
      <c r="C207">
        <v>19.38</v>
      </c>
      <c r="D207" t="s">
        <v>2441</v>
      </c>
      <c r="E207" t="s">
        <v>2441</v>
      </c>
      <c r="F207">
        <v>63227</v>
      </c>
      <c r="G207">
        <v>63263</v>
      </c>
      <c r="H207">
        <v>0</v>
      </c>
      <c r="K207">
        <f>IF(Table5[[#This Row],[NeedsAttention]]=1,Table5[[#This Row],[Start]],Table5[[#This Row],[StartN]])</f>
        <v>63227</v>
      </c>
      <c r="L207">
        <f>IF(Table5[[#This Row],[NeedsAttention]]=1,Table5[[#This Row],[End]],Table5[[#This Row],[EndN]])</f>
        <v>63263</v>
      </c>
      <c r="M207" t="b">
        <f>Table5[[#This Row],[Merged.Start]]=L206+1</f>
        <v>1</v>
      </c>
      <c r="O207">
        <f>Table5[[#This Row],[Section]]</f>
        <v>206</v>
      </c>
      <c r="P207">
        <f>Table5[[#This Row],[Canon]]</f>
        <v>1</v>
      </c>
      <c r="Q207" s="1">
        <f>Table5[[#This Row],[Reference]]</f>
        <v>19.38</v>
      </c>
      <c r="R207" s="3" t="str">
        <f>Table5[[#This Row],[StartR]]</f>
        <v>JHN 19:38</v>
      </c>
      <c r="S207" s="3" t="str">
        <f>Table5[[#This Row],[EndR]]</f>
        <v>JHN 19:38</v>
      </c>
      <c r="T207">
        <f>Table5[[#This Row],[Merged.Start]]</f>
        <v>63227</v>
      </c>
      <c r="U207">
        <f>Table5[[#This Row],[Merged.End]]</f>
        <v>63263</v>
      </c>
    </row>
    <row r="208" spans="1:21" x14ac:dyDescent="0.25">
      <c r="A208">
        <v>207</v>
      </c>
      <c r="B208">
        <v>10</v>
      </c>
      <c r="C208">
        <v>19.39</v>
      </c>
      <c r="D208" t="s">
        <v>2442</v>
      </c>
      <c r="E208" t="s">
        <v>2442</v>
      </c>
      <c r="F208">
        <v>63264</v>
      </c>
      <c r="G208">
        <v>63282</v>
      </c>
      <c r="H208">
        <v>0</v>
      </c>
      <c r="K208">
        <f>IF(Table5[[#This Row],[NeedsAttention]]=1,Table5[[#This Row],[Start]],Table5[[#This Row],[StartN]])</f>
        <v>63264</v>
      </c>
      <c r="L208">
        <f>IF(Table5[[#This Row],[NeedsAttention]]=1,Table5[[#This Row],[End]],Table5[[#This Row],[EndN]])</f>
        <v>63282</v>
      </c>
      <c r="M208" t="b">
        <f>Table5[[#This Row],[Merged.Start]]=L207+1</f>
        <v>1</v>
      </c>
      <c r="O208">
        <f>Table5[[#This Row],[Section]]</f>
        <v>207</v>
      </c>
      <c r="P208">
        <f>Table5[[#This Row],[Canon]]</f>
        <v>10</v>
      </c>
      <c r="Q208" s="1">
        <f>Table5[[#This Row],[Reference]]</f>
        <v>19.39</v>
      </c>
      <c r="R208" s="3" t="str">
        <f>Table5[[#This Row],[StartR]]</f>
        <v>JHN 19:39</v>
      </c>
      <c r="S208" s="3" t="str">
        <f>Table5[[#This Row],[EndR]]</f>
        <v>JHN 19:39</v>
      </c>
      <c r="T208">
        <f>Table5[[#This Row],[Merged.Start]]</f>
        <v>63264</v>
      </c>
      <c r="U208">
        <f>Table5[[#This Row],[Merged.End]]</f>
        <v>63282</v>
      </c>
    </row>
    <row r="209" spans="1:21" x14ac:dyDescent="0.25">
      <c r="A209">
        <v>208</v>
      </c>
      <c r="B209">
        <v>1</v>
      </c>
      <c r="C209" t="s">
        <v>2443</v>
      </c>
      <c r="D209" t="s">
        <v>2444</v>
      </c>
      <c r="E209" t="s">
        <v>2445</v>
      </c>
      <c r="F209">
        <v>63283</v>
      </c>
      <c r="G209">
        <v>63336</v>
      </c>
      <c r="H209">
        <v>0</v>
      </c>
      <c r="K209">
        <f>IF(Table5[[#This Row],[NeedsAttention]]=1,Table5[[#This Row],[Start]],Table5[[#This Row],[StartN]])</f>
        <v>63283</v>
      </c>
      <c r="L209">
        <f>IF(Table5[[#This Row],[NeedsAttention]]=1,Table5[[#This Row],[End]],Table5[[#This Row],[EndN]])</f>
        <v>63336</v>
      </c>
      <c r="M209" t="b">
        <f>Table5[[#This Row],[Merged.Start]]=L208+1</f>
        <v>1</v>
      </c>
      <c r="O209">
        <f>Table5[[#This Row],[Section]]</f>
        <v>208</v>
      </c>
      <c r="P209">
        <f>Table5[[#This Row],[Canon]]</f>
        <v>1</v>
      </c>
      <c r="Q209" s="1" t="str">
        <f>Table5[[#This Row],[Reference]]</f>
        <v>19.40-42</v>
      </c>
      <c r="R209" s="3" t="str">
        <f>Table5[[#This Row],[StartR]]</f>
        <v>JHN 19:40</v>
      </c>
      <c r="S209" s="3" t="str">
        <f>Table5[[#This Row],[EndR]]</f>
        <v>JHN 19:42</v>
      </c>
      <c r="T209">
        <f>Table5[[#This Row],[Merged.Start]]</f>
        <v>63283</v>
      </c>
      <c r="U209">
        <f>Table5[[#This Row],[Merged.End]]</f>
        <v>63336</v>
      </c>
    </row>
    <row r="210" spans="1:21" x14ac:dyDescent="0.25">
      <c r="A210">
        <v>209</v>
      </c>
      <c r="B210">
        <v>1</v>
      </c>
      <c r="C210">
        <v>20.100000000000001</v>
      </c>
      <c r="D210" t="s">
        <v>2446</v>
      </c>
      <c r="E210" t="s">
        <v>2446</v>
      </c>
      <c r="F210">
        <v>63337</v>
      </c>
      <c r="G210">
        <v>63360</v>
      </c>
      <c r="H210">
        <v>0</v>
      </c>
      <c r="K210">
        <f>IF(Table5[[#This Row],[NeedsAttention]]=1,Table5[[#This Row],[Start]],Table5[[#This Row],[StartN]])</f>
        <v>63337</v>
      </c>
      <c r="L210">
        <f>IF(Table5[[#This Row],[NeedsAttention]]=1,Table5[[#This Row],[End]],Table5[[#This Row],[EndN]])</f>
        <v>63360</v>
      </c>
      <c r="M210" t="b">
        <f>Table5[[#This Row],[Merged.Start]]=L209+1</f>
        <v>1</v>
      </c>
      <c r="O210">
        <f>Table5[[#This Row],[Section]]</f>
        <v>209</v>
      </c>
      <c r="P210">
        <f>Table5[[#This Row],[Canon]]</f>
        <v>1</v>
      </c>
      <c r="Q210" s="1">
        <f>Table5[[#This Row],[Reference]]</f>
        <v>20.100000000000001</v>
      </c>
      <c r="R210" s="3" t="str">
        <f>Table5[[#This Row],[StartR]]</f>
        <v>JHN 20:1</v>
      </c>
      <c r="S210" s="3" t="str">
        <f>Table5[[#This Row],[EndR]]</f>
        <v>JHN 20:1</v>
      </c>
      <c r="T210">
        <f>Table5[[#This Row],[Merged.Start]]</f>
        <v>63337</v>
      </c>
      <c r="U210">
        <f>Table5[[#This Row],[Merged.End]]</f>
        <v>63360</v>
      </c>
    </row>
    <row r="211" spans="1:21" x14ac:dyDescent="0.25">
      <c r="A211">
        <v>210</v>
      </c>
      <c r="B211">
        <v>10</v>
      </c>
      <c r="C211" t="s">
        <v>2447</v>
      </c>
      <c r="D211" t="s">
        <v>2448</v>
      </c>
      <c r="E211" t="s">
        <v>2449</v>
      </c>
      <c r="F211">
        <v>63361</v>
      </c>
      <c r="G211">
        <v>63504</v>
      </c>
      <c r="H211">
        <v>0</v>
      </c>
      <c r="K211">
        <f>IF(Table5[[#This Row],[NeedsAttention]]=1,Table5[[#This Row],[Start]],Table5[[#This Row],[StartN]])</f>
        <v>63361</v>
      </c>
      <c r="L211">
        <f>IF(Table5[[#This Row],[NeedsAttention]]=1,Table5[[#This Row],[End]],Table5[[#This Row],[EndN]])</f>
        <v>63504</v>
      </c>
      <c r="M211" t="b">
        <f>Table5[[#This Row],[Merged.Start]]=L210+1</f>
        <v>1</v>
      </c>
      <c r="O211">
        <f>Table5[[#This Row],[Section]]</f>
        <v>210</v>
      </c>
      <c r="P211">
        <f>Table5[[#This Row],[Canon]]</f>
        <v>10</v>
      </c>
      <c r="Q211" s="1" t="str">
        <f>Table5[[#This Row],[Reference]]</f>
        <v>20.2-10</v>
      </c>
      <c r="R211" s="3" t="str">
        <f>Table5[[#This Row],[StartR]]</f>
        <v>JHN 20:2</v>
      </c>
      <c r="S211" s="3" t="str">
        <f>Table5[[#This Row],[EndR]]</f>
        <v>JHN 20:10</v>
      </c>
      <c r="T211">
        <f>Table5[[#This Row],[Merged.Start]]</f>
        <v>63361</v>
      </c>
      <c r="U211">
        <f>Table5[[#This Row],[Merged.End]]</f>
        <v>63504</v>
      </c>
    </row>
    <row r="212" spans="1:21" x14ac:dyDescent="0.25">
      <c r="A212">
        <v>211</v>
      </c>
      <c r="B212">
        <v>1</v>
      </c>
      <c r="C212" t="s">
        <v>2450</v>
      </c>
      <c r="D212" t="s">
        <v>2451</v>
      </c>
      <c r="E212" t="s">
        <v>2452</v>
      </c>
      <c r="F212">
        <v>63505</v>
      </c>
      <c r="G212">
        <v>63541</v>
      </c>
      <c r="H212">
        <v>0</v>
      </c>
      <c r="K212">
        <f>IF(Table5[[#This Row],[NeedsAttention]]=1,Table5[[#This Row],[Start]],Table5[[#This Row],[StartN]])</f>
        <v>63505</v>
      </c>
      <c r="L212">
        <f>IF(Table5[[#This Row],[NeedsAttention]]=1,Table5[[#This Row],[End]],Table5[[#This Row],[EndN]])</f>
        <v>63541</v>
      </c>
      <c r="M212" t="b">
        <f>Table5[[#This Row],[Merged.Start]]=L211+1</f>
        <v>1</v>
      </c>
      <c r="O212">
        <f>Table5[[#This Row],[Section]]</f>
        <v>211</v>
      </c>
      <c r="P212">
        <f>Table5[[#This Row],[Canon]]</f>
        <v>1</v>
      </c>
      <c r="Q212" s="1" t="str">
        <f>Table5[[#This Row],[Reference]]</f>
        <v>20.11-12</v>
      </c>
      <c r="R212" s="3" t="str">
        <f>Table5[[#This Row],[StartR]]</f>
        <v>JHN 20:11</v>
      </c>
      <c r="S212" s="3" t="str">
        <f>Table5[[#This Row],[EndR]]</f>
        <v>JHN 20:12</v>
      </c>
      <c r="T212">
        <f>Table5[[#This Row],[Merged.Start]]</f>
        <v>63505</v>
      </c>
      <c r="U212">
        <f>Table5[[#This Row],[Merged.End]]</f>
        <v>63541</v>
      </c>
    </row>
    <row r="213" spans="1:21" x14ac:dyDescent="0.25">
      <c r="A213">
        <v>212</v>
      </c>
      <c r="B213">
        <v>10</v>
      </c>
      <c r="C213" t="s">
        <v>2453</v>
      </c>
      <c r="D213" t="s">
        <v>2454</v>
      </c>
      <c r="E213" t="s">
        <v>2455</v>
      </c>
      <c r="F213">
        <v>63542</v>
      </c>
      <c r="G213">
        <v>63670</v>
      </c>
      <c r="H213">
        <v>0</v>
      </c>
      <c r="K213">
        <f>IF(Table5[[#This Row],[NeedsAttention]]=1,Table5[[#This Row],[Start]],Table5[[#This Row],[StartN]])</f>
        <v>63542</v>
      </c>
      <c r="L213">
        <f>IF(Table5[[#This Row],[NeedsAttention]]=1,Table5[[#This Row],[End]],Table5[[#This Row],[EndN]])</f>
        <v>63670</v>
      </c>
      <c r="M213" t="b">
        <f>Table5[[#This Row],[Merged.Start]]=L212+1</f>
        <v>1</v>
      </c>
      <c r="O213">
        <f>Table5[[#This Row],[Section]]</f>
        <v>212</v>
      </c>
      <c r="P213">
        <f>Table5[[#This Row],[Canon]]</f>
        <v>10</v>
      </c>
      <c r="Q213" s="1" t="str">
        <f>Table5[[#This Row],[Reference]]</f>
        <v>20.13-18</v>
      </c>
      <c r="R213" s="3" t="str">
        <f>Table5[[#This Row],[StartR]]</f>
        <v>JHN 20:13</v>
      </c>
      <c r="S213" s="3" t="str">
        <f>Table5[[#This Row],[EndR]]</f>
        <v>JHN 20:18</v>
      </c>
      <c r="T213">
        <f>Table5[[#This Row],[Merged.Start]]</f>
        <v>63542</v>
      </c>
      <c r="U213">
        <f>Table5[[#This Row],[Merged.End]]</f>
        <v>63670</v>
      </c>
    </row>
    <row r="214" spans="1:21" x14ac:dyDescent="0.25">
      <c r="A214">
        <v>213</v>
      </c>
      <c r="B214">
        <v>9</v>
      </c>
      <c r="C214" t="s">
        <v>2456</v>
      </c>
      <c r="D214" t="s">
        <v>2457</v>
      </c>
      <c r="E214" t="s">
        <v>2458</v>
      </c>
      <c r="F214">
        <v>63671</v>
      </c>
      <c r="G214">
        <v>63722</v>
      </c>
      <c r="H214">
        <v>1</v>
      </c>
      <c r="I214">
        <v>63671</v>
      </c>
      <c r="J214">
        <v>63715</v>
      </c>
      <c r="K214">
        <f>IF(Table5[[#This Row],[NeedsAttention]]=1,Table5[[#This Row],[Start]],Table5[[#This Row],[StartN]])</f>
        <v>63671</v>
      </c>
      <c r="L214">
        <f>IF(Table5[[#This Row],[NeedsAttention]]=1,Table5[[#This Row],[End]],Table5[[#This Row],[EndN]])</f>
        <v>63715</v>
      </c>
      <c r="M214" t="b">
        <f>Table5[[#This Row],[Merged.Start]]=L213+1</f>
        <v>1</v>
      </c>
      <c r="O214">
        <f>Table5[[#This Row],[Section]]</f>
        <v>213</v>
      </c>
      <c r="P214">
        <f>Table5[[#This Row],[Canon]]</f>
        <v>9</v>
      </c>
      <c r="Q214" s="1" t="str">
        <f>Table5[[#This Row],[Reference]]</f>
        <v>20.19-20A</v>
      </c>
      <c r="R214" s="3" t="str">
        <f>Table5[[#This Row],[StartR]]</f>
        <v>JHN 20:19</v>
      </c>
      <c r="S214" s="3" t="str">
        <f>Table5[[#This Row],[EndR]]</f>
        <v>JHN 20:20</v>
      </c>
      <c r="T214">
        <f>Table5[[#This Row],[Merged.Start]]</f>
        <v>63671</v>
      </c>
      <c r="U214">
        <f>Table5[[#This Row],[Merged.End]]</f>
        <v>63715</v>
      </c>
    </row>
    <row r="215" spans="1:21" x14ac:dyDescent="0.25">
      <c r="A215">
        <v>214</v>
      </c>
      <c r="B215">
        <v>10</v>
      </c>
      <c r="C215" t="s">
        <v>2459</v>
      </c>
      <c r="D215" t="s">
        <v>2458</v>
      </c>
      <c r="E215" t="s">
        <v>2460</v>
      </c>
      <c r="F215">
        <v>63706</v>
      </c>
      <c r="G215">
        <v>63748</v>
      </c>
      <c r="H215">
        <v>1</v>
      </c>
      <c r="I215">
        <v>63716</v>
      </c>
      <c r="J215">
        <v>63748</v>
      </c>
      <c r="K215">
        <f>IF(Table5[[#This Row],[NeedsAttention]]=1,Table5[[#This Row],[Start]],Table5[[#This Row],[StartN]])</f>
        <v>63716</v>
      </c>
      <c r="L215">
        <f>IF(Table5[[#This Row],[NeedsAttention]]=1,Table5[[#This Row],[End]],Table5[[#This Row],[EndN]])</f>
        <v>63748</v>
      </c>
      <c r="M215" t="b">
        <f>Table5[[#This Row],[Merged.Start]]=L214+1</f>
        <v>1</v>
      </c>
      <c r="O215">
        <f>Table5[[#This Row],[Section]]</f>
        <v>214</v>
      </c>
      <c r="P215">
        <f>Table5[[#This Row],[Canon]]</f>
        <v>10</v>
      </c>
      <c r="Q215" s="1" t="str">
        <f>Table5[[#This Row],[Reference]]</f>
        <v>20.20B-22</v>
      </c>
      <c r="R215" s="3" t="str">
        <f>Table5[[#This Row],[StartR]]</f>
        <v>JHN 20:20</v>
      </c>
      <c r="S215" s="3" t="str">
        <f>Table5[[#This Row],[EndR]]</f>
        <v>JHN 20:22</v>
      </c>
      <c r="T215">
        <f>Table5[[#This Row],[Merged.Start]]</f>
        <v>63716</v>
      </c>
      <c r="U215">
        <f>Table5[[#This Row],[Merged.End]]</f>
        <v>63748</v>
      </c>
    </row>
    <row r="216" spans="1:21" x14ac:dyDescent="0.25">
      <c r="A216">
        <v>215</v>
      </c>
      <c r="B216">
        <v>7</v>
      </c>
      <c r="C216">
        <v>20.23</v>
      </c>
      <c r="D216" t="s">
        <v>2461</v>
      </c>
      <c r="E216" t="s">
        <v>2461</v>
      </c>
      <c r="F216">
        <v>63749</v>
      </c>
      <c r="G216">
        <v>63759</v>
      </c>
      <c r="H216">
        <v>0</v>
      </c>
      <c r="K216">
        <f>IF(Table5[[#This Row],[NeedsAttention]]=1,Table5[[#This Row],[Start]],Table5[[#This Row],[StartN]])</f>
        <v>63749</v>
      </c>
      <c r="L216">
        <f>IF(Table5[[#This Row],[NeedsAttention]]=1,Table5[[#This Row],[End]],Table5[[#This Row],[EndN]])</f>
        <v>63759</v>
      </c>
      <c r="M216" t="b">
        <f>Table5[[#This Row],[Merged.Start]]=L215+1</f>
        <v>1</v>
      </c>
      <c r="O216">
        <f>Table5[[#This Row],[Section]]</f>
        <v>215</v>
      </c>
      <c r="P216">
        <f>Table5[[#This Row],[Canon]]</f>
        <v>7</v>
      </c>
      <c r="Q216" s="1">
        <f>Table5[[#This Row],[Reference]]</f>
        <v>20.23</v>
      </c>
      <c r="R216" s="3" t="str">
        <f>Table5[[#This Row],[StartR]]</f>
        <v>JHN 20:23</v>
      </c>
      <c r="S216" s="3" t="str">
        <f>Table5[[#This Row],[EndR]]</f>
        <v>JHN 20:23</v>
      </c>
      <c r="T216">
        <f>Table5[[#This Row],[Merged.Start]]</f>
        <v>63749</v>
      </c>
      <c r="U216">
        <f>Table5[[#This Row],[Merged.End]]</f>
        <v>63759</v>
      </c>
    </row>
    <row r="217" spans="1:21" x14ac:dyDescent="0.25">
      <c r="A217">
        <v>216</v>
      </c>
      <c r="B217">
        <v>10</v>
      </c>
      <c r="C217" t="s">
        <v>2462</v>
      </c>
      <c r="D217" t="s">
        <v>2463</v>
      </c>
      <c r="E217" t="s">
        <v>2464</v>
      </c>
      <c r="F217">
        <v>63760</v>
      </c>
      <c r="G217">
        <v>63821</v>
      </c>
      <c r="H217">
        <v>0</v>
      </c>
      <c r="K217">
        <f>IF(Table5[[#This Row],[NeedsAttention]]=1,Table5[[#This Row],[Start]],Table5[[#This Row],[StartN]])</f>
        <v>63760</v>
      </c>
      <c r="L217">
        <f>IF(Table5[[#This Row],[NeedsAttention]]=1,Table5[[#This Row],[End]],Table5[[#This Row],[EndN]])</f>
        <v>63821</v>
      </c>
      <c r="M217" t="b">
        <f>Table5[[#This Row],[Merged.Start]]=L216+1</f>
        <v>1</v>
      </c>
      <c r="O217">
        <f>Table5[[#This Row],[Section]]</f>
        <v>216</v>
      </c>
      <c r="P217">
        <f>Table5[[#This Row],[Canon]]</f>
        <v>10</v>
      </c>
      <c r="Q217" s="1" t="str">
        <f>Table5[[#This Row],[Reference]]</f>
        <v>20.24-25</v>
      </c>
      <c r="R217" s="3" t="str">
        <f>Table5[[#This Row],[StartR]]</f>
        <v>JHN 20:24</v>
      </c>
      <c r="S217" s="3" t="str">
        <f>Table5[[#This Row],[EndR]]</f>
        <v>JHN 20:25</v>
      </c>
      <c r="T217">
        <f>Table5[[#This Row],[Merged.Start]]</f>
        <v>63760</v>
      </c>
      <c r="U217">
        <f>Table5[[#This Row],[Merged.End]]</f>
        <v>63821</v>
      </c>
    </row>
    <row r="218" spans="1:21" x14ac:dyDescent="0.25">
      <c r="A218">
        <v>217</v>
      </c>
      <c r="B218">
        <v>9</v>
      </c>
      <c r="C218" t="s">
        <v>2465</v>
      </c>
      <c r="D218" t="s">
        <v>2466</v>
      </c>
      <c r="E218" t="s">
        <v>2467</v>
      </c>
      <c r="F218">
        <v>63822</v>
      </c>
      <c r="G218">
        <v>63881</v>
      </c>
      <c r="H218">
        <v>0</v>
      </c>
      <c r="K218">
        <f>IF(Table5[[#This Row],[NeedsAttention]]=1,Table5[[#This Row],[Start]],Table5[[#This Row],[StartN]])</f>
        <v>63822</v>
      </c>
      <c r="L218">
        <f>IF(Table5[[#This Row],[NeedsAttention]]=1,Table5[[#This Row],[End]],Table5[[#This Row],[EndN]])</f>
        <v>63881</v>
      </c>
      <c r="M218" t="b">
        <f>Table5[[#This Row],[Merged.Start]]=L217+1</f>
        <v>1</v>
      </c>
      <c r="O218">
        <f>Table5[[#This Row],[Section]]</f>
        <v>217</v>
      </c>
      <c r="P218">
        <f>Table5[[#This Row],[Canon]]</f>
        <v>9</v>
      </c>
      <c r="Q218" s="1" t="str">
        <f>Table5[[#This Row],[Reference]]</f>
        <v>20.26-27</v>
      </c>
      <c r="R218" s="3" t="str">
        <f>Table5[[#This Row],[StartR]]</f>
        <v>JHN 20:26</v>
      </c>
      <c r="S218" s="3" t="str">
        <f>Table5[[#This Row],[EndR]]</f>
        <v>JHN 20:27</v>
      </c>
      <c r="T218">
        <f>Table5[[#This Row],[Merged.Start]]</f>
        <v>63822</v>
      </c>
      <c r="U218">
        <f>Table5[[#This Row],[Merged.End]]</f>
        <v>63881</v>
      </c>
    </row>
    <row r="219" spans="1:21" x14ac:dyDescent="0.25">
      <c r="A219">
        <v>218</v>
      </c>
      <c r="B219">
        <v>10</v>
      </c>
      <c r="C219" t="s">
        <v>2468</v>
      </c>
      <c r="D219" t="s">
        <v>2469</v>
      </c>
      <c r="E219" t="s">
        <v>2470</v>
      </c>
      <c r="F219">
        <v>63882</v>
      </c>
      <c r="G219">
        <v>63950</v>
      </c>
      <c r="H219">
        <v>0</v>
      </c>
      <c r="K219">
        <f>IF(Table5[[#This Row],[NeedsAttention]]=1,Table5[[#This Row],[Start]],Table5[[#This Row],[StartN]])</f>
        <v>63882</v>
      </c>
      <c r="L219">
        <f>IF(Table5[[#This Row],[NeedsAttention]]=1,Table5[[#This Row],[End]],Table5[[#This Row],[EndN]])</f>
        <v>63950</v>
      </c>
      <c r="M219" t="b">
        <f>Table5[[#This Row],[Merged.Start]]=L218+1</f>
        <v>1</v>
      </c>
      <c r="O219">
        <f>Table5[[#This Row],[Section]]</f>
        <v>218</v>
      </c>
      <c r="P219">
        <f>Table5[[#This Row],[Canon]]</f>
        <v>10</v>
      </c>
      <c r="Q219" s="1" t="str">
        <f>Table5[[#This Row],[Reference]]</f>
        <v>20.28-31</v>
      </c>
      <c r="R219" s="3" t="str">
        <f>Table5[[#This Row],[StartR]]</f>
        <v>JHN 20:28</v>
      </c>
      <c r="S219" s="3" t="str">
        <f>Table5[[#This Row],[EndR]]</f>
        <v>JHN 20:31</v>
      </c>
      <c r="T219">
        <f>Table5[[#This Row],[Merged.Start]]</f>
        <v>63882</v>
      </c>
      <c r="U219">
        <f>Table5[[#This Row],[Merged.End]]</f>
        <v>63950</v>
      </c>
    </row>
    <row r="220" spans="1:21" x14ac:dyDescent="0.25">
      <c r="A220">
        <v>219</v>
      </c>
      <c r="B220">
        <v>9</v>
      </c>
      <c r="C220" t="s">
        <v>2471</v>
      </c>
      <c r="D220" t="s">
        <v>2472</v>
      </c>
      <c r="E220" t="s">
        <v>2473</v>
      </c>
      <c r="F220">
        <v>63951</v>
      </c>
      <c r="G220">
        <v>64077</v>
      </c>
      <c r="H220">
        <v>0</v>
      </c>
      <c r="K220">
        <f>IF(Table5[[#This Row],[NeedsAttention]]=1,Table5[[#This Row],[Start]],Table5[[#This Row],[StartN]])</f>
        <v>63951</v>
      </c>
      <c r="L220">
        <f>IF(Table5[[#This Row],[NeedsAttention]]=1,Table5[[#This Row],[End]],Table5[[#This Row],[EndN]])</f>
        <v>64077</v>
      </c>
      <c r="M220" t="b">
        <f>Table5[[#This Row],[Merged.Start]]=L219+1</f>
        <v>1</v>
      </c>
      <c r="O220">
        <f>Table5[[#This Row],[Section]]</f>
        <v>219</v>
      </c>
      <c r="P220">
        <f>Table5[[#This Row],[Canon]]</f>
        <v>9</v>
      </c>
      <c r="Q220" s="1" t="str">
        <f>Table5[[#This Row],[Reference]]</f>
        <v>21.1-6</v>
      </c>
      <c r="R220" s="3" t="str">
        <f>Table5[[#This Row],[StartR]]</f>
        <v>JHN 21:1</v>
      </c>
      <c r="S220" s="3" t="str">
        <f>Table5[[#This Row],[EndR]]</f>
        <v>JHN 21:6</v>
      </c>
      <c r="T220">
        <f>Table5[[#This Row],[Merged.Start]]</f>
        <v>63951</v>
      </c>
      <c r="U220">
        <f>Table5[[#This Row],[Merged.End]]</f>
        <v>64077</v>
      </c>
    </row>
    <row r="221" spans="1:21" x14ac:dyDescent="0.25">
      <c r="A221">
        <v>220</v>
      </c>
      <c r="B221">
        <v>10</v>
      </c>
      <c r="C221" t="s">
        <v>2474</v>
      </c>
      <c r="D221" t="s">
        <v>2475</v>
      </c>
      <c r="E221" t="s">
        <v>2476</v>
      </c>
      <c r="F221">
        <v>64078</v>
      </c>
      <c r="G221">
        <v>64135</v>
      </c>
      <c r="H221">
        <v>0</v>
      </c>
      <c r="K221">
        <f>IF(Table5[[#This Row],[NeedsAttention]]=1,Table5[[#This Row],[Start]],Table5[[#This Row],[StartN]])</f>
        <v>64078</v>
      </c>
      <c r="L221">
        <f>IF(Table5[[#This Row],[NeedsAttention]]=1,Table5[[#This Row],[End]],Table5[[#This Row],[EndN]])</f>
        <v>64135</v>
      </c>
      <c r="M221" t="b">
        <f>Table5[[#This Row],[Merged.Start]]=L220+1</f>
        <v>1</v>
      </c>
      <c r="O221">
        <f>Table5[[#This Row],[Section]]</f>
        <v>220</v>
      </c>
      <c r="P221">
        <f>Table5[[#This Row],[Canon]]</f>
        <v>10</v>
      </c>
      <c r="Q221" s="1" t="str">
        <f>Table5[[#This Row],[Reference]]</f>
        <v>21.7-8</v>
      </c>
      <c r="R221" s="3" t="str">
        <f>Table5[[#This Row],[StartR]]</f>
        <v>JHN 21:7</v>
      </c>
      <c r="S221" s="3" t="str">
        <f>Table5[[#This Row],[EndR]]</f>
        <v>JHN 21:8</v>
      </c>
      <c r="T221">
        <f>Table5[[#This Row],[Merged.Start]]</f>
        <v>64078</v>
      </c>
      <c r="U221">
        <f>Table5[[#This Row],[Merged.End]]</f>
        <v>64135</v>
      </c>
    </row>
    <row r="222" spans="1:21" x14ac:dyDescent="0.25">
      <c r="A222">
        <v>221</v>
      </c>
      <c r="B222">
        <v>9</v>
      </c>
      <c r="C222" t="s">
        <v>2477</v>
      </c>
      <c r="D222" t="s">
        <v>2478</v>
      </c>
      <c r="E222" t="s">
        <v>2479</v>
      </c>
      <c r="F222">
        <v>64136</v>
      </c>
      <c r="G222">
        <v>64160</v>
      </c>
      <c r="H222">
        <v>0</v>
      </c>
      <c r="K222">
        <f>IF(Table5[[#This Row],[NeedsAttention]]=1,Table5[[#This Row],[Start]],Table5[[#This Row],[StartN]])</f>
        <v>64136</v>
      </c>
      <c r="L222">
        <f>IF(Table5[[#This Row],[NeedsAttention]]=1,Table5[[#This Row],[End]],Table5[[#This Row],[EndN]])</f>
        <v>64160</v>
      </c>
      <c r="M222" t="b">
        <f>Table5[[#This Row],[Merged.Start]]=L221+1</f>
        <v>1</v>
      </c>
      <c r="O222">
        <f>Table5[[#This Row],[Section]]</f>
        <v>221</v>
      </c>
      <c r="P222">
        <f>Table5[[#This Row],[Canon]]</f>
        <v>9</v>
      </c>
      <c r="Q222" s="1" t="str">
        <f>Table5[[#This Row],[Reference]]</f>
        <v>21.9-10</v>
      </c>
      <c r="R222" s="3" t="str">
        <f>Table5[[#This Row],[StartR]]</f>
        <v>JHN 21:9</v>
      </c>
      <c r="S222" s="3" t="str">
        <f>Table5[[#This Row],[EndR]]</f>
        <v>JHN 21:10</v>
      </c>
      <c r="T222">
        <f>Table5[[#This Row],[Merged.Start]]</f>
        <v>64136</v>
      </c>
      <c r="U222">
        <f>Table5[[#This Row],[Merged.End]]</f>
        <v>64160</v>
      </c>
    </row>
    <row r="223" spans="1:21" x14ac:dyDescent="0.25">
      <c r="A223">
        <v>222</v>
      </c>
      <c r="B223">
        <v>9</v>
      </c>
      <c r="C223">
        <v>21.11</v>
      </c>
      <c r="D223" t="s">
        <v>2480</v>
      </c>
      <c r="E223" t="s">
        <v>2480</v>
      </c>
      <c r="F223">
        <v>64161</v>
      </c>
      <c r="G223">
        <v>64184</v>
      </c>
      <c r="H223">
        <v>0</v>
      </c>
      <c r="K223">
        <f>IF(Table5[[#This Row],[NeedsAttention]]=1,Table5[[#This Row],[Start]],Table5[[#This Row],[StartN]])</f>
        <v>64161</v>
      </c>
      <c r="L223">
        <f>IF(Table5[[#This Row],[NeedsAttention]]=1,Table5[[#This Row],[End]],Table5[[#This Row],[EndN]])</f>
        <v>64184</v>
      </c>
      <c r="M223" t="b">
        <f>Table5[[#This Row],[Merged.Start]]=L222+1</f>
        <v>1</v>
      </c>
      <c r="O223">
        <f>Table5[[#This Row],[Section]]</f>
        <v>222</v>
      </c>
      <c r="P223">
        <f>Table5[[#This Row],[Canon]]</f>
        <v>9</v>
      </c>
      <c r="Q223" s="1">
        <f>Table5[[#This Row],[Reference]]</f>
        <v>21.11</v>
      </c>
      <c r="R223" s="3" t="str">
        <f>Table5[[#This Row],[StartR]]</f>
        <v>JHN 21:11</v>
      </c>
      <c r="S223" s="3" t="str">
        <f>Table5[[#This Row],[EndR]]</f>
        <v>JHN 21:11</v>
      </c>
      <c r="T223">
        <f>Table5[[#This Row],[Merged.Start]]</f>
        <v>64161</v>
      </c>
      <c r="U223">
        <f>Table5[[#This Row],[Merged.End]]</f>
        <v>64184</v>
      </c>
    </row>
    <row r="224" spans="1:21" x14ac:dyDescent="0.25">
      <c r="A224">
        <v>223</v>
      </c>
      <c r="B224">
        <v>9</v>
      </c>
      <c r="C224" t="s">
        <v>2481</v>
      </c>
      <c r="D224" t="s">
        <v>2482</v>
      </c>
      <c r="E224" t="s">
        <v>2482</v>
      </c>
      <c r="F224">
        <v>64185</v>
      </c>
      <c r="G224">
        <v>64205</v>
      </c>
      <c r="H224">
        <v>1</v>
      </c>
      <c r="I224">
        <v>64185</v>
      </c>
      <c r="J224">
        <v>64190</v>
      </c>
      <c r="K224">
        <f>IF(Table5[[#This Row],[NeedsAttention]]=1,Table5[[#This Row],[Start]],Table5[[#This Row],[StartN]])</f>
        <v>64185</v>
      </c>
      <c r="L224">
        <f>IF(Table5[[#This Row],[NeedsAttention]]=1,Table5[[#This Row],[End]],Table5[[#This Row],[EndN]])</f>
        <v>64190</v>
      </c>
      <c r="M224" t="b">
        <f>Table5[[#This Row],[Merged.Start]]=L223+1</f>
        <v>1</v>
      </c>
      <c r="O224">
        <f>Table5[[#This Row],[Section]]</f>
        <v>223</v>
      </c>
      <c r="P224">
        <f>Table5[[#This Row],[Canon]]</f>
        <v>9</v>
      </c>
      <c r="Q224" s="1" t="str">
        <f>Table5[[#This Row],[Reference]]</f>
        <v>21.12A</v>
      </c>
      <c r="R224" s="3" t="str">
        <f>Table5[[#This Row],[StartR]]</f>
        <v>JHN 21:12</v>
      </c>
      <c r="S224" s="3" t="str">
        <f>Table5[[#This Row],[EndR]]</f>
        <v>JHN 21:12</v>
      </c>
      <c r="T224">
        <f>Table5[[#This Row],[Merged.Start]]</f>
        <v>64185</v>
      </c>
      <c r="U224">
        <f>Table5[[#This Row],[Merged.End]]</f>
        <v>64190</v>
      </c>
    </row>
    <row r="225" spans="1:21" x14ac:dyDescent="0.25">
      <c r="A225">
        <v>224</v>
      </c>
      <c r="B225">
        <v>10</v>
      </c>
      <c r="C225" t="s">
        <v>2483</v>
      </c>
      <c r="D225" t="s">
        <v>2482</v>
      </c>
      <c r="E225" t="s">
        <v>2482</v>
      </c>
      <c r="F225">
        <v>64185</v>
      </c>
      <c r="G225">
        <v>64205</v>
      </c>
      <c r="H225">
        <v>1</v>
      </c>
      <c r="I225">
        <v>64191</v>
      </c>
      <c r="J225">
        <v>64205</v>
      </c>
      <c r="K225">
        <f>IF(Table5[[#This Row],[NeedsAttention]]=1,Table5[[#This Row],[Start]],Table5[[#This Row],[StartN]])</f>
        <v>64191</v>
      </c>
      <c r="L225">
        <f>IF(Table5[[#This Row],[NeedsAttention]]=1,Table5[[#This Row],[End]],Table5[[#This Row],[EndN]])</f>
        <v>64205</v>
      </c>
      <c r="M225" t="b">
        <f>Table5[[#This Row],[Merged.Start]]=L224+1</f>
        <v>1</v>
      </c>
      <c r="O225">
        <f>Table5[[#This Row],[Section]]</f>
        <v>224</v>
      </c>
      <c r="P225">
        <f>Table5[[#This Row],[Canon]]</f>
        <v>10</v>
      </c>
      <c r="Q225" s="1" t="str">
        <f>Table5[[#This Row],[Reference]]</f>
        <v>21.12B</v>
      </c>
      <c r="R225" s="3" t="str">
        <f>Table5[[#This Row],[StartR]]</f>
        <v>JHN 21:12</v>
      </c>
      <c r="S225" s="3" t="str">
        <f>Table5[[#This Row],[EndR]]</f>
        <v>JHN 21:12</v>
      </c>
      <c r="T225">
        <f>Table5[[#This Row],[Merged.Start]]</f>
        <v>64191</v>
      </c>
      <c r="U225">
        <f>Table5[[#This Row],[Merged.End]]</f>
        <v>64205</v>
      </c>
    </row>
    <row r="226" spans="1:21" x14ac:dyDescent="0.25">
      <c r="A226">
        <v>225</v>
      </c>
      <c r="B226">
        <v>9</v>
      </c>
      <c r="C226">
        <v>21.13</v>
      </c>
      <c r="D226" t="s">
        <v>2484</v>
      </c>
      <c r="E226" t="s">
        <v>2484</v>
      </c>
      <c r="F226">
        <v>64206</v>
      </c>
      <c r="G226">
        <v>64219</v>
      </c>
      <c r="H226">
        <v>0</v>
      </c>
      <c r="K226">
        <f>IF(Table5[[#This Row],[NeedsAttention]]=1,Table5[[#This Row],[Start]],Table5[[#This Row],[StartN]])</f>
        <v>64206</v>
      </c>
      <c r="L226">
        <f>IF(Table5[[#This Row],[NeedsAttention]]=1,Table5[[#This Row],[End]],Table5[[#This Row],[EndN]])</f>
        <v>64219</v>
      </c>
      <c r="M226" t="b">
        <f>Table5[[#This Row],[Merged.Start]]=L225+1</f>
        <v>1</v>
      </c>
      <c r="O226">
        <f>Table5[[#This Row],[Section]]</f>
        <v>225</v>
      </c>
      <c r="P226">
        <f>Table5[[#This Row],[Canon]]</f>
        <v>9</v>
      </c>
      <c r="Q226" s="1">
        <f>Table5[[#This Row],[Reference]]</f>
        <v>21.13</v>
      </c>
      <c r="R226" s="3" t="str">
        <f>Table5[[#This Row],[StartR]]</f>
        <v>JHN 21:13</v>
      </c>
      <c r="S226" s="3" t="str">
        <f>Table5[[#This Row],[EndR]]</f>
        <v>JHN 21:13</v>
      </c>
      <c r="T226">
        <f>Table5[[#This Row],[Merged.Start]]</f>
        <v>64206</v>
      </c>
      <c r="U226">
        <f>Table5[[#This Row],[Merged.End]]</f>
        <v>64219</v>
      </c>
    </row>
    <row r="227" spans="1:21" x14ac:dyDescent="0.25">
      <c r="A227">
        <v>226</v>
      </c>
      <c r="B227">
        <v>10</v>
      </c>
      <c r="C227" t="s">
        <v>2485</v>
      </c>
      <c r="D227" t="s">
        <v>2486</v>
      </c>
      <c r="E227" t="s">
        <v>2487</v>
      </c>
      <c r="F227">
        <v>64220</v>
      </c>
      <c r="G227">
        <v>64260</v>
      </c>
      <c r="H227">
        <v>1</v>
      </c>
      <c r="I227">
        <v>64220</v>
      </c>
      <c r="J227">
        <v>64254</v>
      </c>
      <c r="K227">
        <f>IF(Table5[[#This Row],[NeedsAttention]]=1,Table5[[#This Row],[Start]],Table5[[#This Row],[StartN]])</f>
        <v>64220</v>
      </c>
      <c r="L227">
        <f>IF(Table5[[#This Row],[NeedsAttention]]=1,Table5[[#This Row],[End]],Table5[[#This Row],[EndN]])</f>
        <v>64254</v>
      </c>
      <c r="M227" t="b">
        <f>Table5[[#This Row],[Merged.Start]]=L226+1</f>
        <v>1</v>
      </c>
      <c r="O227">
        <f>Table5[[#This Row],[Section]]</f>
        <v>226</v>
      </c>
      <c r="P227">
        <f>Table5[[#This Row],[Canon]]</f>
        <v>10</v>
      </c>
      <c r="Q227" s="1" t="str">
        <f>Table5[[#This Row],[Reference]]</f>
        <v>21.14-15AB</v>
      </c>
      <c r="R227" s="3" t="str">
        <f>Table5[[#This Row],[StartR]]</f>
        <v>JHN 21:14</v>
      </c>
      <c r="S227" s="3" t="str">
        <f>Table5[[#This Row],[EndR]]</f>
        <v>JHN 21:15</v>
      </c>
      <c r="T227">
        <f>Table5[[#This Row],[Merged.Start]]</f>
        <v>64220</v>
      </c>
      <c r="U227">
        <f>Table5[[#This Row],[Merged.End]]</f>
        <v>64254</v>
      </c>
    </row>
    <row r="228" spans="1:21" x14ac:dyDescent="0.25">
      <c r="A228">
        <v>227</v>
      </c>
      <c r="B228">
        <v>9</v>
      </c>
      <c r="C228" t="s">
        <v>2488</v>
      </c>
      <c r="D228" t="s">
        <v>2487</v>
      </c>
      <c r="E228" t="s">
        <v>2487</v>
      </c>
      <c r="F228">
        <v>64231</v>
      </c>
      <c r="G228">
        <v>64260</v>
      </c>
      <c r="H228">
        <v>1</v>
      </c>
      <c r="I228">
        <v>64255</v>
      </c>
      <c r="J228">
        <v>64260</v>
      </c>
      <c r="K228">
        <f>IF(Table5[[#This Row],[NeedsAttention]]=1,Table5[[#This Row],[Start]],Table5[[#This Row],[StartN]])</f>
        <v>64255</v>
      </c>
      <c r="L228">
        <f>IF(Table5[[#This Row],[NeedsAttention]]=1,Table5[[#This Row],[End]],Table5[[#This Row],[EndN]])</f>
        <v>64260</v>
      </c>
      <c r="M228" t="b">
        <f>Table5[[#This Row],[Merged.Start]]=L227+1</f>
        <v>1</v>
      </c>
      <c r="O228">
        <f>Table5[[#This Row],[Section]]</f>
        <v>227</v>
      </c>
      <c r="P228">
        <f>Table5[[#This Row],[Canon]]</f>
        <v>9</v>
      </c>
      <c r="Q228" s="1" t="str">
        <f>Table5[[#This Row],[Reference]]</f>
        <v>21.15C</v>
      </c>
      <c r="R228" s="3" t="str">
        <f>Table5[[#This Row],[StartR]]</f>
        <v>JHN 21:15</v>
      </c>
      <c r="S228" s="3" t="str">
        <f>Table5[[#This Row],[EndR]]</f>
        <v>JHN 21:15</v>
      </c>
      <c r="T228">
        <f>Table5[[#This Row],[Merged.Start]]</f>
        <v>64255</v>
      </c>
      <c r="U228">
        <f>Table5[[#This Row],[Merged.End]]</f>
        <v>64260</v>
      </c>
    </row>
    <row r="229" spans="1:21" x14ac:dyDescent="0.25">
      <c r="A229">
        <v>228</v>
      </c>
      <c r="B229">
        <v>10</v>
      </c>
      <c r="C229" t="s">
        <v>2489</v>
      </c>
      <c r="D229" t="s">
        <v>2490</v>
      </c>
      <c r="E229" t="s">
        <v>2490</v>
      </c>
      <c r="F229">
        <v>64261</v>
      </c>
      <c r="G229">
        <v>64283</v>
      </c>
      <c r="H229">
        <v>1</v>
      </c>
      <c r="I229">
        <v>64261</v>
      </c>
      <c r="J229">
        <v>64277</v>
      </c>
      <c r="K229">
        <f>IF(Table5[[#This Row],[NeedsAttention]]=1,Table5[[#This Row],[Start]],Table5[[#This Row],[StartN]])</f>
        <v>64261</v>
      </c>
      <c r="L229">
        <f>IF(Table5[[#This Row],[NeedsAttention]]=1,Table5[[#This Row],[End]],Table5[[#This Row],[EndN]])</f>
        <v>64277</v>
      </c>
      <c r="M229" t="b">
        <f>Table5[[#This Row],[Merged.Start]]=L228+1</f>
        <v>1</v>
      </c>
      <c r="O229">
        <f>Table5[[#This Row],[Section]]</f>
        <v>228</v>
      </c>
      <c r="P229">
        <f>Table5[[#This Row],[Canon]]</f>
        <v>10</v>
      </c>
      <c r="Q229" s="1" t="str">
        <f>Table5[[#This Row],[Reference]]</f>
        <v>21.16AB</v>
      </c>
      <c r="R229" s="3" t="str">
        <f>Table5[[#This Row],[StartR]]</f>
        <v>JHN 21:16</v>
      </c>
      <c r="S229" s="3" t="str">
        <f>Table5[[#This Row],[EndR]]</f>
        <v>JHN 21:16</v>
      </c>
      <c r="T229">
        <f>Table5[[#This Row],[Merged.Start]]</f>
        <v>64261</v>
      </c>
      <c r="U229">
        <f>Table5[[#This Row],[Merged.End]]</f>
        <v>64277</v>
      </c>
    </row>
    <row r="230" spans="1:21" x14ac:dyDescent="0.25">
      <c r="A230">
        <v>229</v>
      </c>
      <c r="B230">
        <v>9</v>
      </c>
      <c r="C230" t="s">
        <v>2491</v>
      </c>
      <c r="D230" t="s">
        <v>2490</v>
      </c>
      <c r="E230" t="s">
        <v>2490</v>
      </c>
      <c r="F230">
        <v>64261</v>
      </c>
      <c r="G230">
        <v>64283</v>
      </c>
      <c r="H230">
        <v>1</v>
      </c>
      <c r="I230">
        <v>64278</v>
      </c>
      <c r="J230">
        <v>64283</v>
      </c>
      <c r="K230">
        <f>IF(Table5[[#This Row],[NeedsAttention]]=1,Table5[[#This Row],[Start]],Table5[[#This Row],[StartN]])</f>
        <v>64278</v>
      </c>
      <c r="L230">
        <f>IF(Table5[[#This Row],[NeedsAttention]]=1,Table5[[#This Row],[End]],Table5[[#This Row],[EndN]])</f>
        <v>64283</v>
      </c>
      <c r="M230" t="b">
        <f>Table5[[#This Row],[Merged.Start]]=L229+1</f>
        <v>1</v>
      </c>
      <c r="O230">
        <f>Table5[[#This Row],[Section]]</f>
        <v>229</v>
      </c>
      <c r="P230">
        <f>Table5[[#This Row],[Canon]]</f>
        <v>9</v>
      </c>
      <c r="Q230" s="1" t="str">
        <f>Table5[[#This Row],[Reference]]</f>
        <v>21.16C</v>
      </c>
      <c r="R230" s="3" t="str">
        <f>Table5[[#This Row],[StartR]]</f>
        <v>JHN 21:16</v>
      </c>
      <c r="S230" s="3" t="str">
        <f>Table5[[#This Row],[EndR]]</f>
        <v>JHN 21:16</v>
      </c>
      <c r="T230">
        <f>Table5[[#This Row],[Merged.Start]]</f>
        <v>64278</v>
      </c>
      <c r="U230">
        <f>Table5[[#This Row],[Merged.End]]</f>
        <v>64283</v>
      </c>
    </row>
    <row r="231" spans="1:21" x14ac:dyDescent="0.25">
      <c r="A231">
        <v>230</v>
      </c>
      <c r="B231">
        <v>10</v>
      </c>
      <c r="C231" t="s">
        <v>2492</v>
      </c>
      <c r="D231" t="s">
        <v>2493</v>
      </c>
      <c r="E231" t="s">
        <v>2493</v>
      </c>
      <c r="F231">
        <v>64284</v>
      </c>
      <c r="G231">
        <v>64321</v>
      </c>
      <c r="H231">
        <v>1</v>
      </c>
      <c r="I231">
        <v>64284</v>
      </c>
      <c r="J231">
        <v>64313</v>
      </c>
      <c r="K231">
        <f>IF(Table5[[#This Row],[NeedsAttention]]=1,Table5[[#This Row],[Start]],Table5[[#This Row],[StartN]])</f>
        <v>64284</v>
      </c>
      <c r="L231">
        <f>IF(Table5[[#This Row],[NeedsAttention]]=1,Table5[[#This Row],[End]],Table5[[#This Row],[EndN]])</f>
        <v>64313</v>
      </c>
      <c r="M231" t="b">
        <f>Table5[[#This Row],[Merged.Start]]=L230+1</f>
        <v>1</v>
      </c>
      <c r="O231">
        <f>Table5[[#This Row],[Section]]</f>
        <v>230</v>
      </c>
      <c r="P231">
        <f>Table5[[#This Row],[Canon]]</f>
        <v>10</v>
      </c>
      <c r="Q231" s="1" t="str">
        <f>Table5[[#This Row],[Reference]]</f>
        <v>21.17AB</v>
      </c>
      <c r="R231" s="3" t="str">
        <f>Table5[[#This Row],[StartR]]</f>
        <v>JHN 21:17</v>
      </c>
      <c r="S231" s="3" t="str">
        <f>Table5[[#This Row],[EndR]]</f>
        <v>JHN 21:17</v>
      </c>
      <c r="T231">
        <f>Table5[[#This Row],[Merged.Start]]</f>
        <v>64284</v>
      </c>
      <c r="U231">
        <f>Table5[[#This Row],[Merged.End]]</f>
        <v>64313</v>
      </c>
    </row>
    <row r="232" spans="1:21" x14ac:dyDescent="0.25">
      <c r="A232">
        <v>231</v>
      </c>
      <c r="B232">
        <v>9</v>
      </c>
      <c r="C232" t="s">
        <v>2494</v>
      </c>
      <c r="D232" t="s">
        <v>2493</v>
      </c>
      <c r="E232" t="s">
        <v>2493</v>
      </c>
      <c r="F232">
        <v>64284</v>
      </c>
      <c r="G232">
        <v>64321</v>
      </c>
      <c r="H232">
        <v>1</v>
      </c>
      <c r="I232">
        <v>64314</v>
      </c>
      <c r="J232">
        <v>64321</v>
      </c>
      <c r="K232">
        <f>IF(Table5[[#This Row],[NeedsAttention]]=1,Table5[[#This Row],[Start]],Table5[[#This Row],[StartN]])</f>
        <v>64314</v>
      </c>
      <c r="L232">
        <f>IF(Table5[[#This Row],[NeedsAttention]]=1,Table5[[#This Row],[End]],Table5[[#This Row],[EndN]])</f>
        <v>64321</v>
      </c>
      <c r="M232" t="b">
        <f>Table5[[#This Row],[Merged.Start]]=L231+1</f>
        <v>1</v>
      </c>
      <c r="O232">
        <f>Table5[[#This Row],[Section]]</f>
        <v>231</v>
      </c>
      <c r="P232">
        <f>Table5[[#This Row],[Canon]]</f>
        <v>9</v>
      </c>
      <c r="Q232" s="1" t="str">
        <f>Table5[[#This Row],[Reference]]</f>
        <v>21.17C</v>
      </c>
      <c r="R232" s="3" t="str">
        <f>Table5[[#This Row],[StartR]]</f>
        <v>JHN 21:17</v>
      </c>
      <c r="S232" s="3" t="str">
        <f>Table5[[#This Row],[EndR]]</f>
        <v>JHN 21:17</v>
      </c>
      <c r="T232">
        <f>Table5[[#This Row],[Merged.Start]]</f>
        <v>64314</v>
      </c>
      <c r="U232">
        <f>Table5[[#This Row],[Merged.End]]</f>
        <v>64321</v>
      </c>
    </row>
    <row r="233" spans="1:21" x14ac:dyDescent="0.25">
      <c r="A233">
        <v>232</v>
      </c>
      <c r="B233">
        <v>10</v>
      </c>
      <c r="C233" t="s">
        <v>2495</v>
      </c>
      <c r="D233" t="s">
        <v>2496</v>
      </c>
      <c r="E233" t="s">
        <v>2497</v>
      </c>
      <c r="F233">
        <v>64322</v>
      </c>
      <c r="G233">
        <v>64499</v>
      </c>
      <c r="H233">
        <v>0</v>
      </c>
      <c r="K233">
        <f>IF(Table5[[#This Row],[NeedsAttention]]=1,Table5[[#This Row],[Start]],Table5[[#This Row],[StartN]])</f>
        <v>64322</v>
      </c>
      <c r="L233">
        <f>IF(Table5[[#This Row],[NeedsAttention]]=1,Table5[[#This Row],[End]],Table5[[#This Row],[EndN]])</f>
        <v>64499</v>
      </c>
      <c r="M233" t="b">
        <f>Table5[[#This Row],[Merged.Start]]=L232+1</f>
        <v>1</v>
      </c>
      <c r="O233">
        <f>Table5[[#This Row],[Section]]</f>
        <v>232</v>
      </c>
      <c r="P233">
        <f>Table5[[#This Row],[Canon]]</f>
        <v>10</v>
      </c>
      <c r="Q233" s="1" t="str">
        <f>Table5[[#This Row],[Reference]]</f>
        <v>21.18-25</v>
      </c>
      <c r="R233" s="3" t="str">
        <f>Table5[[#This Row],[StartR]]</f>
        <v>JHN 21:18</v>
      </c>
      <c r="S233" s="3" t="str">
        <f>Table5[[#This Row],[EndR]]</f>
        <v>JHN 21:25</v>
      </c>
      <c r="T233">
        <f>Table5[[#This Row],[Merged.Start]]</f>
        <v>64322</v>
      </c>
      <c r="U233">
        <f>Table5[[#This Row],[Merged.End]]</f>
        <v>64499</v>
      </c>
    </row>
  </sheetData>
  <conditionalFormatting sqref="M2:M233">
    <cfRule type="cellIs" dxfId="0" priority="1" operator="equal">
      <formula>FALSE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</vt:lpstr>
      <vt:lpstr>MRK</vt:lpstr>
      <vt:lpstr>LUK</vt:lpstr>
      <vt:lpstr>JHN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Adam Baker</cp:lastModifiedBy>
  <dcterms:created xsi:type="dcterms:W3CDTF">2015-06-05T18:17:20Z</dcterms:created>
  <dcterms:modified xsi:type="dcterms:W3CDTF">2025-12-04T20:10:23Z</dcterms:modified>
</cp:coreProperties>
</file>